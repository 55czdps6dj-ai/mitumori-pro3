
<file path=[Content_Types].xml><?xml version="1.0" encoding="utf-8"?>
<Types xmlns="http://schemas.openxmlformats.org/package/2006/content-types">
  <Default Extension="xml" ContentType="application/vnd.openxmlformats-officedocument.spreadsheetml.sheet.main+xml"/>
  <Default Extension="png" ContentType="image/png"/>
  <Default Extension="emf" ContentType="image/x-emf"/>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fbd8dbb4474ca7" /></Relationships>
</file>

<file path=xl/workbook.xml><?xml version="1.0" encoding="utf-8"?>
<x:workbook xmlns:x="http://schemas.openxmlformats.org/spreadsheetml/2006/main">
  <x:sheets>
    <x:sheet xmlns:r="http://schemas.openxmlformats.org/officeDocument/2006/relationships" name="物品リスト" sheetId="1" r:id="R72d2baa0f5aa40c4"/>
    <x:sheet xmlns:r="http://schemas.openxmlformats.org/officeDocument/2006/relationships" name="見積書" sheetId="2" r:id="Rb530af4006094393"/>
    <x:sheet xmlns:r="http://schemas.openxmlformats.org/officeDocument/2006/relationships" name="キャンペーン特典" sheetId="3" r:id="R4b0b238267884e1e"/>
    <x:sheet xmlns:r="http://schemas.openxmlformats.org/officeDocument/2006/relationships" name="注意事項" sheetId="4" r:id="R710be938e39c4e2f"/>
    <x:sheet xmlns:r="http://schemas.openxmlformats.org/officeDocument/2006/relationships" name="長距離料金表" sheetId="5" r:id="Rd31f3e7450714304"/>
    <x:sheet xmlns:r="http://schemas.openxmlformats.org/officeDocument/2006/relationships" name="種別" sheetId="6" r:id="R109e7dc4afba4a21"/>
    <x:sheet xmlns:r="http://schemas.openxmlformats.org/officeDocument/2006/relationships" name="関数" sheetId="7" r:id="R6d5b45316d594323"/>
    <x:sheet xmlns:r="http://schemas.openxmlformats.org/officeDocument/2006/relationships" name="社員名" sheetId="8" r:id="Rae76f268b9bc4ba5"/>
  </x:sheets>
  <x:definedNames>
    <x:definedName name="スライサー_よくある">#N/A</x:definedName>
    <x:definedName name="スライサー_区分">#N/A</x:definedName>
    <x:definedName name="スライサー_種類">#N/A</x:definedName>
    <x:definedName name="愛知県">#REF!</x:definedName>
    <x:definedName name="愛媛県">#REF!</x:definedName>
    <x:definedName name="茨城県">#REF!</x:definedName>
    <x:definedName name="岡山県">#REF!</x:definedName>
    <x:definedName name="沖縄県">#REF!</x:definedName>
    <x:definedName name="岩手県">#REF!</x:definedName>
    <x:definedName name="岐阜県">#REF!</x:definedName>
    <x:definedName name="宮崎県">#REF!</x:definedName>
    <x:definedName name="宮城県">#REF!</x:definedName>
    <x:definedName name="京都府">#REF!</x:definedName>
    <x:definedName name="熊本県">#REF!</x:definedName>
    <x:definedName name="群馬県">#REF!</x:definedName>
    <x:definedName name="見積り者">社員名!$A$2:$A$17</x:definedName>
    <x:definedName name="広島県">#REF!</x:definedName>
    <x:definedName name="香川県">#REF!</x:definedName>
    <x:definedName name="高知県">#REF!</x:definedName>
    <x:definedName name="佐賀県">#REF!</x:definedName>
    <x:definedName name="埼玉県">#REF!</x:definedName>
    <x:definedName name="三重県">#REF!</x:definedName>
    <x:definedName name="山形県">#REF!</x:definedName>
    <x:definedName name="山口県">#REF!</x:definedName>
    <x:definedName name="山梨県">#REF!</x:definedName>
    <x:definedName name="滋賀県">#REF!</x:definedName>
    <x:definedName name="鹿児島県">#REF!</x:definedName>
    <x:definedName name="秋田県">#REF!</x:definedName>
    <x:definedName name="新潟県">#REF!</x:definedName>
    <x:definedName name="神奈川県">#REF!</x:definedName>
    <x:definedName name="青森県">#REF!</x:definedName>
    <x:definedName name="静岡県">#REF!</x:definedName>
    <x:definedName name="石川県">#REF!</x:definedName>
    <x:definedName name="千葉県">#REF!</x:definedName>
    <x:definedName name="大阪府">#REF!</x:definedName>
    <x:definedName name="大分県">#REF!</x:definedName>
    <x:definedName name="長崎県">#REF!</x:definedName>
    <x:definedName name="長野県">#REF!</x:definedName>
    <x:definedName name="鳥取県">#REF!</x:definedName>
    <x:definedName name="島根県">#REF!</x:definedName>
    <x:definedName name="東京都">#REF!</x:definedName>
    <x:definedName name="徳島県">#REF!</x:definedName>
    <x:definedName name="栃木県">#REF!</x:definedName>
    <x:definedName name="奈良県">#REF!</x:definedName>
    <x:definedName name="富山県">#REF!</x:definedName>
    <x:definedName name="福井県">#REF!</x:definedName>
    <x:definedName name="福岡県">#REF!</x:definedName>
    <x:definedName name="福島県">#REF!</x:definedName>
    <x:definedName name="兵庫県">#REF!</x:definedName>
    <x:definedName name="北海道">#REF!</x:definedName>
    <x:definedName name="和歌山県">#REF!</x:definedName>
    <x:definedName name="見積り者" localSheetId="0">[1]社員名!$A$2:$A$19</x:definedName>
  </x:definedNames>
</x:workbook>
</file>

<file path=xl/sharedStrings.xml><?xml version="1.0" encoding="utf-8"?>
<x:sst xmlns:x="http://schemas.openxmlformats.org/spreadsheetml/2006/main">
  <x:si>
    <x:t xml:space="preserve">ＮＯ</x:t>
  </x:si>
  <x:si>
    <x:t xml:space="preserve">区分クブン</x:t>
  </x:si>
  <x:si>
    <x:t xml:space="preserve">種類シュルイ</x:t>
  </x:si>
  <x:si>
    <x:t xml:space="preserve">よくある</x:t>
  </x:si>
  <x:si>
    <x:t xml:space="preserve">品名ヒンメイ</x:t>
  </x:si>
  <x:si>
    <x:t xml:space="preserve">高さ　Hタカ</x:t>
  </x:si>
  <x:si>
    <x:t xml:space="preserve">長さ　Wナガ</x:t>
  </x:si>
  <x:si>
    <x:t xml:space="preserve">奥行　Dオクユキ</x:t>
  </x:si>
  <x:si>
    <x:t xml:space="preserve">ポイント　P</x:t>
  </x:si>
  <x:si>
    <x:t xml:space="preserve">ダンボール</x:t>
  </x:si>
  <x:si>
    <x:t xml:space="preserve">カウント</x:t>
  </x:si>
  <x:si>
    <x:t xml:space="preserve">数量スウリョウ</x:t>
  </x:si>
  <x:si>
    <x:t xml:space="preserve">ダンボール換算数カンサンスウ</x:t>
  </x:si>
  <x:si>
    <x:t xml:space="preserve">2T車シャ</x:t>
  </x:si>
  <x:si>
    <x:t xml:space="preserve">2T車L</x:t>
  </x:si>
  <x:si>
    <x:t xml:space="preserve">3T車シャ</x:t>
  </x:si>
  <x:si>
    <x:t xml:space="preserve">4T車シャ</x:t>
  </x:si>
  <x:si>
    <x:t xml:space="preserve">容量㎥ヨウリョウ</x:t>
  </x:si>
  <x:si>
    <x:t xml:space="preserve">リビング</x:t>
  </x:si>
  <x:si>
    <x:t xml:space="preserve">家具カグ</x:t>
  </x:si>
  <x:si>
    <x:t xml:space="preserve">ソファー　1人掛けヒトリガ</x:t>
  </x:si>
  <x:si>
    <x:t xml:space="preserve">ソファー　2人掛けヒトリガ</x:t>
  </x:si>
  <x:si>
    <x:t xml:space="preserve">作成者サクセイシャ</x:t>
  </x:si>
  <x:si>
    <x:t xml:space="preserve">ソファー　3人掛けヒトリガ</x:t>
  </x:si>
  <x:si>
    <x:t xml:space="preserve">応接センターテーブルオウセツ</x:t>
  </x:si>
  <x:si>
    <x:t xml:space="preserve">作成日サクセイビ</x:t>
  </x:si>
  <x:si>
    <x:t xml:space="preserve">年ネン</x:t>
  </x:si>
  <x:si>
    <x:t xml:space="preserve">月ツキ</x:t>
  </x:si>
  <x:si>
    <x:t xml:space="preserve">日ヒ</x:t>
  </x:si>
  <x:si>
    <x:t xml:space="preserve">現在ゲンザイ</x:t>
  </x:si>
  <x:si>
    <x:t xml:space="preserve">サイドボード</x:t>
  </x:si>
  <x:si>
    <x:t xml:space="preserve">リビングボード</x:t>
  </x:si>
  <x:si>
    <x:t xml:space="preserve">ローボード</x:t>
  </x:si>
  <x:si>
    <x:t xml:space="preserve">チェスト</x:t>
  </x:si>
  <x:si>
    <x:t xml:space="preserve">仏壇 小ブツダンショウ</x:t>
  </x:si>
  <x:si>
    <x:t xml:space="preserve">仏壇　中ブツダンチュウ</x:t>
  </x:si>
  <x:si>
    <x:t xml:space="preserve">仏壇　大ブツダンダイ</x:t>
  </x:si>
  <x:si>
    <x:t xml:space="preserve">家電カデン</x:t>
  </x:si>
  <x:si>
    <x:t xml:space="preserve">電話・FAXデンワ</x:t>
  </x:si>
  <x:si>
    <x:t xml:space="preserve">電話台デンワダイ</x:t>
  </x:si>
  <x:si>
    <x:t xml:space="preserve">テレビ</x:t>
  </x:si>
  <x:si>
    <x:t xml:space="preserve">☆</x:t>
  </x:si>
  <x:si>
    <x:t xml:space="preserve">液晶テレビ　32型エキショウガタ</x:t>
  </x:si>
  <x:si>
    <x:t xml:space="preserve">液晶テレビ　37型エキショウガタ</x:t>
  </x:si>
  <x:si>
    <x:t xml:space="preserve">液晶テレビ　40型エキショウガタ</x:t>
  </x:si>
  <x:si>
    <x:t xml:space="preserve">液晶テレビ　43型エキショウガタ</x:t>
  </x:si>
  <x:si>
    <x:t xml:space="preserve">テレビ台 小ダイショウ</x:t>
  </x:si>
  <x:si>
    <x:t xml:space="preserve">テレビ台　中ダイチュウ</x:t>
  </x:si>
  <x:si>
    <x:t xml:space="preserve">テレビ台　大ダイダイ</x:t>
  </x:si>
  <x:si>
    <x:t xml:space="preserve">ビデオ・DVD</x:t>
  </x:si>
  <x:si>
    <x:t xml:space="preserve">ステレオ・コンポ</x:t>
  </x:si>
  <x:si>
    <x:t xml:space="preserve">AVラック</x:t>
  </x:si>
  <x:si>
    <x:t xml:space="preserve">照明器具ショウメイキグ</x:t>
  </x:si>
  <x:si>
    <x:t xml:space="preserve">ストーブ・ヒーター</x:t>
  </x:si>
  <x:si>
    <x:t xml:space="preserve">扇風機センプウキ</x:t>
  </x:si>
  <x:si>
    <x:t xml:space="preserve">空気清浄機クウキセイジョウキ</x:t>
  </x:si>
  <x:si>
    <x:t xml:space="preserve">カーペット</x:t>
  </x:si>
  <x:si>
    <x:t xml:space="preserve">フロアスタンド</x:t>
  </x:si>
  <x:si>
    <x:t xml:space="preserve">エアコン</x:t>
  </x:si>
  <x:si>
    <x:t xml:space="preserve">ウィンドウ型エアコンガタ</x:t>
  </x:si>
  <x:si>
    <x:t xml:space="preserve">マッサージチェア</x:t>
  </x:si>
  <x:si>
    <x:t xml:space="preserve">キッチン</x:t>
  </x:si>
  <x:si>
    <x:t xml:space="preserve">食器棚　小ショッキダナショウ</x:t>
  </x:si>
  <x:si>
    <x:t xml:space="preserve">食器棚　中ショッキダナチュウ</x:t>
  </x:si>
  <x:si>
    <x:t xml:space="preserve">食器棚　大ショッキダナダイ</x:t>
  </x:si>
  <x:si>
    <x:t xml:space="preserve">食器棚　特大ショッキダナトクダイ</x:t>
  </x:si>
  <x:si>
    <x:t xml:space="preserve">冷蔵庫 2Dレイゾウコ</x:t>
  </x:si>
  <x:si>
    <x:t xml:space="preserve">冷蔵庫 3Dレイゾウコ</x:t>
  </x:si>
  <x:si>
    <x:t xml:space="preserve">冷蔵庫 4Dレイゾウコ</x:t>
  </x:si>
  <x:si>
    <x:t xml:space="preserve">冷蔵庫 5Dレイゾウコ</x:t>
  </x:si>
  <x:si>
    <x:t xml:space="preserve">冷凍庫レイトウコ</x:t>
  </x:si>
  <x:si>
    <x:t xml:space="preserve">電子レンジデンシ</x:t>
  </x:si>
  <x:si>
    <x:t xml:space="preserve">レンジ台ダイ</x:t>
  </x:si>
  <x:si>
    <x:t xml:space="preserve">食器洗浄機ショッキセンジョウキ</x:t>
  </x:si>
  <x:si>
    <x:t xml:space="preserve">食器乾燥機ショッキカンソウキ</x:t>
  </x:si>
  <x:si>
    <x:t xml:space="preserve">その他ホカ</x:t>
  </x:si>
  <x:si>
    <x:t xml:space="preserve">ガステーブル</x:t>
  </x:si>
  <x:si>
    <x:t xml:space="preserve">食堂セットショクドウ</x:t>
  </x:si>
  <x:si>
    <x:t xml:space="preserve">ワゴン</x:t>
  </x:si>
  <x:si>
    <x:t xml:space="preserve">収納・すき間家具シュウノウマカグ</x:t>
  </x:si>
  <x:si>
    <x:t xml:space="preserve">キッチンカウンター</x:t>
  </x:si>
  <x:si>
    <x:t xml:space="preserve">部屋ヘヤ</x:t>
  </x:si>
  <x:si>
    <x:t xml:space="preserve">カラーBOX</x:t>
  </x:si>
  <x:si>
    <x:t xml:space="preserve">　</x:t>
  </x:si>
  <x:si>
    <x:t xml:space="preserve">人形ケースニンギョウ</x:t>
  </x:si>
  <x:si>
    <x:t xml:space="preserve">雛・五月人形セットヒナゴガツニンギョウ</x:t>
  </x:si>
  <x:si>
    <x:t xml:space="preserve">本棚　小ホンダナショウ</x:t>
  </x:si>
  <x:si>
    <x:t xml:space="preserve">本棚　中ホンダナチュウ</x:t>
  </x:si>
  <x:si>
    <x:t xml:space="preserve">本棚　大ホンダナダイ</x:t>
  </x:si>
  <x:si>
    <x:t xml:space="preserve">机（椅子付）ツクエイスツ</x:t>
  </x:si>
  <x:si>
    <x:t xml:space="preserve">ライティングビュロー</x:t>
  </x:si>
  <x:si>
    <x:t xml:space="preserve">電子ピアノデンシ</x:t>
  </x:si>
  <x:si>
    <x:t xml:space="preserve">パソコン（ノート）</x:t>
  </x:si>
  <x:si>
    <x:t xml:space="preserve">パソコン（デスクトップ）</x:t>
  </x:si>
  <x:si>
    <x:t xml:space="preserve">パソコンラック</x:t>
  </x:si>
  <x:si>
    <x:t xml:space="preserve">洋服タンスヨウフク</x:t>
  </x:si>
  <x:si>
    <x:t xml:space="preserve">ワードローブ</x:t>
  </x:si>
  <x:si>
    <x:t xml:space="preserve">和タンスワ</x:t>
  </x:si>
  <x:si>
    <x:t xml:space="preserve">整理タンス　小セイリショウ</x:t>
  </x:si>
  <x:si>
    <x:t xml:space="preserve">整理タンス　中セイリチュウ</x:t>
  </x:si>
  <x:si>
    <x:t xml:space="preserve">整理タンス　大セイリダイ</x:t>
  </x:si>
  <x:si>
    <x:t xml:space="preserve">ロッカータンス</x:t>
  </x:si>
  <x:si>
    <x:t xml:space="preserve">桐タンス　一段キリイチダン</x:t>
  </x:si>
  <x:si>
    <x:t xml:space="preserve">桐タンス　二段キリニダン</x:t>
  </x:si>
  <x:si>
    <x:t xml:space="preserve">桐タンス　三段キリサンダン</x:t>
  </x:si>
  <x:si>
    <x:t xml:space="preserve">押し入れタンスオイ</x:t>
  </x:si>
  <x:si>
    <x:t xml:space="preserve">衣装ケースイショウ</x:t>
  </x:si>
  <x:si>
    <x:t xml:space="preserve">多段プラケースタダン</x:t>
  </x:si>
  <x:si>
    <x:t xml:space="preserve">茶箱チャバコ</x:t>
  </x:si>
  <x:si>
    <x:t xml:space="preserve">ファンシーケース</x:t>
  </x:si>
  <x:si>
    <x:t xml:space="preserve">ハンガーラック</x:t>
  </x:si>
  <x:si>
    <x:t xml:space="preserve">ハンガーラック　2連レン</x:t>
  </x:si>
  <x:si>
    <x:t xml:space="preserve">ドレッサー</x:t>
  </x:si>
  <x:si>
    <x:t xml:space="preserve">姿見スガタミ</x:t>
  </x:si>
  <x:si>
    <x:t xml:space="preserve">エレクター</x:t>
  </x:si>
  <x:si>
    <x:t xml:space="preserve">寝具シング</x:t>
  </x:si>
  <x:si>
    <x:t xml:space="preserve">布団袋フトンブクロ</x:t>
  </x:si>
  <x:si>
    <x:t xml:space="preserve">ベッド</x:t>
  </x:si>
  <x:si>
    <x:t xml:space="preserve">ベッド　引出し付ヒダツキ</x:t>
  </x:si>
  <x:si>
    <x:t xml:space="preserve">二段ベッドニダン</x:t>
  </x:si>
  <x:si>
    <x:t xml:space="preserve">ソファーベッド</x:t>
  </x:si>
  <x:si>
    <x:t xml:space="preserve">トランクケース</x:t>
  </x:si>
  <x:si>
    <x:t xml:space="preserve">コタツ</x:t>
  </x:si>
  <x:si>
    <x:t xml:space="preserve">座卓ザタク</x:t>
  </x:si>
  <x:si>
    <x:t xml:space="preserve">洗面所センメンジョ</x:t>
  </x:si>
  <x:si>
    <x:t xml:space="preserve">洗濯機　全自動センタクキゼンジドウ</x:t>
  </x:si>
  <x:si>
    <x:t xml:space="preserve">洗濯機　ドラム式センタクキシキ</x:t>
  </x:si>
  <x:si>
    <x:t xml:space="preserve">乾燥機カンソウキ</x:t>
  </x:si>
  <x:si>
    <x:t xml:space="preserve">トイレ</x:t>
  </x:si>
  <x:si>
    <x:t xml:space="preserve">ウォシュレット</x:t>
  </x:si>
  <x:si>
    <x:t xml:space="preserve">外ものソト</x:t>
  </x:si>
  <x:si>
    <x:t xml:space="preserve">自転車　大人用ジテンシャオトナヨウ</x:t>
  </x:si>
  <x:si>
    <x:t xml:space="preserve">自転車　子供用ジテンシャコドモヨウ</x:t>
  </x:si>
  <x:si>
    <x:t xml:space="preserve">タイヤ</x:t>
  </x:si>
  <x:si>
    <x:t xml:space="preserve">スキー</x:t>
  </x:si>
  <x:si>
    <x:t xml:space="preserve">スノーボード</x:t>
  </x:si>
  <x:si>
    <x:t xml:space="preserve">ゴルフバック</x:t>
  </x:si>
  <x:si>
    <x:t xml:space="preserve">ベビーカー</x:t>
  </x:si>
  <x:si>
    <x:t xml:space="preserve">ミシン</x:t>
  </x:si>
  <x:si>
    <x:t xml:space="preserve">絵・額等エガクトウ</x:t>
  </x:si>
  <x:si>
    <x:t xml:space="preserve">植木鉢ウエキバチ</x:t>
  </x:si>
  <x:si>
    <x:t xml:space="preserve">物置モノオキ</x:t>
  </x:si>
  <x:si>
    <x:t xml:space="preserve">物干し台・竿モノホダイサオ</x:t>
  </x:si>
  <x:si>
    <x:t xml:space="preserve">金庫キンコ</x:t>
  </x:si>
  <x:si>
    <x:t xml:space="preserve">玄関ゲンカン</x:t>
  </x:si>
  <x:si>
    <x:t xml:space="preserve">下駄箱ゲタバコ</x:t>
  </x:si>
  <x:si>
    <x:t xml:space="preserve">傘立てカサタ</x:t>
  </x:si>
  <x:si>
    <x:t xml:space="preserve">椅子イス</x:t>
  </x:si>
  <x:si>
    <x:t xml:space="preserve">資材シザイ</x:t>
  </x:si>
  <x:si>
    <x:t xml:space="preserve">オリコン</x:t>
  </x:si>
  <x:si>
    <x:t xml:space="preserve">定数テイスウ</x:t>
  </x:si>
  <x:si>
    <x:t xml:space="preserve">ポイント</x:t>
  </x:si>
  <x:si>
    <x:t xml:space="preserve">ダンボールA</x:t>
  </x:si>
  <x:si>
    <x:t xml:space="preserve">ダンボールB</x:t>
  </x:si>
  <x:si>
    <x:t xml:space="preserve">ハンガーBOX</x:t>
  </x:si>
  <x:si>
    <x:t xml:space="preserve">トラック空き容量アヨウリョウ</x:t>
  </x:si>
  <x:si>
    <x:t xml:space="preserve">台車ダイシャ</x:t>
  </x:si>
  <x:si>
    <x:t xml:space="preserve">パイロン</x:t>
  </x:si>
  <x:si>
    <x:t xml:space="preserve">お  見  積  書ケンセキショ</x:t>
  </x:si>
  <x:si>
    <x:t xml:space="preserve">京王運輸株式会社ケイオウウンユカブシキガイシャ</x:t>
  </x:si>
  <x:si>
    <x:t xml:space="preserve">           荷　物　チ　ェ　ッ　ク　リ　ス　トニブツ</x:t>
  </x:si>
  <x:si>
    <x:t xml:space="preserve">A 営業所控</x:t>
  </x:si>
  <x:si>
    <x:t xml:space="preserve">No,</x:t>
  </x:si>
  <x:si>
    <x:t xml:space="preserve">家財物品名カザイブッピンメイ</x:t>
  </x:si>
  <x:si>
    <x:t xml:space="preserve">数　量カズリョウ</x:t>
  </x:si>
  <x:si>
    <x:t xml:space="preserve">多摩引越センタータマヒッコ</x:t>
  </x:si>
  <x:si>
    <x:t xml:space="preserve">多摩市落合1-12-1</x:t>
  </x:si>
  <x:si>
    <x:t xml:space="preserve">お客様キャクサマ</x:t>
  </x:si>
  <x:si>
    <x:t xml:space="preserve">様サマ</x:t>
  </x:si>
  <x:si>
    <x:t xml:space="preserve">キッチン・ダイニング</x:t>
  </x:si>
  <x:si>
    <x:t xml:space="preserve">その他　家具・家電・雑貨タカグカデンザッカ</x:t>
  </x:si>
  <x:si>
    <x:t xml:space="preserve">0120-076-110</x:t>
  </x:si>
  <x:si>
    <x:t xml:space="preserve">ソファー</x:t>
  </x:si>
  <x:si>
    <x:t xml:space="preserve">食器棚ショッキタナ</x:t>
  </x:si>
  <x:si>
    <x:t xml:space="preserve">世田谷引越センター </x:t>
  </x:si>
  <x:si>
    <x:t xml:space="preserve">世田谷区上北沢4-36-15</x:t>
  </x:si>
  <x:si>
    <x:t xml:space="preserve">冷蔵庫レイゾウコ</x:t>
  </x:si>
  <x:si>
    <x:r>
      <x:t xml:space="preserve">洗濯機</x:t>
    </x:r>
    <x:r>
      <x:rPr>
        <x:sz val="9"/>
        <x:color theme="1"/>
        <x:rFont val="游ゴシック"/>
        <x:family val="3"/>
        <x:scheme val="minor"/>
      </x:rPr>
      <x:t xml:space="preserve"> (ドラム式・自)</x:t>
    </x:r>
  </x:si>
  <x:si>
    <x:t xml:space="preserve">0120-391-110　</x:t>
  </x:si>
  <x:si>
    <x:t xml:space="preserve">承　りウケタマワ</x:t>
  </x:si>
  <x:si>
    <x:t xml:space="preserve">担当タントウ</x:t>
  </x:si>
  <x:si>
    <x:t xml:space="preserve">実施確認ジッシカクニン</x:t>
  </x:si>
  <x:si>
    <x:t xml:space="preserve">確認者カクニンシャ</x:t>
  </x:si>
  <x:si>
    <x:t xml:space="preserve">下　見シタミ</x:t>
  </x:si>
  <x:si>
    <x:t xml:space="preserve">曜日ヨウビ</x:t>
  </x:si>
  <x:si>
    <x:t xml:space="preserve">資材届日シザイトドヒ</x:t>
  </x:si>
  <x:si>
    <x:t xml:space="preserve">仏壇ブツダン</x:t>
  </x:si>
  <x:si>
    <x:t xml:space="preserve">ライティング</x:t>
  </x:si>
  <x:si>
    <x:t xml:space="preserve">スキー スノーボード</x:t>
  </x:si>
  <x:si>
    <x:t xml:space="preserve">ダイニングテーブル</x:t>
  </x:si>
  <x:si>
    <x:t xml:space="preserve">人用ニンヨウ</x:t>
  </x:si>
  <x:si>
    <x:t xml:space="preserve">引　越　日インコシビ</x:t>
  </x:si>
  <x:si>
    <x:t xml:space="preserve">梱包実施日コンポウジッシビ</x:t>
  </x:si>
  <x:si>
    <x:t xml:space="preserve">液晶テレビエキショウ</x:t>
  </x:si>
  <x:si>
    <x:t xml:space="preserve">引　渡　日インワタリヒ</x:t>
  </x:si>
  <x:si>
    <x:t xml:space="preserve">開梱実施日カイコンジッシビ</x:t>
  </x:si>
  <x:si>
    <x:t xml:space="preserve">有機ELテレビユウキ</x:t>
  </x:si>
  <x:si>
    <x:t xml:space="preserve">収納・すきま家具シュウノウカグ</x:t>
  </x:si>
  <x:si>
    <x:t xml:space="preserve">ドレッサー（椅子付）イスツキ</x:t>
  </x:si>
  <x:si>
    <x:t xml:space="preserve">テレビ台ダイ</x:t>
  </x:si>
  <x:si>
    <x:t xml:space="preserve">姿見（1面鏡）スガタミメンキョウ</x:t>
  </x:si>
  <x:si>
    <x:t xml:space="preserve">現住所ゲンジュウショ</x:t>
  </x:si>
  <x:si>
    <x:t xml:space="preserve">都・道府・県トドウフケン</x:t>
  </x:si>
  <x:si>
    <x:t xml:space="preserve">区・市　町・村クシチョウソン</x:t>
  </x:si>
  <x:si>
    <x:t xml:space="preserve">号棟ゴウトウ</x:t>
  </x:si>
  <x:si>
    <x:t xml:space="preserve">階カイ</x:t>
  </x:si>
  <x:si>
    <x:t xml:space="preserve">収納家具シュウノウカグ</x:t>
  </x:si>
  <x:si>
    <x:t xml:space="preserve">物干し台・竿モノホシダイサオ</x:t>
  </x:si>
  <x:si>
    <x:t xml:space="preserve">号室ゴウシツ</x:t>
  </x:si>
  <x:si>
    <x:t xml:space="preserve">本棚ホンダナ</x:t>
  </x:si>
  <x:si>
    <x:t xml:space="preserve">布団袋（組）フトンブクロクミ</x:t>
  </x:si>
  <x:si>
    <x:t xml:space="preserve">〈備考〉ビコウ</x:t>
  </x:si>
  <x:si>
    <x:t xml:space="preserve">洋服ダンスヨウフク</x:t>
  </x:si>
  <x:si>
    <x:t xml:space="preserve">ベット</x:t>
  </x:si>
  <x:si>
    <x:t xml:space="preserve">自　宅ジタク</x:t>
  </x:si>
  <x:si>
    <x:t xml:space="preserve">ベットマットレス</x:t>
  </x:si>
  <x:si>
    <x:t xml:space="preserve">携　帯タズサオビ</x:t>
  </x:si>
  <x:si>
    <x:t xml:space="preserve">2段ベットダン</x:t>
  </x:si>
  <x:si>
    <x:t xml:space="preserve">中継　　　又は　　　　連絡先チュウケイマタレンラクサキ</x:t>
  </x:si>
  <x:si>
    <x:t xml:space="preserve">整理タンスセイリ</x:t>
  </x:si>
  <x:si>
    <x:t xml:space="preserve">ソファーベット</x:t>
  </x:si>
  <x:si>
    <x:t xml:space="preserve">自宅ジタク</x:t>
  </x:si>
  <x:si>
    <x:t xml:space="preserve">空気清浄機　加湿器クウキセイジョウキカシツキ</x:t>
  </x:si>
  <x:si>
    <x:t xml:space="preserve">桐タンスキリ</x:t>
  </x:si>
  <x:si>
    <x:r>
      <x:rPr>
        <x:sz val="10"/>
        <x:color theme="1"/>
        <x:rFont val="游ゴシック"/>
        <x:family val="3"/>
        <x:scheme val="minor"/>
      </x:rPr>
      <x:t xml:space="preserve">パソコン</x:t>
    </x:r>
    <x:r>
      <x:rPr>
        <x:sz val="7"/>
        <x:color theme="1"/>
        <x:rFont val="游ゴシック"/>
        <x:family val="3"/>
        <x:scheme val="minor"/>
      </x:rPr>
      <x:t xml:space="preserve">(ノート)</x:t>
    </x:r>
  </x:si>
  <x:si>
    <x:t xml:space="preserve">先住所サキジュウショ</x:t>
  </x:si>
  <x:si>
    <x:t xml:space="preserve">押入れタンスオシイ</x:t>
  </x:si>
  <x:si>
    <x:r>
      <x:t xml:space="preserve">パソコン</x:t>
    </x:r>
    <x:r>
      <x:rPr>
        <x:sz val="7"/>
        <x:color theme="1"/>
        <x:rFont val="游ゴシック"/>
        <x:family val="3"/>
        <x:scheme val="minor"/>
      </x:rPr>
      <x:t xml:space="preserve">（デスクトップ）</x:t>
    </x:r>
  </x:si>
  <x:si>
    <x:t xml:space="preserve">　新築・一斉入居・その他（　　　　）シンチクイッセイニュウキョタ</x:t>
  </x:si>
  <x:si>
    <x:t xml:space="preserve">エレクター　ラック</x:t>
  </x:si>
  <x:si>
    <x:t xml:space="preserve">イス</x:t>
  </x:si>
  <x:si>
    <x:t xml:space="preserve">荷造梱包資材料明細ニヅクコンポウシザイリョウメイサイ</x:t>
  </x:si>
  <x:si>
    <x:t xml:space="preserve">運賃ウンチン</x:t>
  </x:si>
  <x:si>
    <x:t xml:space="preserve">T車×シャ</x:t>
  </x:si>
  <x:si>
    <x:t xml:space="preserve">台ダイ</x:t>
  </x:si>
  <x:si>
    <x:t xml:space="preserve">ｋｍ</x:t>
  </x:si>
  <x:si>
    <x:t xml:space="preserve">H</x:t>
  </x:si>
  <x:si>
    <x:t xml:space="preserve">作業内容の確認サギョウナイヨウカクニン</x:t>
  </x:si>
  <x:si>
    <x:t xml:space="preserve">〈特記事項・略図〉トッキジコウリャクズ</x:t>
  </x:si>
  <x:si>
    <x:t xml:space="preserve">数カズ</x:t>
  </x:si>
  <x:si>
    <x:t xml:space="preserve">サービス</x:t>
  </x:si>
  <x:si>
    <x:t xml:space="preserve">家具等大物梱包カグトウオオモノコンポウ</x:t>
  </x:si>
  <x:si>
    <x:t xml:space="preserve">食器等小物の荷造り（　　　 ）％ショッキトウコモノニヅク</x:t>
  </x:si>
  <x:si>
    <x:t xml:space="preserve">クレープ紙シ</x:t>
  </x:si>
  <x:si>
    <x:t xml:space="preserve">料金リョウキン</x:t>
  </x:si>
  <x:si>
    <x:t xml:space="preserve">荷　役ニエキ</x:t>
  </x:si>
  <x:si>
    <x:t xml:space="preserve">発地ハツチ</x:t>
  </x:si>
  <x:si>
    <x:t xml:space="preserve">名メイ</x:t>
  </x:si>
  <x:si>
    <x:t xml:space="preserve">開梱作業（ダンボール類）カイコンサギョウルイ</x:t>
  </x:si>
  <x:si>
    <x:t xml:space="preserve">クラフトテープ</x:t>
  </x:si>
  <x:si>
    <x:t xml:space="preserve">着地チャクチ</x:t>
  </x:si>
  <x:si>
    <x:t xml:space="preserve">組立家具（解体・組立）　　クミタテカグカイタイクミタテ</x:t>
  </x:si>
  <x:si>
    <x:t xml:space="preserve">梱包・開梱コンポウカイコン</x:t>
  </x:si>
  <x:si>
    <x:t xml:space="preserve">梱包コンポウ</x:t>
  </x:si>
  <x:si>
    <x:t xml:space="preserve">物置（解体・組立）モノオキカイタイクミタテ</x:t>
  </x:si>
  <x:si>
    <x:t xml:space="preserve">開梱カイコン</x:t>
  </x:si>
  <x:si>
    <x:t xml:space="preserve">ピアノ運搬（協力会社により運搬）ウンパンキョウリョクガイシャウンパン</x:t>
  </x:si>
  <x:si>
    <x:t xml:space="preserve">計ケイ</x:t>
  </x:si>
  <x:si>
    <x:t xml:space="preserve">TV・AV等配線　　トウハイセン</x:t>
  </x:si>
  <x:si>
    <x:t xml:space="preserve">照明器具（取外・取付）ショウメイキグトリハズトリツケ</x:t>
  </x:si>
  <x:si>
    <x:t xml:space="preserve">そ の 他タ</x:t>
  </x:si>
  <x:si>
    <x:t xml:space="preserve">種別シュベツ</x:t>
  </x:si>
  <x:si>
    <x:t xml:space="preserve">パソコン配線ハイセン</x:t>
  </x:si>
  <x:si>
    <x:t xml:space="preserve">単価タンカ</x:t>
  </x:si>
  <x:si>
    <x:t xml:space="preserve">金　額キンガク</x:t>
  </x:si>
  <x:si>
    <x:t xml:space="preserve">計　　　　　　　　　　　　　（A)ケイ</x:t>
  </x:si>
  <x:si>
    <x:t xml:space="preserve">エアコン移設（取外・取付）イセツトリハズトリツケ</x:t>
  </x:si>
  <x:si>
    <x:t xml:space="preserve">付帯サービス料フタイリョウ</x:t>
  </x:si>
  <x:si>
    <x:t xml:space="preserve">梱包資材費、運搬費コンポウシザイヒウンパンヒ</x:t>
  </x:si>
  <x:si>
    <x:t xml:space="preserve">エアコン追加工事ツイカコウジ</x:t>
  </x:si>
  <x:si>
    <x:t xml:space="preserve">家具類分解組立設置料　カグルイブンカイクミタテセッチリョウ</x:t>
  </x:si>
  <x:si>
    <x:t xml:space="preserve">洗濯機（取外・取付）　センタクキトリハズトリツケ</x:t>
  </x:si>
  <x:si>
    <x:t xml:space="preserve">クレープ紙</x:t>
  </x:si>
  <x:si>
    <x:t xml:space="preserve">養生費ヨウジョウヒ</x:t>
  </x:si>
  <x:si>
    <x:t xml:space="preserve">絵画・骨董品取扱カイガコットウヒントリアツカ</x:t>
  </x:si>
  <x:si>
    <x:t xml:space="preserve">取付トリツケ</x:t>
  </x:si>
  <x:si>
    <x:t xml:space="preserve">取外トリハズ</x:t>
  </x:si>
  <x:si>
    <x:t xml:space="preserve">皿パットサラ</x:t>
  </x:si>
  <x:si>
    <x:t xml:space="preserve">※エアコン工事は部品代、追加工事等は別途料金となります。コウジブヒンダイツイカコウジトウベットリョウキン</x:t>
  </x:si>
  <x:si>
    <x:t xml:space="preserve">ガムテープ</x:t>
  </x:si>
  <x:si>
    <x:t xml:space="preserve">当　日　持　参　引　越　資　材トウヒモチサンインコシシザイ</x:t>
  </x:si>
  <x:si>
    <x:t xml:space="preserve">洗濯機　（取付・取外）センタクキトリツケトリハズ</x:t>
  </x:si>
  <x:si>
    <x:t xml:space="preserve">運送約款の申し伝えウンソウヤッカンモウツタ</x:t>
  </x:si>
  <x:si>
    <x:t xml:space="preserve">キルティング</x:t>
  </x:si>
  <x:si>
    <x:t xml:space="preserve">ベットカバー</x:t>
  </x:si>
  <x:si>
    <x:t xml:space="preserve">ウォシュレット　（取付・取外）</x:t>
  </x:si>
  <x:si>
    <x:t xml:space="preserve">衣裳箱イショウハコ</x:t>
  </x:si>
  <x:si>
    <x:t xml:space="preserve">パット</x:t>
  </x:si>
  <x:si>
    <x:t xml:space="preserve">冷蔵庫パットレイゾウコ</x:t>
  </x:si>
  <x:si>
    <x:t xml:space="preserve">吊上・吊下作業料</x:t>
  </x:si>
  <x:si>
    <x:t xml:space="preserve">現金、有価証券、宝石貴金属、貯金通帳印鑑等の貴重品・高価品取扱ゲンキンユウカショウケンホウセキキキンゾクチョキンツウチョウインカントウキチョウヒンコウカヒントリアツカ</x:t>
  </x:si>
  <x:si>
    <x:t xml:space="preserve">毛布モウフ</x:t>
  </x:si>
  <x:si>
    <x:t xml:space="preserve">プラダンボール</x:t>
  </x:si>
  <x:si>
    <x:t xml:space="preserve">ピアノ運搬費</x:t>
  </x:si>
  <x:si>
    <x:t xml:space="preserve">合　計ゴウケイ</x:t>
  </x:si>
  <x:si>
    <x:t xml:space="preserve">吊りロープツ</x:t>
  </x:si>
  <x:si>
    <x:t xml:space="preserve">本ホン</x:t>
  </x:si>
  <x:si>
    <x:t xml:space="preserve">青ベニヤアオ</x:t>
  </x:si>
  <x:si>
    <x:t xml:space="preserve">計　　　　　　　　　　　　（B)ケイ</x:t>
  </x:si>
  <x:si>
    <x:t xml:space="preserve">見積書の期限：見積り日より1ヶ月</x:t>
  </x:si>
  <x:si>
    <x:t xml:space="preserve">ケース</x:t>
  </x:si>
  <x:si>
    <x:t xml:space="preserve">エサノン</x:t>
  </x:si>
  <x:si>
    <x:t xml:space="preserve">精算セイサン</x:t>
  </x:si>
  <x:si>
    <x:t xml:space="preserve">現　　金ウツツキン</x:t>
  </x:si>
  <x:si>
    <x:t xml:space="preserve">請　　求ショウモトム</x:t>
  </x:si>
  <x:si>
    <x:t xml:space="preserve">その他タ</x:t>
  </x:si>
  <x:si>
    <x:t xml:space="preserve">運送保険料ウンソウホケンリョウ</x:t>
  </x:si>
  <x:si>
    <x:t xml:space="preserve">脚立キャタツ</x:t>
  </x:si>
  <x:si>
    <x:t xml:space="preserve">個コ</x:t>
  </x:si>
  <x:si>
    <x:t xml:space="preserve">養生シート（長・短）ヨウジョウチョウタン</x:t>
  </x:si>
  <x:si>
    <x:t xml:space="preserve">有料道路使用料ユウリョウドウロシヨウリョウ</x:t>
  </x:si>
  <x:si>
    <x:t xml:space="preserve">実　　　　費ジツヒ</x:t>
  </x:si>
  <x:si>
    <x:t xml:space="preserve">間口用壁養生マグチヨウカベヨウジョウ</x:t>
  </x:si>
  <x:si>
    <x:t xml:space="preserve">階段養生カイダンヨウジョウ</x:t>
  </x:si>
  <x:si>
    <x:t xml:space="preserve">車　　両クルマリョウ</x:t>
  </x:si>
  <x:si>
    <x:t xml:space="preserve">運　転　手ウンテンテ</x:t>
  </x:si>
  <x:si>
    <x:t xml:space="preserve">作　業　員サクギョウイン</x:t>
  </x:si>
  <x:si>
    <x:t xml:space="preserve">インパクト</x:t>
  </x:si>
  <x:si>
    <x:t xml:space="preserve">重量物用床養生ジュウリョウブツヨウユカヨウジョウ</x:t>
  </x:si>
  <x:si>
    <x:t xml:space="preserve">号車ゴウシャ</x:t>
  </x:si>
  <x:si>
    <x:t xml:space="preserve">資材セット（オリコン）シザイ</x:t>
  </x:si>
  <x:si>
    <x:t xml:space="preserve">セット</x:t>
  </x:si>
  <x:si>
    <x:t xml:space="preserve">室内用床養生シツナイヨウユカヨウジョウ</x:t>
  </x:si>
  <x:si>
    <x:t xml:space="preserve">解約手数料…お客様のご都合により解約、又は延期される場合は右記解約手数料他、すでに実施、又は着手した付帯サービス料金をご請求いたします。（引越前々日は見積り運賃、料金の20％、前日は同30％、当日は同50％）カイヤクテスウリョウキャクサマツゴウカイヤクマタエンキバアイウキカイヤクテスウリョウホカジッシマタチャクシュフタイリョウキンセイキュウヒッコシゼンゼンジツミツモウンチンリョウキンゼンジツドウトウジツドウ</x:t>
  </x:si>
  <x:si>
    <x:t xml:space="preserve">ミラスティック</x:t>
  </x:si>
  <x:si>
    <x:t xml:space="preserve">計　　　　  　　　　　　　　（C)ケイ</x:t>
  </x:si>
  <x:si>
    <x:t xml:space="preserve">小計　　　　　　　　〈A+B+C〉ショウケイ</x:t>
  </x:si>
  <x:si>
    <x:t xml:space="preserve">クレジット</x:t>
  </x:si>
  <x:si>
    <x:t xml:space="preserve">No.</x:t>
  </x:si>
  <x:si>
    <x:t xml:space="preserve">消費税ショウヒゼイ</x:t>
  </x:si>
  <x:si>
    <x:t xml:space="preserve">(D)</x:t>
  </x:si>
  <x:si>
    <x:t xml:space="preserve">　　　年　　月　　日ネンガツニチ</x:t>
  </x:si>
  <x:si>
    <x:t xml:space="preserve">総　合　計（税込）　　〈A+B+C+D〉ソウゴウケイゼイコ</x:t>
  </x:si>
  <x:si>
    <x:t xml:space="preserve">,</x:t>
  </x:si>
  <x:si>
    <x:t xml:space="preserve">領収書リョウシュウショ</x:t>
  </x:si>
  <x:si>
    <x:t xml:space="preserve">開始時間　　　　：　　　　　　　　終了時間　　　　：カイシジカンシュウリョウジカン</x:t>
  </x:si>
  <x:si>
    <x:t xml:space="preserve">確認印カクニンイン</x:t>
  </x:si>
  <x:si>
    <x:t xml:space="preserve">解約手数料カイヤクテスウリョウ</x:t>
  </x:si>
  <x:si>
    <x:t xml:space="preserve">前々日ゼンゼンジツ</x:t>
  </x:si>
  <x:si>
    <x:t xml:space="preserve">前日ゼンジツ</x:t>
  </x:si>
  <x:si>
    <x:t xml:space="preserve">当日トウジツ</x:t>
  </x:si>
  <x:si>
    <x:t xml:space="preserve">請求書セイキュウショ</x:t>
  </x:si>
  <x:si>
    <x:t xml:space="preserve">当見積書に記載されたお客様の個人情報は引越業務以外には使用致しません。トウミツモリショキサイキャクサマコジンジョウホウヒッコシギョウムイガイシヨウイタ</x:t>
  </x:si>
  <x:si>
    <x:t xml:space="preserve">京王運輸株式会社  五七 東陸自貨二 第六七六号</x:t>
  </x:si>
  <x:si>
    <x:t xml:space="preserve">＜キャンペーン特典＞トクテン</x:t>
  </x:si>
  <x:si>
    <x:t xml:space="preserve">＜キャンペーン特典＞　　　　　　　　　　　　・ダンボール最大50枚無料サイダイマイムリョウ</x:t>
  </x:si>
  <x:si>
    <x:t xml:space="preserve">＜キャンペーン特典＞　　　　　　　　　　　　・ダンボール最大50枚無料　　　　　　　　　　　　・京王パスポートポイント1000Pプレゼント　　　　　　※京王パスポートカードをお持ちの方に限るトクテンサイダイマイムリョウケイオウケイオウモカタカギ</x:t>
  </x:si>
  <x:si>
    <x:t xml:space="preserve">＜キャンペーン特典＞　　　　　　　　　　　　・ダンボール必要枚数無料　　　　　　　　　　　　・C＆C新宿レトルトカレー4個　ヒツヨウマイスウムリョウシンジュクコ</x:t>
  </x:si>
  <x:si>
    <x:r>
      <x:t xml:space="preserve">お客様のご引越しを </x:t>
    </x:r>
    <x:r>
      <x:rPr>
        <x:b/>
        <x:sz val="18"/>
        <x:color rgb="FF002060"/>
        <x:rFont val="游ゴシック"/>
        <x:family val="3"/>
        <x:scheme val="minor"/>
      </x:rPr>
      <x:t xml:space="preserve">安全 確実 円滑 </x:t>
    </x:r>
    <x:r>
      <x:rPr>
        <x:b/>
        <x:sz val="18"/>
        <x:color theme="1"/>
        <x:rFont val="游ゴシック"/>
        <x:family val="3"/>
        <x:scheme val="minor"/>
      </x:rPr>
      <x:t xml:space="preserve">に実施をさせて頂くために</x:t>
    </x:r>
  </x:si>
  <x:si>
    <x:t xml:space="preserve">  ～　ご引越しに際しての【お願い事】【注意事項】　～ヒッコサイネガゴトチュウイジコウ</x:t>
  </x:si>
  <x:si>
    <x:t xml:space="preserve">　～　フリープランをご利用されるお客様へ　～リヨウキャクサマ</x:t>
  </x:si>
  <x:si>
    <x:t xml:space="preserve">・</x:t>
  </x:si>
  <x:si>
    <x:t xml:space="preserve">別紙の運送約款に目を通して頂くようお願いします。ベッシウンソウヤッカンメトオイタダネガ</x:t>
  </x:si>
  <x:si>
    <x:r>
      <x:t xml:space="preserve">お引越しの開始時間を当社にお任せいただく時間がフリーで</x:t>
    </x:r>
    <x:r>
      <x:rPr>
        <x:b/>
        <x:sz val="12"/>
        <x:color rgb="FFFF0000"/>
        <x:rFont val="游ゴシック"/>
        <x:family val="3"/>
        <x:scheme val="minor"/>
      </x:rPr>
      <x:t xml:space="preserve">2ｔ車1台積み切り</x:t>
    </x:r>
    <x:r>
      <x:rPr>
        <x:b/>
        <x:sz val="12"/>
        <x:color theme="1"/>
        <x:rFont val="游ゴシック"/>
        <x:family val="3"/>
        <x:scheme val="minor"/>
      </x:rPr>
      <x:t xml:space="preserve">（片道運賃）</x:t>
    </x:r>
  </x:si>
  <x:si>
    <x:r>
      <x:t xml:space="preserve">引越し開始時間までに</x:t>
    </x:r>
    <x:r>
      <x:rPr>
        <x:b/>
        <x:sz val="12"/>
        <x:color rgb="FFFF0000"/>
        <x:rFont val="游ゴシック"/>
        <x:family val="3"/>
        <x:scheme val="minor"/>
      </x:rPr>
      <x:t xml:space="preserve">ダンボールの梱包を完了</x:t>
    </x:r>
    <x:r>
      <x:rPr>
        <x:b/>
        <x:sz val="12"/>
        <x:color theme="1"/>
        <x:rFont val="游ゴシック"/>
        <x:family val="3"/>
        <x:scheme val="minor"/>
      </x:rPr>
      <x:t xml:space="preserve">させていただくようお願いします。</x:t>
    </x:r>
  </x:si>
  <x:si>
    <x:t xml:space="preserve">のプランになります。</x:t>
  </x:si>
  <x:si>
    <x:r>
      <x:t xml:space="preserve">また、ダンボールに入る物に関しては</x:t>
    </x:r>
    <x:r>
      <x:rPr>
        <x:b/>
        <x:sz val="12"/>
        <x:color rgb="FFFF0000"/>
        <x:rFont val="游ゴシック"/>
        <x:family val="3"/>
        <x:scheme val="minor"/>
      </x:rPr>
      <x:t xml:space="preserve">家具や冷蔵庫の中身を含め全て</x:t>
    </x:r>
    <x:r>
      <x:rPr>
        <x:b/>
        <x:sz val="12"/>
        <x:color theme="1"/>
        <x:rFont val="游ゴシック"/>
        <x:family val="3"/>
        <x:scheme val="minor"/>
      </x:rPr>
      <x:t xml:space="preserve">梱包をお願いします。</x:t>
    </x:r>
  </x:si>
  <x:si>
    <x:r>
      <x:t xml:space="preserve">引越しをする</x:t>
    </x:r>
    <x:r>
      <x:rPr>
        <x:b/>
        <x:sz val="12"/>
        <x:rFont val="游ゴシック"/>
        <x:family val="3"/>
        <x:scheme val="minor"/>
      </x:rPr>
      <x:t xml:space="preserve">時間の組み合わせを当社で決めさせて頂く</x:t>
    </x:r>
    <x:r>
      <x:rPr>
        <x:b/>
        <x:sz val="12"/>
        <x:color theme="1"/>
        <x:rFont val="游ゴシック"/>
        <x:family val="3"/>
        <x:scheme val="minor"/>
      </x:rPr>
      <x:t xml:space="preserve">分、通常の料金よりもお安くできる</x:t>
    </x:r>
  </x:si>
  <x:si>
    <x:t xml:space="preserve">※作業開始時間までに梱包が終わっていない物、まだ荷物が入っている家具等は運搬をサギョウカイシジカンコンポウオモノニモツハイカグトウウンパン</x:t>
  </x:si>
  <x:si>
    <x:r>
      <x:t xml:space="preserve">プランです。その為、フリープランはお客様の方では</x:t>
    </x:r>
    <x:r>
      <x:rPr>
        <x:b/>
        <x:sz val="12"/>
        <x:color rgb="FFFF0000"/>
        <x:rFont val="游ゴシック"/>
        <x:family val="3"/>
        <x:scheme val="minor"/>
      </x:rPr>
      <x:t xml:space="preserve">時間の指定が出来ません</x:t>
    </x:r>
    <x:r>
      <x:rPr>
        <x:b/>
        <x:sz val="12"/>
        <x:color theme="1"/>
        <x:rFont val="游ゴシック"/>
        <x:family val="3"/>
        <x:scheme val="minor"/>
      </x:rPr>
      <x:t xml:space="preserve">ので、ご注意ください。</x:t>
    </x:r>
  </x:si>
  <x:si>
    <x:t xml:space="preserve">　お断りさせていただきます。その際、契約不履行として引越し作業をお断りさせて頂き、コトワサイケイヤクフリコウヒコサギョウコトワイタダ</x:t>
  </x:si>
  <x:si>
    <x:t xml:space="preserve">基本的には引越し日ＡＭ8：00からＰＭ 17：00迄の間にお伺いをし、作業を開始致しますが、キホンテキヒッコヒマデアイダウカガサギョウカイシイタ</x:t>
  </x:si>
  <x:si>
    <x:t xml:space="preserve">　キャンセル料が発生する場合もございますのでご注意ください。チュウイ</x:t>
  </x:si>
  <x:si>
    <x:t xml:space="preserve">道路状況や、前のお客様の作業が押していますと作業開始時間が17：00を超えてしまう場合がドウロジョウキョウマエキャクサマサギョウオサギョウカイシジカンコバアイ</x:t>
  </x:si>
  <x:si>
    <x:t xml:space="preserve">　ご自身での梱包作業が難しいと思われるお客様には、梱包作業を含めたプランをジシンコンポウサギョウムズカオモキャクサマコンポウサギョウフク</x:t>
  </x:si>
  <x:si>
    <x:t xml:space="preserve">ありますので、ご注意下さい。チュウイクダ</x:t>
  </x:si>
  <x:si>
    <x:t xml:space="preserve">　お勧め致します。</x:t>
  </x:si>
  <x:si>
    <x:t xml:space="preserve">作業開始時間に関しましては、引越し日の2日前に概ねのお時間、引越し日の当日お伺いをする前にサギョウカイシジカンカンヒッコシビヒマエオオムジカンヒッコシヒトウジツウカガマエ</x:t>
  </x:si>
  <x:si>
    <x:r>
      <x:t xml:space="preserve">現金、貴重品、重要書類などは</x:t>
    </x:r>
    <x:r>
      <x:rPr>
        <x:b/>
        <x:sz val="12"/>
        <x:color rgb="FFFF0000"/>
        <x:rFont val="游ゴシック"/>
        <x:family val="3"/>
        <x:scheme val="minor"/>
      </x:rPr>
      <x:t xml:space="preserve">必ずお手荷物扱い</x:t>
    </x:r>
    <x:r>
      <x:rPr>
        <x:b/>
        <x:sz val="12"/>
        <x:color theme="1"/>
        <x:rFont val="游ゴシック"/>
        <x:family val="3"/>
        <x:scheme val="minor"/>
      </x:rPr>
      <x:t xml:space="preserve">としてお客様にて持参してください。</x:t>
    </x:r>
  </x:si>
  <x:si>
    <x:t xml:space="preserve">到着時間をお伝えさせて頂きます。トウチャクジカンツタイタダ</x:t>
  </x:si>
  <x:si>
    <x:t xml:space="preserve">ペット等の動物はお客様とご一緒に移動して頂くようお願いします。ナドドウブツキャクサマイッショイドウイタダネガ</x:t>
  </x:si>
  <x:si>
    <x:r>
      <x:t xml:space="preserve">フリープランは他の</x:t>
    </x:r>
    <x:r>
      <x:rPr>
        <x:b/>
        <x:sz val="12"/>
        <x:rFont val="游ゴシック"/>
        <x:family val="3"/>
        <x:scheme val="minor"/>
      </x:rPr>
      <x:t xml:space="preserve">割引（株主優待を除く）の対象外とな</x:t>
    </x:r>
    <x:r>
      <x:rPr>
        <x:b/>
        <x:sz val="12"/>
        <x:color theme="1"/>
        <x:rFont val="游ゴシック"/>
        <x:family val="3"/>
        <x:scheme val="minor"/>
      </x:rPr>
      <x:t xml:space="preserve">っております。</x:t>
    </x:r>
  </x:si>
  <x:si>
    <x:t xml:space="preserve">TV、AV機器や家電製品のコンセントは予め抜いて頂くようお願いします。キキカデンセイヒンアラカジヌイタダ</x:t>
  </x:si>
  <x:si>
    <x:r>
      <x:t xml:space="preserve">パソコン等のデータは、</x:t>
    </x:r>
    <x:r>
      <x:rPr>
        <x:b/>
        <x:sz val="12"/>
        <x:color rgb="FFFF0000"/>
        <x:rFont val="游ゴシック"/>
        <x:family val="3"/>
        <x:scheme val="minor"/>
      </x:rPr>
      <x:t xml:space="preserve">必ずバックアップ</x:t>
    </x:r>
    <x:r>
      <x:rPr>
        <x:b/>
        <x:sz val="12"/>
        <x:rFont val="游ゴシック"/>
        <x:family val="3"/>
        <x:scheme val="minor"/>
      </x:rPr>
      <x:t xml:space="preserve">を取っていただく</x:t>
    </x:r>
    <x:r>
      <x:rPr>
        <x:b/>
        <x:sz val="12"/>
        <x:color theme="1"/>
        <x:rFont val="游ゴシック"/>
        <x:family val="3"/>
        <x:scheme val="minor"/>
      </x:rPr>
      <x:t xml:space="preserve">ようお願いします。</x:t>
    </x:r>
  </x:si>
  <x:si>
    <x:t xml:space="preserve">※万が一の事故（破損）に対して本体の補償は出来ますが、データの補償はマンイチジコハソンタイホンタイホショウデキホショウ</x:t>
  </x:si>
  <x:si>
    <x:t xml:space="preserve">　致しかねますのでご注意ください。</x:t>
  </x:si>
  <x:si>
    <x:t xml:space="preserve">お見積りの際にお伺いしていない物品や、絵画や骨董品等は運搬する事が出来ない場合がミツモサイウカガブッピンカイガコットウヒントウウンパンコトデキバアイ</x:t>
  </x:si>
  <x:si>
    <x:t xml:space="preserve">ございますので、ご注意ください。チュウイ</x:t>
  </x:si>
  <x:si>
    <x:t xml:space="preserve">ご引越し当日は、ご引越し元での荷物のお預かり（積込）が終了した後にご引越し先へヒッコトウジツヒッコモトニモツアズツミコミシュウリョウノチヒッコサキ</x:t>
  </x:si>
  <x:si>
    <x:t xml:space="preserve">移動をします。当日の責任者が移動の時間をお伝えしますので、お客様におかれましてもトウジツセキニンシャイドウジカンツタキャクサマ</x:t>
  </x:si>
  <x:si>
    <x:t xml:space="preserve">速やかにご引越し先への移動をお願いします。</x:t>
  </x:si>
  <x:si>
    <x:t xml:space="preserve">ご引越し先での家財の配置を事前に決めて頂くようお願いします。ヒッコサキカザイハイチジゼンキイタダネガ</x:t>
  </x:si>
  <x:si>
    <x:t xml:space="preserve">水周りの接続作業は、当社の専門分野ではございません。全自動洗濯機の取付を当社にてミズマワセツゾクサギョウトウシャセンモンブンヤゼンジドウセンタクキトリツケトウシャ</x:t>
  </x:si>
  <x:si>
    <x:t xml:space="preserve">京王運輸　引越センターケイオウウンユヒッコシ</x:t>
  </x:si>
  <x:si>
    <x:t xml:space="preserve">行う場合は、お手伝いの範囲にて作業をさせて頂きますので万が一、水漏れ等の不具合がサギョウイタダマンイチミズモトウフグアイ</x:t>
  </x:si>
  <x:si>
    <x:t xml:space="preserve">ございましても補償の対象外となりますので、ご注意ください。ホショウタイショウガイチュウイ</x:t>
  </x:si>
  <x:si>
    <x:t xml:space="preserve">お客様のご都合により引越しのキャンセルをされる場合、引越し日の2日前から解約手数料がキャクサマツゴウヒッコバアイヒッコビヒマエカイヤクテスウリョウ</x:t>
  </x:si>
  <x:si>
    <x:t xml:space="preserve">発生致しますので、ご注意ください。</x:t>
  </x:si>
  <x:si>
    <x:t xml:space="preserve">距離km　車種Tキョリシャシュ</x:t>
  </x:si>
  <x:si>
    <x:t xml:space="preserve">500km</x:t>
  </x:si>
  <x:si>
    <x:t xml:space="preserve">以上はIF関数イジョウカンスウ</x:t>
  </x:si>
  <x:si>
    <x:t xml:space="preserve">サイズ</x:t>
  </x:si>
  <x:si>
    <x:t xml:space="preserve">台数ダイスウ</x:t>
  </x:si>
  <x:si>
    <x:t xml:space="preserve">距離キョリ</x:t>
  </x:si>
  <x:si>
    <x:t xml:space="preserve">平日ヘイジツ</x:t>
  </x:si>
  <x:si>
    <x:t xml:space="preserve">休日キュウジツ</x:t>
  </x:si>
  <x:si>
    <x:t xml:space="preserve">繁忙期ハンボウキ</x:t>
  </x:si>
  <x:si>
    <x:t xml:space="preserve">引越　種別ヒッコシシュベツ</x:t>
  </x:si>
  <x:si>
    <x:t xml:space="preserve">一般イッパン</x:t>
  </x:si>
  <x:si>
    <x:t xml:space="preserve">011</x:t>
  </x:si>
  <x:si>
    <x:t xml:space="preserve">012</x:t>
  </x:si>
  <x:si>
    <x:t xml:space="preserve">再依頼サイイライ</x:t>
  </x:si>
  <x:si>
    <x:t xml:space="preserve">種別検索シュベツケンサク</x:t>
  </x:si>
  <x:si>
    <x:t xml:space="preserve">013</x:t>
  </x:si>
  <x:si>
    <x:t xml:space="preserve">京王パスポートケイオウ</x:t>
  </x:si>
  <x:si>
    <x:t xml:space="preserve">021</x:t>
  </x:si>
  <x:si>
    <x:t xml:space="preserve">014</x:t>
  </x:si>
  <x:si>
    <x:t xml:space="preserve">京王友の会ケイオウトモカイ</x:t>
  </x:si>
  <x:si>
    <x:t xml:space="preserve">015</x:t>
  </x:si>
  <x:si>
    <x:t xml:space="preserve">株主優待カブヌシユウタイ</x:t>
  </x:si>
  <x:si>
    <x:t xml:space="preserve">016</x:t>
  </x:si>
  <x:si>
    <x:t xml:space="preserve">お客様紹介キャクサマショウカイ</x:t>
  </x:si>
  <x:si>
    <x:t xml:space="preserve">017</x:t>
  </x:si>
  <x:si>
    <x:t xml:space="preserve">一斉入居幹事物件イッセイニュウキョカンジブッケン</x:t>
  </x:si>
  <x:si>
    <x:t xml:space="preserve">018</x:t>
  </x:si>
  <x:si>
    <x:t xml:space="preserve">インターネット</x:t>
  </x:si>
  <x:si>
    <x:t xml:space="preserve">019</x:t>
  </x:si>
  <x:si>
    <x:t xml:space="preserve">グループ（社員）シャイン</x:t>
  </x:si>
  <x:si>
    <x:t xml:space="preserve">京王電鉄ケイオウデンテツ</x:t>
  </x:si>
  <x:si>
    <x:t xml:space="preserve">022</x:t>
  </x:si>
  <x:si>
    <x:t xml:space="preserve">京王百貨店ケイオウヒャッカテン</x:t>
  </x:si>
  <x:si>
    <x:t xml:space="preserve">023</x:t>
  </x:si>
  <x:si>
    <x:t xml:space="preserve">京王バス・西東京バスケイオウニシトウキョウ</x:t>
  </x:si>
  <x:si>
    <x:t xml:space="preserve">024</x:t>
  </x:si>
  <x:si>
    <x:t xml:space="preserve">京王自動車ケイオウジドウシャ</x:t>
  </x:si>
  <x:si>
    <x:t xml:space="preserve">025</x:t>
  </x:si>
  <x:si>
    <x:t xml:space="preserve">京王不動産ケイオウフドウサン</x:t>
  </x:si>
  <x:si>
    <x:t xml:space="preserve">026</x:t>
  </x:si>
  <x:si>
    <x:t xml:space="preserve">京王プラザホテル・京王プレッソインケイオウケイオウ</x:t>
  </x:si>
  <x:si>
    <x:t xml:space="preserve">027</x:t>
  </x:si>
  <x:si>
    <x:t xml:space="preserve">京王観光ケイオウカンコウ</x:t>
  </x:si>
  <x:si>
    <x:t xml:space="preserve">028</x:t>
  </x:si>
  <x:si>
    <x:t xml:space="preserve">京王運輸ケイオウウンユ</x:t>
  </x:si>
  <x:si>
    <x:t xml:space="preserve">029</x:t>
  </x:si>
  <x:si>
    <x:t xml:space="preserve">広告コウコク</x:t>
  </x:si>
  <x:si>
    <x:t xml:space="preserve">031</x:t>
  </x:si>
  <x:si>
    <x:t xml:space="preserve">ウエストサイト</x:t>
  </x:si>
  <x:si>
    <x:t xml:space="preserve">032</x:t>
  </x:si>
  <x:si>
    <x:t xml:space="preserve">ポスティング</x:t>
  </x:si>
  <x:si>
    <x:t xml:space="preserve">033</x:t>
  </x:si>
  <x:si>
    <x:t xml:space="preserve">電車中吊りデンシャナカヅ</x:t>
  </x:si>
  <x:si>
    <x:t xml:space="preserve">034</x:t>
  </x:si>
  <x:si>
    <x:t xml:space="preserve">バス</x:t>
  </x:si>
  <x:si>
    <x:t xml:space="preserve">035</x:t>
  </x:si>
  <x:si>
    <x:t xml:space="preserve">バスチラシ</x:t>
  </x:si>
  <x:si>
    <x:t xml:space="preserve">036</x:t>
  </x:si>
  <x:si>
    <x:t xml:space="preserve">看板カンバン</x:t>
  </x:si>
  <x:si>
    <x:t xml:space="preserve">037</x:t>
  </x:si>
  <x:si>
    <x:t xml:space="preserve">トラック</x:t>
  </x:si>
  <x:si>
    <x:t xml:space="preserve">038</x:t>
  </x:si>
  <x:si>
    <x:t xml:space="preserve">店頭チラシテントウ</x:t>
  </x:si>
  <x:si>
    <x:t xml:space="preserve">039</x:t>
  </x:si>
  <x:si>
    <x:t xml:space="preserve">広告その他コウコクタ</x:t>
  </x:si>
  <x:si>
    <x:t xml:space="preserve">公務員コウムイン</x:t>
  </x:si>
  <x:si>
    <x:t xml:space="preserve">041</x:t>
  </x:si>
  <x:si>
    <x:t xml:space="preserve">東京都トウキョウト</x:t>
  </x:si>
  <x:si>
    <x:t xml:space="preserve">042</x:t>
  </x:si>
  <x:si>
    <x:t xml:space="preserve">特別区トクベツク</x:t>
  </x:si>
  <x:si>
    <x:t xml:space="preserve">043</x:t>
  </x:si>
  <x:si>
    <x:t xml:space="preserve">消防庁ショウボウチョウ</x:t>
  </x:si>
  <x:si>
    <x:t xml:space="preserve">044</x:t>
  </x:si>
  <x:si>
    <x:t xml:space="preserve">警視庁ケイシチョウ</x:t>
  </x:si>
  <x:si>
    <x:t xml:space="preserve">045</x:t>
  </x:si>
  <x:si>
    <x:t xml:space="preserve">市区町村シクチョウソン</x:t>
  </x:si>
  <x:si>
    <x:t xml:space="preserve">046</x:t>
  </x:si>
  <x:si>
    <x:t xml:space="preserve">市区町村紹介シクチョウソンショウカイ</x:t>
  </x:si>
  <x:si>
    <x:t xml:space="preserve">047</x:t>
  </x:si>
  <x:si>
    <x:t xml:space="preserve">048</x:t>
  </x:si>
  <x:si>
    <x:t xml:space="preserve">049</x:t>
  </x:si>
  <x:si>
    <x:t xml:space="preserve">公務員その他コウムインタ</x:t>
  </x:si>
  <x:si>
    <x:t xml:space="preserve">法人委託ホウジンイタク</x:t>
  </x:si>
  <x:si>
    <x:t xml:space="preserve">051</x:t>
  </x:si>
  <x:si>
    <x:t xml:space="preserve">LIXILグループ</x:t>
  </x:si>
  <x:si>
    <x:t xml:space="preserve">052</x:t>
  </x:si>
  <x:si>
    <x:t xml:space="preserve">日本興亜損保ニホンコウアソンポ</x:t>
  </x:si>
  <x:si>
    <x:t xml:space="preserve">053</x:t>
  </x:si>
  <x:si>
    <x:t xml:space="preserve">日立ビルシステムヒタチ</x:t>
  </x:si>
  <x:si>
    <x:t xml:space="preserve">054</x:t>
  </x:si>
  <x:si>
    <x:t xml:space="preserve">日本テクノスニホン</x:t>
  </x:si>
  <x:si>
    <x:t xml:space="preserve">055</x:t>
  </x:si>
  <x:si>
    <x:t xml:space="preserve">八千代エンジニアリングヤチヨ</x:t>
  </x:si>
  <x:si>
    <x:t xml:space="preserve">056</x:t>
  </x:si>
  <x:si>
    <x:t xml:space="preserve">法人委託その他ホウジンイタクタ</x:t>
  </x:si>
  <x:si>
    <x:t xml:space="preserve">法人一般ホウジンイッパン</x:t>
  </x:si>
  <x:si>
    <x:t xml:space="preserve">057</x:t>
  </x:si>
  <x:si>
    <x:t xml:space="preserve">058</x:t>
  </x:si>
  <x:si>
    <x:t xml:space="preserve">059</x:t>
  </x:si>
  <x:si>
    <x:t xml:space="preserve">061</x:t>
  </x:si>
  <x:si>
    <x:t xml:space="preserve">062</x:t>
  </x:si>
  <x:si>
    <x:t xml:space="preserve">京王プラザホテル・京王プレッソインケイオウ</x:t>
  </x:si>
  <x:si>
    <x:t xml:space="preserve">063</x:t>
  </x:si>
  <x:si>
    <x:t xml:space="preserve">京王グループその他ケイオウタ</x:t>
  </x:si>
  <x:si>
    <x:t xml:space="preserve">064</x:t>
  </x:si>
  <x:si>
    <x:t xml:space="preserve">国士舘大学コクシカンダイガク</x:t>
  </x:si>
  <x:si>
    <x:t xml:space="preserve">065</x:t>
  </x:si>
  <x:si>
    <x:t xml:space="preserve">明治安田生命メイジヤスダセイメイ</x:t>
  </x:si>
  <x:si>
    <x:t xml:space="preserve">066</x:t>
  </x:si>
  <x:si>
    <x:t xml:space="preserve">グロップ</x:t>
  </x:si>
  <x:si>
    <x:t xml:space="preserve">067</x:t>
  </x:si>
  <x:si>
    <x:t xml:space="preserve">068</x:t>
  </x:si>
  <x:si>
    <x:t xml:space="preserve">069</x:t>
  </x:si>
  <x:si>
    <x:t xml:space="preserve">法人その他ホウジンタ</x:t>
  </x:si>
  <x:si>
    <x:t xml:space="preserve">グループ（社員）会社・その他の会社及び社員紹介シャインカイシャタカイシャオヨシャインショウカイ</x:t>
  </x:si>
  <x:si>
    <x:t xml:space="preserve">071</x:t>
  </x:si>
  <x:si>
    <x:t xml:space="preserve">不動産紹介フドウサンショウカイ</x:t>
  </x:si>
  <x:si>
    <x:t xml:space="preserve">072</x:t>
  </x:si>
  <x:si>
    <x:t xml:space="preserve">ほっとネットワーク紹介ショウカイ</x:t>
  </x:si>
  <x:si>
    <x:t xml:space="preserve">073</x:t>
  </x:si>
  <x:si>
    <x:t xml:space="preserve">くらしサプリ</x:t>
  </x:si>
  <x:si>
    <x:t xml:space="preserve">074</x:t>
  </x:si>
  <x:si>
    <x:t xml:space="preserve">メモリアル紹介ショウカイ</x:t>
  </x:si>
  <x:si>
    <x:t xml:space="preserve">075</x:t>
  </x:si>
  <x:si>
    <x:t xml:space="preserve">電鉄紹介デンテツショウカイ</x:t>
  </x:si>
  <x:si>
    <x:t xml:space="preserve">076</x:t>
  </x:si>
  <x:si>
    <x:t xml:space="preserve">百貨店外商紹介ヒャッカテンガイショウショウカイ</x:t>
  </x:si>
  <x:si>
    <x:t xml:space="preserve">077</x:t>
  </x:si>
  <x:si>
    <x:t xml:space="preserve">運輸紹介ウンユショウカイ</x:t>
  </x:si>
  <x:si>
    <x:t xml:space="preserve">078</x:t>
  </x:si>
  <x:si>
    <x:t xml:space="preserve">アリスタージュ紹介ショウカイ</x:t>
  </x:si>
  <x:si>
    <x:t xml:space="preserve">079</x:t>
  </x:si>
  <x:si>
    <x:t xml:space="preserve">スマイラス紹介ショウカイ</x:t>
  </x:si>
  <x:si>
    <x:t xml:space="preserve">081</x:t>
  </x:si>
  <x:si>
    <x:t xml:space="preserve">グループ紹介ショウカイ</x:t>
  </x:si>
  <x:si>
    <x:t xml:space="preserve">082</x:t>
  </x:si>
  <x:si>
    <x:t xml:space="preserve">サンビナス紹介ショウカイ</x:t>
  </x:si>
  <x:si>
    <x:t xml:space="preserve">083</x:t>
  </x:si>
  <x:si>
    <x:t xml:space="preserve">リロクラブ紹介ショウカイ</x:t>
  </x:si>
  <x:si>
    <x:t xml:space="preserve">084</x:t>
  </x:si>
  <x:si>
    <x:t xml:space="preserve">085</x:t>
  </x:si>
  <x:si>
    <x:t xml:space="preserve">086</x:t>
  </x:si>
  <x:si>
    <x:t xml:space="preserve">紹介その他ショウカイタ</x:t>
  </x:si>
  <x:si>
    <x:t xml:space="preserve">生前・遺品整理</x:t>
  </x:si>
  <x:si>
    <x:t xml:space="preserve">087</x:t>
  </x:si>
  <x:si>
    <x:t xml:space="preserve">生前整理セイゼンセイリ</x:t>
  </x:si>
  <x:si>
    <x:t xml:space="preserve">088</x:t>
  </x:si>
  <x:si>
    <x:t xml:space="preserve">遺品整理イヒンセイリ</x:t>
  </x:si>
  <x:si>
    <x:t xml:space="preserve">089</x:t>
  </x:si>
  <x:si>
    <x:t xml:space="preserve">セレモア紹介ショウカイ</x:t>
  </x:si>
  <x:si>
    <x:t xml:space="preserve">091</x:t>
  </x:si>
  <x:si>
    <x:t xml:space="preserve">092</x:t>
  </x:si>
  <x:si>
    <x:t xml:space="preserve">処分その他ショブンタ</x:t>
  </x:si>
  <x:si>
    <x:t xml:space="preserve">093</x:t>
  </x:si>
  <x:si>
    <x:t xml:space="preserve">094</x:t>
  </x:si>
  <x:si>
    <x:t xml:space="preserve">095</x:t>
  </x:si>
  <x:si>
    <x:t xml:space="preserve">096</x:t>
  </x:si>
  <x:si>
    <x:t xml:space="preserve">097</x:t>
  </x:si>
  <x:si>
    <x:t xml:space="preserve">098</x:t>
  </x:si>
  <x:si>
    <x:t xml:space="preserve">099</x:t>
  </x:si>
  <x:si>
    <x:t xml:space="preserve">一斉入居イッセイニュウキョ</x:t>
  </x:si>
  <x:si>
    <x:t xml:space="preserve">017A</x:t>
  </x:si>
  <x:si>
    <x:t xml:space="preserve">サンウッド浜田山ハマダヤマ</x:t>
  </x:si>
  <x:si>
    <x:t xml:space="preserve">017B</x:t>
  </x:si>
  <x:si>
    <x:t xml:space="preserve">サンウッド西荻窪ニシオギクボ</x:t>
  </x:si>
  <x:si>
    <x:t xml:space="preserve">017C</x:t>
  </x:si>
  <x:si>
    <x:t xml:space="preserve">ラフィネ橋本テラスハシモト</x:t>
  </x:si>
  <x:si>
    <x:t xml:space="preserve">017D</x:t>
  </x:si>
  <x:si>
    <x:t xml:space="preserve">017E</x:t>
  </x:si>
  <x:si>
    <x:t xml:space="preserve">017F</x:t>
  </x:si>
  <x:si>
    <x:t xml:space="preserve">017G</x:t>
  </x:si>
  <x:si>
    <x:t xml:space="preserve">場所バショ</x:t>
  </x:si>
  <x:si>
    <x:t xml:space="preserve">関数カンスウ</x:t>
  </x:si>
  <x:si>
    <x:t xml:space="preserve">割引率ワリビキリツ</x:t>
  </x:si>
  <x:si>
    <x:t xml:space="preserve">キャンペーン特典トクテン</x:t>
  </x:si>
  <x:si>
    <x:t xml:space="preserve">キャンペーン特典　パスポートポイントトクテン</x:t>
  </x:si>
  <x:si>
    <x:t xml:space="preserve">キャンペーン特典　モディア駒沢トクテンコマザワ</x:t>
  </x:si>
  <x:si>
    <x:t xml:space="preserve">有効期限ユウコウキゲン</x:t>
  </x:si>
  <x:si>
    <x:t xml:space="preserve">下見日　曜日シタミビヨウビ</x:t>
  </x:si>
  <x:si>
    <x:t xml:space="preserve">引越日　曜日ヒッコシビヨウビ</x:t>
  </x:si>
  <x:si>
    <x:t xml:space="preserve">引き渡し日　曜日ヒワタヒヨウビ</x:t>
  </x:si>
  <x:si>
    <x:t xml:space="preserve">梱包　曜日コンポウヨウビ</x:t>
  </x:si>
  <x:si>
    <x:t xml:space="preserve">開梱　曜日カイコンヨウビ</x:t>
  </x:si>
  <x:si>
    <x:t xml:space="preserve">見積り者ミツモシャ</x:t>
  </x:si>
  <x:si>
    <x:t xml:space="preserve">伊勢崎イセザキ</x:t>
  </x:si>
  <x:si>
    <x:t xml:space="preserve">結柴ケツシバ</x:t>
  </x:si>
  <x:si>
    <x:t xml:space="preserve">小松コマツ</x:t>
  </x:si>
  <x:si>
    <x:t xml:space="preserve">中島ナカジマ</x:t>
  </x:si>
  <x:si>
    <x:t xml:space="preserve">柴泉シバイズミ</x:t>
  </x:si>
  <x:si>
    <x:t xml:space="preserve">吉岡ヨシオカ</x:t>
  </x:si>
  <x:si>
    <x:t xml:space="preserve">日高ヒダカ</x:t>
  </x:si>
  <x:si>
    <x:t xml:space="preserve">平林ヒラバヤシ</x:t>
  </x:si>
  <x:si>
    <x:t xml:space="preserve">圷アクツ</x:t>
  </x:si>
  <x:si>
    <x:t xml:space="preserve">中條チュウジョウ</x:t>
  </x:si>
  <x:si>
    <x:t xml:space="preserve">大野オオノ</x:t>
  </x:si>
  <x:si>
    <x:t xml:space="preserve">前野マエノ</x:t>
  </x:si>
  <x:si>
    <x:t xml:space="preserve">橋口ハシグチ</x:t>
  </x:si>
  <x:si>
    <x:t xml:space="preserve">石川イシカワ</x:t>
  </x:si>
  <x:si>
    <x:t xml:space="preserve">菅井スガイ</x:t>
  </x:si>
  <x:si>
    <x:t xml:space="preserve">TEL</x:t>
  </x:si>
</x:sst>
</file>

<file path=xl/styles.xml><?xml version="1.0" encoding="utf-8"?>
<x:styleSheet xmlns:x="http://schemas.openxmlformats.org/spreadsheetml/2006/main">
  <x:numFmts count="15">
    <x:numFmt numFmtId="176" formatCode="0.00_);[Red]\(0.00\)"/>
    <x:numFmt numFmtId="177" formatCode="0_);[Red]\(0\)"/>
    <x:numFmt numFmtId="178" formatCode="#,##0.00&quot;台&quot;"/>
    <x:numFmt numFmtId="179" formatCode="#,##0,000&quot;円&quot;"/>
    <x:numFmt numFmtId="180" formatCode="[$-F800]dddd\,\ mmmm\ dd\,\ yyyy"/>
    <x:numFmt numFmtId="181" formatCode="h:mm;@"/>
    <x:numFmt numFmtId="182" formatCode="###000&quot;円&quot;"/>
    <x:numFmt numFmtId="183" formatCode="#"/>
    <x:numFmt numFmtId="184" formatCode="###,000&quot;円&quot;"/>
    <x:numFmt numFmtId="185" formatCode="0000000"/>
    <x:numFmt numFmtId="186" formatCode="#,###&quot;円&quot;"/>
    <x:numFmt numFmtId="187" formatCode="@&quot;T&quot;"/>
    <x:numFmt numFmtId="188" formatCode="0_ "/>
    <x:numFmt numFmtId="189" formatCode="0.00_ "/>
    <x:numFmt numFmtId="190" formatCode="#,##0&quot;円&quot;;&quot;△ &quot;#,##0&quot;円&quot;"/>
  </x:numFmts>
  <x:fonts count="78">
    <x:font>
      <x:sz val="11"/>
      <x:color theme="1"/>
      <x:name val="游ゴシック"/>
    </x:font>
    <x:font>
      <x:sz val="11"/>
      <x:color theme="1"/>
      <x:name val="游ゴシック"/>
    </x:font>
    <x:font>
      <x:sz val="11"/>
      <x:color theme="1"/>
      <x:name val="游ゴシック"/>
    </x:font>
    <x:font>
      <x:sz val="11"/>
      <x:color theme="1"/>
      <x:name val="游ゴシック"/>
    </x:font>
    <x:font>
      <x:sz val="11"/>
      <x:color theme="1"/>
      <x:name val="游ゴシック"/>
    </x:font>
    <x:font>
      <x:sz val="11"/>
      <x:color theme="1"/>
      <x:name val="游ゴシック"/>
    </x:font>
    <x:font>
      <x:sz val="11"/>
      <x:color theme="1"/>
      <x:name val="游ゴシック"/>
    </x:font>
    <x:font>
      <x:sz val="11"/>
      <x:color theme="1"/>
      <x:name val="游ゴシック"/>
    </x:font>
    <x:font>
      <x:sz val="11"/>
      <x:color theme="1"/>
      <x:name val="游ゴシック"/>
    </x:font>
    <x:font>
      <x:sz val="11"/>
      <x:color theme="1"/>
      <x:name val="游ゴシック"/>
    </x:font>
    <x:font>
      <x:sz val="11"/>
      <x:color theme="1"/>
      <x:name val="游ゴシック"/>
    </x:font>
    <x:font>
      <x:sz val="11"/>
      <x:color theme="1"/>
      <x:name val="游ゴシック"/>
    </x:font>
    <x:font>
      <x:sz val="11"/>
      <x:color theme="1"/>
      <x:name val="游ゴシック"/>
    </x:font>
    <x:font>
      <x:sz val="11"/>
      <x:color theme="1"/>
      <x:name val="游ゴシック"/>
    </x:font>
    <x:font>
      <x:sz val="11"/>
      <x:color theme="1"/>
      <x:name val="游ゴシック"/>
    </x:font>
    <x:font>
      <x:sz val="6"/>
      <x:name val="游ゴシック"/>
    </x:font>
    <x:font>
      <x:sz val="6"/>
      <x:name val="ＭＳ Ｐゴシック"/>
    </x:font>
    <x:font>
      <x:sz val="18"/>
      <x:color indexed="8"/>
      <x:name val="HG丸ｺﾞｼｯｸM-PRO"/>
    </x:font>
    <x:font>
      <x:sz val="12"/>
      <x:color indexed="8"/>
      <x:name val="HG丸ｺﾞｼｯｸM-PRO"/>
    </x:font>
    <x:font>
      <x:sz val="20"/>
      <x:color indexed="8"/>
      <x:name val="HG丸ｺﾞｼｯｸM-PRO"/>
    </x:font>
    <x:font>
      <x:sz val="10"/>
      <x:color indexed="8"/>
      <x:name val="HG丸ｺﾞｼｯｸM-PRO"/>
    </x:font>
    <x:font>
      <x:sz val="6"/>
      <x:name val="游ゴシック"/>
    </x:font>
    <x:font>
      <x:sz val="8"/>
      <x:color theme="1"/>
      <x:name val="游ゴシック"/>
    </x:font>
    <x:font>
      <x:sz val="11"/>
      <x:color theme="1"/>
      <x:name val="游ゴシック"/>
    </x:font>
    <x:font>
      <x:b/>
      <x:sz val="8"/>
      <x:color theme="1"/>
      <x:name val="游ゴシック"/>
    </x:font>
    <x:font>
      <x:sz val="8"/>
      <x:color theme="1"/>
      <x:name val="游ゴシック"/>
    </x:font>
    <x:font>
      <x:sz val="7"/>
      <x:color theme="1"/>
      <x:name val="游ゴシック"/>
    </x:font>
    <x:font>
      <x:sz val="6"/>
      <x:color theme="1"/>
      <x:name val="游ゴシック"/>
    </x:font>
    <x:font>
      <x:sz val="6"/>
      <x:color theme="1"/>
      <x:name val="游ゴシック"/>
    </x:font>
    <x:font>
      <x:b/>
      <x:sz val="9"/>
      <x:color theme="1"/>
      <x:name val="游ゴシック"/>
    </x:font>
    <x:font>
      <x:b/>
      <x:sz val="4"/>
      <x:color theme="1"/>
      <x:name val="游ゴシック"/>
    </x:font>
    <x:font>
      <x:b/>
      <x:sz val="6"/>
      <x:color theme="1"/>
      <x:name val="游ゴシック"/>
    </x:font>
    <x:font>
      <x:sz val="9"/>
      <x:color theme="1"/>
      <x:name val="游ゴシック"/>
    </x:font>
    <x:font>
      <x:b/>
      <x:sz val="11"/>
      <x:color theme="1"/>
      <x:name val="游ゴシック"/>
    </x:font>
    <x:font>
      <x:sz val="7"/>
      <x:color theme="1"/>
      <x:name val="游ゴシック"/>
    </x:font>
    <x:font>
      <x:sz val="10"/>
      <x:color theme="1"/>
      <x:name val="游ゴシック"/>
    </x:font>
    <x:font>
      <x:b/>
      <x:sz val="20"/>
      <x:color theme="1"/>
      <x:name val="游ゴシック"/>
    </x:font>
    <x:font>
      <x:b/>
      <x:sz val="18"/>
      <x:color theme="1"/>
      <x:name val="游ゴシック"/>
    </x:font>
    <x:font>
      <x:b/>
      <x:sz val="14"/>
      <x:color theme="1"/>
      <x:name val="HGPｺﾞｼｯｸM"/>
    </x:font>
    <x:font>
      <x:sz val="14"/>
      <x:color theme="1"/>
      <x:name val="游ゴシック"/>
    </x:font>
    <x:font>
      <x:sz val="16"/>
      <x:color theme="1"/>
      <x:name val="游ゴシック"/>
    </x:font>
    <x:font>
      <x:sz val="10"/>
      <x:color theme="1"/>
      <x:name val="游ゴシック"/>
    </x:font>
    <x:font>
      <x:sz val="12"/>
      <x:color theme="1"/>
      <x:name val="游ゴシック"/>
    </x:font>
    <x:font>
      <x:sz val="14"/>
      <x:color theme="1"/>
      <x:name val="游ゴシック"/>
    </x:font>
    <x:font>
      <x:sz val="11"/>
      <x:color rgb="FF000000"/>
      <x:name val="游ゴシック"/>
    </x:font>
    <x:font>
      <x:sz val="12"/>
      <x:color theme="1"/>
      <x:name val="游ゴシック"/>
    </x:font>
    <x:font>
      <x:sz val="8"/>
      <x:color theme="1"/>
      <x:name val="游ゴシック"/>
    </x:font>
    <x:font>
      <x:sz val="7"/>
      <x:color theme="1"/>
      <x:name val="游ゴシック"/>
    </x:font>
    <x:font>
      <x:sz val="11"/>
      <x:color theme="0"/>
      <x:name val="游ゴシック"/>
    </x:font>
    <x:font>
      <x:sz val="9"/>
      <x:color theme="1"/>
      <x:name val="游ゴシック"/>
    </x:font>
    <x:font>
      <x:sz val="8"/>
      <x:name val="游ゴシック"/>
    </x:font>
    <x:font>
      <x:sz val="8"/>
      <x:name val="游ゴシック"/>
    </x:font>
    <x:font>
      <x:b/>
      <x:sz val="10"/>
      <x:color theme="1"/>
      <x:name val="游ゴシック"/>
    </x:font>
    <x:font>
      <x:sz val="18"/>
      <x:color theme="1"/>
      <x:name val="游ゴシック"/>
    </x:font>
    <x:font>
      <x:sz val="18"/>
      <x:color theme="1"/>
      <x:name val="游ゴシック"/>
    </x:font>
    <x:font>
      <x:sz val="6"/>
      <x:color theme="1"/>
      <x:name val="游ゴシック"/>
    </x:font>
    <x:font>
      <x:sz val="9"/>
      <x:color theme="1"/>
      <x:name val="游ゴシック"/>
    </x:font>
    <x:font>
      <x:sz val="10"/>
      <x:name val="游ゴシック"/>
    </x:font>
    <x:font>
      <x:sz val="9"/>
      <x:color rgb="FF000000"/>
      <x:name val="Meiryo UI"/>
    </x:font>
    <x:font>
      <x:b/>
      <x:sz val="18"/>
      <x:color rgb="FF002060"/>
      <x:name val="游ゴシック"/>
    </x:font>
    <x:font>
      <x:b/>
      <x:sz val="12"/>
      <x:color theme="1"/>
      <x:name val="游ゴシック"/>
    </x:font>
    <x:font>
      <x:b/>
      <x:sz val="12"/>
      <x:color rgb="FFFF0000"/>
      <x:name val="游ゴシック"/>
    </x:font>
    <x:font>
      <x:b/>
      <x:sz val="12"/>
      <x:name val="游ゴシック"/>
    </x:font>
    <x:font>
      <x:sz val="36"/>
      <x:color rgb="FF000000"/>
      <x:name val="游ゴシック"/>
    </x:font>
    <x:font>
      <x:sz val="24"/>
      <x:color indexed="8"/>
      <x:name val="HG丸ｺﾞｼｯｸM-PRO"/>
    </x:font>
    <x:font>
      <x:sz val="22"/>
      <x:color indexed="8"/>
      <x:name val="HG丸ｺﾞｼｯｸM-PRO"/>
    </x:font>
    <x:font>
      <x:sz val="24"/>
      <x:color theme="1"/>
      <x:name val="游ゴシック"/>
    </x:font>
    <x:font>
      <x:sz val="24"/>
      <x:name val="HG丸ｺﾞｼｯｸM-PRO"/>
    </x:font>
    <x:font>
      <x:sz val="14"/>
      <x:color indexed="8"/>
      <x:name val="HG丸ｺﾞｼｯｸM-PRO"/>
    </x:font>
    <x:font>
      <x:sz val="16"/>
      <x:color indexed="8"/>
      <x:name val="HG丸ｺﾞｼｯｸM-PRO"/>
    </x:font>
    <x:font>
      <x:sz val="11"/>
      <x:color indexed="8"/>
      <x:name val="HG丸ｺﾞｼｯｸM-PRO"/>
    </x:font>
    <x:font>
      <x:sz val="16"/>
      <x:color rgb="FFFF0000"/>
      <x:name val="HG丸ｺﾞｼｯｸM-PRO"/>
    </x:font>
    <x:font>
      <x:sz val="16"/>
      <x:name val="HG丸ｺﾞｼｯｸM-PRO"/>
    </x:font>
    <x:font>
      <x:b/>
      <x:sz val="14"/>
      <x:color indexed="8"/>
      <x:name val="HG丸ｺﾞｼｯｸM-PRO"/>
    </x:font>
    <x:font>
      <x:b/>
      <x:sz val="12"/>
      <x:color indexed="8"/>
      <x:name val="HG丸ｺﾞｼｯｸM-PRO"/>
    </x:font>
    <x:font>
      <x:b/>
      <x:sz val="24"/>
      <x:color indexed="8"/>
      <x:name val="HG丸ｺﾞｼｯｸM-PRO"/>
    </x:font>
    <x:font>
      <x:sz val="36"/>
      <x:color indexed="8"/>
      <x:name val="HG丸ｺﾞｼｯｸM-PRO"/>
    </x:font>
    <x:font>
      <x:sz val="26"/>
      <x:color indexed="8"/>
      <x:name val="HG丸ｺﾞｼｯｸM-PRO"/>
    </x:font>
  </x:fonts>
  <x:fills count="12">
    <x:fill>
      <x:patternFill patternType="none"/>
    </x:fill>
    <x:fill>
      <x:patternFill patternType="gray125"/>
    </x:fill>
    <x:fill>
      <x:patternFill patternType="solid">
        <x:fgColor theme="0" tint="-0.24998"/>
      </x:patternFill>
    </x:fill>
    <x:fill>
      <x:patternFill patternType="solid">
        <x:fgColor theme="0"/>
      </x:patternFill>
    </x:fill>
    <x:fill>
      <x:patternFill patternType="solid">
        <x:fgColor indexed="65"/>
      </x:patternFill>
    </x:fill>
    <x:fill>
      <x:patternFill patternType="lightGray">
        <x:fgColor theme="0"/>
      </x:patternFill>
    </x:fill>
    <x:fill>
      <x:patternFill patternType="solid">
        <x:fgColor theme="2" tint="-0.09998"/>
      </x:patternFill>
    </x:fill>
    <x:fill>
      <x:patternFill patternType="lightGray">
        <x:fgColor theme="0"/>
        <x:bgColor theme="0"/>
      </x:patternFill>
    </x:fill>
    <x:fill>
      <x:patternFill patternType="solid">
        <x:fgColor rgb="FFFFFF00"/>
      </x:patternFill>
    </x:fill>
    <x:fill>
      <x:patternFill patternType="solid">
        <x:fgColor theme="4" tint="0.79998"/>
      </x:patternFill>
    </x:fill>
    <x:fill>
      <x:patternFill patternType="lightGray">
        <x:fgColor rgb="FFFFFF99"/>
      </x:patternFill>
    </x:fill>
    <x:fill>
      <x:patternFill patternType="gray0625"/>
    </x:fill>
  </x:fills>
  <x:borders count="140">
    <x:border/>
    <x:border>
      <x:bottom style="thin">
        <x:color indexed="64"/>
      </x:bottom>
    </x:border>
    <x:border>
      <x:left style="thin">
        <x:color indexed="64"/>
      </x:left>
    </x:border>
    <x:border>
      <x:top style="thin">
        <x:color indexed="64"/>
      </x:top>
      <x:bottom style="thin">
        <x:color indexed="64"/>
      </x:bottom>
    </x:border>
    <x:border>
      <x:right style="thin">
        <x:color indexed="64"/>
      </x:right>
      <x:bottom style="thin">
        <x:color indexed="64"/>
      </x:bottom>
    </x:border>
    <x:border>
      <x:left style="thin">
        <x:color indexed="64"/>
      </x:left>
      <x:bottom style="thin">
        <x:color indexed="64"/>
      </x:bottom>
    </x:border>
    <x:border>
      <x:left style="thin">
        <x:color indexed="64"/>
      </x:left>
      <x:right style="thin">
        <x:color indexed="64"/>
      </x:righ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top style="thin">
        <x:color indexed="64"/>
      </x:top>
    </x:border>
    <x:border>
      <x:left style="thin">
        <x:color indexed="64"/>
      </x:left>
      <x:top style="thin">
        <x:color indexed="64"/>
      </x:top>
    </x:border>
    <x:border>
      <x:right style="thin">
        <x:color indexed="64"/>
      </x:right>
    </x:border>
    <x:border>
      <x:right style="thin">
        <x:color indexed="64"/>
      </x:right>
      <x:top style="thin">
        <x:color indexed="64"/>
      </x:top>
    </x:border>
    <x:border>
      <x:left style="thin">
        <x:color indexed="64"/>
      </x:left>
      <x:right style="thin">
        <x:color indexed="64"/>
      </x:right>
      <x:bottom style="thin">
        <x:color indexed="64"/>
      </x:bottom>
    </x:border>
    <x:border>
      <x:left style="thin">
        <x:color indexed="64"/>
      </x:left>
      <x:right style="thin">
        <x:color indexed="64"/>
      </x:right>
    </x:border>
    <x:border>
      <x:right style="thin">
        <x:color indexed="64"/>
      </x:right>
      <x:top style="hair">
        <x:color indexed="64"/>
      </x:top>
      <x:bottom style="thin">
        <x:color indexed="64"/>
      </x:bottom>
    </x:border>
    <x:border>
      <x:top style="hair">
        <x:color indexed="64"/>
      </x:top>
      <x:bottom style="thin">
        <x:color indexed="64"/>
      </x:bottom>
    </x:border>
    <x:border>
      <x:left style="thin">
        <x:color indexed="64"/>
      </x:left>
      <x:top style="hair">
        <x:color indexed="64"/>
      </x:top>
      <x:bottom style="thin">
        <x:color indexed="64"/>
      </x:bottom>
    </x:border>
    <x:border>
      <x:right style="thin">
        <x:color indexed="64"/>
      </x:right>
      <x:top style="hair">
        <x:color indexed="64"/>
      </x:top>
      <x:bottom style="hair">
        <x:color indexed="64"/>
      </x:bottom>
    </x:border>
    <x:border>
      <x:top style="hair">
        <x:color indexed="64"/>
      </x:top>
      <x:bottom style="hair">
        <x:color indexed="64"/>
      </x:bottom>
    </x:border>
    <x:border>
      <x:left style="thin">
        <x:color indexed="64"/>
      </x:left>
      <x:top style="hair">
        <x:color indexed="64"/>
      </x:top>
      <x:bottom style="hair">
        <x:color indexed="64"/>
      </x:bottom>
    </x:border>
    <x:border>
      <x:left style="hair">
        <x:color indexed="64"/>
      </x:left>
      <x:right style="thin">
        <x:color indexed="64"/>
      </x:right>
      <x:top style="hair">
        <x:color indexed="64"/>
      </x:top>
      <x:bottom style="thin">
        <x:color indexed="64"/>
      </x:bottom>
    </x:border>
    <x:border>
      <x:left style="hair">
        <x:color indexed="64"/>
      </x:left>
      <x:right style="hair">
        <x:color indexed="64"/>
      </x:right>
      <x:top style="hair">
        <x:color indexed="64"/>
      </x:top>
      <x:bottom style="thin">
        <x:color indexed="64"/>
      </x:bottom>
    </x:border>
    <x:border>
      <x:left style="thin">
        <x:color indexed="64"/>
      </x:left>
      <x:right style="hair">
        <x:color indexed="64"/>
      </x:right>
      <x:top style="hair">
        <x:color indexed="64"/>
      </x:top>
      <x:bottom style="thin">
        <x:color indexed="64"/>
      </x:bottom>
    </x:border>
    <x:border>
      <x:left style="hair">
        <x:color indexed="64"/>
      </x:left>
      <x:right style="thin">
        <x:color indexed="64"/>
      </x:right>
      <x:top style="hair">
        <x:color indexed="64"/>
      </x:top>
      <x:bottom style="hair">
        <x:color indexed="64"/>
      </x:bottom>
    </x:border>
    <x:border>
      <x:left style="hair">
        <x:color indexed="64"/>
      </x:left>
      <x:right style="hair">
        <x:color indexed="64"/>
      </x:right>
      <x:top style="hair">
        <x:color indexed="64"/>
      </x:top>
      <x:bottom style="hair">
        <x:color indexed="64"/>
      </x:bottom>
    </x:border>
    <x:border>
      <x:left style="thin">
        <x:color indexed="64"/>
      </x:left>
      <x:right style="hair">
        <x:color indexed="64"/>
      </x:right>
      <x:top style="hair">
        <x:color indexed="64"/>
      </x:top>
      <x:bottom style="hair">
        <x:color indexed="64"/>
      </x:bottom>
    </x:border>
    <x:border>
      <x:right style="thin">
        <x:color indexed="64"/>
      </x:right>
      <x:bottom style="hair">
        <x:color indexed="64"/>
      </x:bottom>
    </x:border>
    <x:border>
      <x:bottom style="hair">
        <x:color indexed="64"/>
      </x:bottom>
    </x:border>
    <x:border>
      <x:left style="thin">
        <x:color indexed="64"/>
      </x:left>
      <x:bottom style="hair">
        <x:color indexed="64"/>
      </x:bottom>
    </x:border>
    <x:border>
      <x:left style="hair">
        <x:color indexed="64"/>
      </x:left>
      <x:right style="thin">
        <x:color indexed="64"/>
      </x:right>
      <x:top style="hair">
        <x:color indexed="64"/>
      </x:top>
    </x:border>
    <x:border>
      <x:left style="hair">
        <x:color indexed="64"/>
      </x:left>
      <x:right style="hair">
        <x:color indexed="64"/>
      </x:right>
      <x:top style="hair">
        <x:color indexed="64"/>
      </x:top>
    </x:border>
    <x:border>
      <x:left style="thin">
        <x:color indexed="64"/>
      </x:left>
      <x:right style="hair">
        <x:color indexed="64"/>
      </x:right>
      <x:top style="hair">
        <x:color indexed="64"/>
      </x:top>
    </x:border>
    <x:border>
      <x:right style="hair">
        <x:color indexed="64"/>
      </x:right>
      <x:bottom style="hair">
        <x:color indexed="64"/>
      </x:bottom>
    </x:border>
    <x:border>
      <x:right style="hair">
        <x:color auto="1"/>
      </x:right>
    </x:border>
    <x:border>
      <x:right style="hair">
        <x:color indexed="64"/>
      </x:right>
      <x:top style="hair">
        <x:color indexed="64"/>
      </x:top>
    </x:border>
    <x:border>
      <x:top style="hair">
        <x:color indexed="64"/>
      </x:top>
    </x:border>
    <x:border>
      <x:left style="thin">
        <x:color indexed="64"/>
      </x:left>
      <x:top style="hair">
        <x:color indexed="64"/>
      </x:top>
    </x:border>
    <x:border>
      <x:left style="hair">
        <x:color indexed="64"/>
      </x:left>
      <x:right style="thin">
        <x:color indexed="64"/>
      </x:right>
      <x:top style="thin">
        <x:color indexed="64"/>
      </x:top>
      <x:bottom style="hair">
        <x:color indexed="64"/>
      </x:bottom>
    </x:border>
    <x:border>
      <x:left style="hair">
        <x:color indexed="64"/>
      </x:left>
      <x:right style="hair">
        <x:color indexed="64"/>
      </x:right>
      <x:top style="thin">
        <x:color indexed="64"/>
      </x:top>
      <x:bottom style="hair">
        <x:color indexed="64"/>
      </x:bottom>
    </x:border>
    <x:border>
      <x:left style="thin">
        <x:color indexed="64"/>
      </x:left>
      <x:right style="hair">
        <x:color indexed="64"/>
      </x:right>
      <x:top style="thin">
        <x:color indexed="64"/>
      </x:top>
      <x:bottom style="hair">
        <x:color indexed="64"/>
      </x:bottom>
    </x:border>
    <x:border>
      <x:left style="hair">
        <x:color indexed="64"/>
      </x:left>
      <x:bottom style="thin">
        <x:color indexed="64"/>
      </x:bottom>
    </x:border>
    <x:border>
      <x:left style="hair">
        <x:color indexed="64"/>
      </x:left>
      <x:top style="thin">
        <x:color indexed="64"/>
      </x:top>
    </x:border>
    <x:border>
      <x:left style="hair">
        <x:color indexed="64"/>
      </x:left>
      <x:bottom style="hair">
        <x:color indexed="64"/>
      </x:bottom>
    </x:border>
    <x:border>
      <x:left style="hair">
        <x:color indexed="64"/>
      </x:left>
    </x:border>
    <x:border>
      <x:right style="hair">
        <x:color indexed="64"/>
      </x:right>
      <x:bottom style="thin">
        <x:color indexed="64"/>
      </x:bottom>
    </x:border>
    <x:border>
      <x:right style="hair">
        <x:color indexed="64"/>
      </x:right>
      <x:top style="thin">
        <x:color indexed="64"/>
      </x:top>
    </x:border>
    <x:border>
      <x:right style="thin">
        <x:color indexed="64"/>
      </x:right>
      <x:top style="hair">
        <x:color indexed="64"/>
      </x:top>
    </x:border>
    <x:border>
      <x:left style="hair">
        <x:color indexed="64"/>
      </x:left>
      <x:top style="hair">
        <x:color indexed="64"/>
      </x:top>
    </x:border>
    <x:border>
      <x:top style="thin">
        <x:color indexed="64"/>
      </x:top>
      <x:bottom style="hair">
        <x:color indexed="64"/>
      </x:bottom>
    </x:border>
    <x:border>
      <x:left style="thin">
        <x:color indexed="64"/>
      </x:left>
      <x:top style="thin">
        <x:color indexed="64"/>
      </x:top>
      <x:bottom style="hair">
        <x:color indexed="64"/>
      </x:bottom>
    </x:border>
    <x:border>
      <x:left style="hair">
        <x:color indexed="64"/>
      </x:left>
      <x:right style="thin">
        <x:color indexed="64"/>
      </x:right>
      <x:bottom style="hair">
        <x:color indexed="64"/>
      </x:bottom>
    </x:border>
    <x:border>
      <x:left style="hair">
        <x:color indexed="64"/>
      </x:left>
      <x:right style="hair">
        <x:color indexed="64"/>
      </x:right>
      <x:bottom style="hair">
        <x:color indexed="64"/>
      </x:bottom>
    </x:border>
    <x:border>
      <x:left style="thin">
        <x:color indexed="64"/>
      </x:left>
      <x:right style="hair">
        <x:color indexed="64"/>
      </x:right>
      <x:bottom style="hair">
        <x:color indexed="64"/>
      </x:bottom>
    </x:border>
    <x:border>
      <x:left style="hair">
        <x:color indexed="64"/>
      </x:left>
      <x:top style="hair">
        <x:color indexed="64"/>
      </x:top>
      <x:bottom style="thin">
        <x:color indexed="64"/>
      </x:bottom>
    </x:border>
    <x:border>
      <x:left style="hair">
        <x:color indexed="64"/>
      </x:left>
      <x:top style="hair">
        <x:color indexed="64"/>
      </x:top>
      <x:bottom style="hair">
        <x:color indexed="64"/>
      </x:bottom>
    </x:border>
    <x:border>
      <x:right style="thin">
        <x:color indexed="64"/>
      </x:right>
      <x:top style="thin">
        <x:color indexed="64"/>
      </x:top>
      <x:bottom style="hair">
        <x:color indexed="64"/>
      </x:bottom>
    </x:border>
    <x:border>
      <x:left style="hair">
        <x:color indexed="64"/>
      </x:left>
      <x:top style="thin">
        <x:color indexed="64"/>
      </x:top>
      <x:bottom style="hair">
        <x:color indexed="64"/>
      </x:bottom>
    </x:border>
    <x:border>
      <x:left style="thick">
        <x:color indexed="64"/>
      </x:left>
      <x:bottom style="thin">
        <x:color indexed="64"/>
      </x:bottom>
    </x:border>
    <x:border>
      <x:left style="medium">
        <x:color auto="1"/>
      </x:left>
      <x:right style="medium">
        <x:color auto="1"/>
      </x:right>
      <x:top style="medium">
        <x:color auto="1"/>
      </x:top>
      <x:bottom style="medium">
        <x:color auto="1"/>
      </x:bottom>
    </x:border>
    <x:border>
      <x:right style="thin">
        <x:color auto="1"/>
      </x:right>
      <x:top style="medium">
        <x:color auto="1"/>
      </x:top>
      <x:bottom style="medium">
        <x:color auto="1"/>
      </x:bottom>
    </x:border>
    <x:border>
      <x:left style="thin">
        <x:color auto="1"/>
      </x:left>
      <x:right style="thin">
        <x:color auto="1"/>
      </x:right>
      <x:top style="medium">
        <x:color auto="1"/>
      </x:top>
      <x:bottom style="medium">
        <x:color auto="1"/>
      </x:bottom>
    </x:border>
    <x:border>
      <x:left style="thin">
        <x:color auto="1"/>
      </x:left>
      <x:right style="medium">
        <x:color auto="1"/>
      </x:right>
      <x:top style="medium">
        <x:color auto="1"/>
      </x:top>
      <x:bottom style="medium">
        <x:color auto="1"/>
      </x:bottom>
    </x:border>
    <x:border>
      <x:left style="medium">
        <x:color auto="1"/>
      </x:left>
      <x:right style="medium">
        <x:color auto="1"/>
      </x:right>
      <x:bottom style="thin">
        <x:color auto="1"/>
      </x:bottom>
    </x:border>
    <x:border>
      <x:left style="thin">
        <x:color auto="1"/>
      </x:left>
      <x:right style="medium">
        <x:color auto="1"/>
      </x:right>
      <x:bottom style="thin">
        <x:color auto="1"/>
      </x:bottom>
    </x:border>
    <x:border>
      <x:left style="medium">
        <x:color auto="1"/>
      </x:left>
      <x:right style="medium">
        <x:color auto="1"/>
      </x:right>
      <x:top style="medium">
        <x:color auto="1"/>
      </x:top>
      <x:bottom style="thin">
        <x:color auto="1"/>
      </x:bottom>
    </x:border>
    <x:border>
      <x:right style="thin">
        <x:color auto="1"/>
      </x:right>
      <x:top style="medium">
        <x:color auto="1"/>
      </x:top>
      <x:bottom style="thin">
        <x:color auto="1"/>
      </x:bottom>
    </x:border>
    <x:border>
      <x:left style="thin">
        <x:color auto="1"/>
      </x:left>
      <x:right style="thin">
        <x:color auto="1"/>
      </x:right>
      <x:top style="medium">
        <x:color auto="1"/>
      </x:top>
      <x:bottom style="thin">
        <x:color auto="1"/>
      </x:bottom>
    </x:border>
    <x:border>
      <x:left style="thin">
        <x:color auto="1"/>
      </x:left>
      <x:right style="medium">
        <x:color auto="1"/>
      </x:right>
      <x:top style="medium">
        <x:color auto="1"/>
      </x:top>
      <x:bottom style="thin">
        <x:color auto="1"/>
      </x:bottom>
    </x:border>
    <x:border>
      <x:left style="medium">
        <x:color auto="1"/>
      </x:left>
      <x:right style="medium">
        <x:color auto="1"/>
      </x:right>
      <x:top style="thin">
        <x:color auto="1"/>
      </x:top>
      <x:bottom style="thin">
        <x:color auto="1"/>
      </x:bottom>
    </x:border>
    <x:border>
      <x:left style="thin">
        <x:color auto="1"/>
      </x:left>
      <x:right style="medium">
        <x:color auto="1"/>
      </x:right>
      <x:top style="thin">
        <x:color auto="1"/>
      </x:top>
      <x:bottom style="thin">
        <x:color auto="1"/>
      </x:bottom>
    </x:border>
    <x:border>
      <x:left style="medium">
        <x:color auto="1"/>
      </x:left>
      <x:right style="medium">
        <x:color auto="1"/>
      </x:right>
      <x:top style="thin">
        <x:color auto="1"/>
      </x:top>
      <x:bottom style="medium">
        <x:color auto="1"/>
      </x:bottom>
    </x:border>
    <x:border>
      <x:right style="thin">
        <x:color auto="1"/>
      </x:right>
      <x:top style="thin">
        <x:color auto="1"/>
      </x:top>
      <x:bottom style="medium">
        <x:color auto="1"/>
      </x:bottom>
    </x:border>
    <x:border>
      <x:left style="thin">
        <x:color auto="1"/>
      </x:left>
      <x:right style="thin">
        <x:color auto="1"/>
      </x:right>
      <x:top style="thin">
        <x:color auto="1"/>
      </x:top>
      <x:bottom style="medium">
        <x:color auto="1"/>
      </x:bottom>
    </x:border>
    <x:border>
      <x:left style="thin">
        <x:color auto="1"/>
      </x:left>
      <x:right style="medium">
        <x:color auto="1"/>
      </x:right>
      <x:top style="thin">
        <x:color auto="1"/>
      </x:top>
      <x:bottom style="medium">
        <x:color auto="1"/>
      </x:bottom>
    </x:border>
    <x:border>
      <x:right style="medium">
        <x:color auto="1"/>
      </x:right>
      <x:top style="thin">
        <x:color auto="1"/>
      </x:top>
      <x:bottom style="thin">
        <x:color auto="1"/>
      </x:bottom>
    </x:border>
    <x:border>
      <x:top style="thin">
        <x:color theme="4" tint="0.39998"/>
      </x:top>
    </x:border>
    <x:border>
      <x:right style="medium">
        <x:color auto="1"/>
      </x:right>
      <x:top style="thin">
        <x:color indexed="64"/>
      </x:top>
    </x:border>
    <x:border>
      <x:right style="medium">
        <x:color auto="1"/>
      </x:right>
    </x:border>
    <x:border>
      <x:right style="medium">
        <x:color auto="1"/>
      </x:right>
      <x:bottom style="thin">
        <x:color indexed="64"/>
      </x:bottom>
    </x:border>
    <x:border>
      <x:left style="medium">
        <x:color auto="1"/>
      </x:left>
      <x:top style="medium">
        <x:color auto="1"/>
      </x:top>
    </x:border>
    <x:border>
      <x:top style="medium">
        <x:color auto="1"/>
      </x:top>
    </x:border>
    <x:border>
      <x:right style="medium">
        <x:color auto="1"/>
      </x:right>
      <x:top style="medium">
        <x:color auto="1"/>
      </x:top>
    </x:border>
    <x:border>
      <x:left style="medium">
        <x:color auto="1"/>
      </x:left>
    </x:border>
    <x:border>
      <x:left style="medium">
        <x:color auto="1"/>
      </x:left>
      <x:bottom style="medium">
        <x:color auto="1"/>
      </x:bottom>
    </x:border>
    <x:border>
      <x:bottom style="medium">
        <x:color auto="1"/>
      </x:bottom>
    </x:border>
    <x:border>
      <x:right style="medium">
        <x:color auto="1"/>
      </x:right>
      <x:bottom style="medium">
        <x:color auto="1"/>
      </x:bottom>
    </x:border>
    <x:border>
      <x:right style="hair">
        <x:color indexed="64"/>
      </x:right>
      <x:top style="thin">
        <x:color indexed="64"/>
      </x:top>
      <x:bottom style="thin">
        <x:color indexed="64"/>
      </x:bottom>
    </x:border>
    <x:border>
      <x:left style="hair">
        <x:color indexed="64"/>
      </x:left>
      <x:top style="thin">
        <x:color indexed="64"/>
      </x:top>
      <x:bottom style="thin">
        <x:color indexed="64"/>
      </x:bottom>
    </x:border>
    <x:border>
      <x:left style="thin">
        <x:color indexed="64"/>
      </x:left>
      <x:right style="hair">
        <x:color indexed="64"/>
      </x:right>
      <x:bottom style="thin">
        <x:color indexed="64"/>
      </x:bottom>
    </x:border>
    <x:border>
      <x:left style="hair">
        <x:color indexed="64"/>
      </x:left>
      <x:right style="hair">
        <x:color indexed="64"/>
      </x:right>
      <x:bottom style="thin">
        <x:color indexed="64"/>
      </x:bottom>
    </x:border>
    <x:border>
      <x:left style="hair">
        <x:color indexed="64"/>
      </x:left>
      <x:right style="thin">
        <x:color indexed="64"/>
      </x:right>
      <x:bottom style="thin">
        <x:color indexed="64"/>
      </x:bottom>
    </x:border>
    <x:border>
      <x:left style="thin">
        <x:color indexed="64"/>
      </x:left>
      <x:right style="thin">
        <x:color indexed="64"/>
      </x:right>
      <x:top style="hair">
        <x:color indexed="64"/>
      </x:top>
    </x:border>
    <x:border>
      <x:left style="hair">
        <x:color indexed="64"/>
      </x:left>
      <x:right style="thin">
        <x:color indexed="64"/>
      </x:right>
    </x:border>
    <x:border>
      <x:left style="thin">
        <x:color indexed="64"/>
      </x:left>
      <x:right style="thin">
        <x:color indexed="64"/>
      </x:right>
      <x:bottom style="hair">
        <x:color indexed="64"/>
      </x:bottom>
    </x:border>
    <x:border>
      <x:left style="thick">
        <x:color indexed="64"/>
      </x:left>
      <x:right style="thin">
        <x:color indexed="64"/>
      </x:right>
    </x:border>
    <x:border>
      <x:left style="thin">
        <x:color indexed="64"/>
      </x:left>
      <x:bottom style="double">
        <x:color indexed="64"/>
      </x:bottom>
    </x:border>
    <x:border>
      <x:bottom style="double">
        <x:color indexed="64"/>
      </x:bottom>
    </x:border>
    <x:border>
      <x:right style="thin">
        <x:color indexed="64"/>
      </x:right>
      <x:bottom style="double">
        <x:color indexed="64"/>
      </x:bottom>
    </x:border>
    <x:border>
      <x:left style="thin">
        <x:color indexed="64"/>
      </x:left>
      <x:right style="dotted">
        <x:color indexed="64"/>
      </x:right>
      <x:bottom style="dotted">
        <x:color indexed="64"/>
      </x:bottom>
    </x:border>
    <x:border>
      <x:left style="dotted">
        <x:color indexed="64"/>
      </x:left>
      <x:right style="dotted">
        <x:color indexed="64"/>
      </x:right>
    </x:border>
    <x:border>
      <x:left style="dotted">
        <x:color indexed="64"/>
      </x:left>
      <x:right style="double">
        <x:color indexed="64"/>
      </x:right>
      <x:bottom style="dotted">
        <x:color indexed="64"/>
      </x:bottom>
    </x:border>
    <x:border>
      <x:left style="double">
        <x:color indexed="64"/>
      </x:left>
      <x:right style="double">
        <x:color indexed="64"/>
      </x:right>
    </x:border>
    <x:border>
      <x:left style="double">
        <x:color indexed="64"/>
      </x:left>
    </x:border>
    <x:border>
      <x:left style="double">
        <x:color indexed="64"/>
      </x:left>
      <x:right style="thick">
        <x:color indexed="64"/>
      </x:right>
    </x:border>
    <x:border>
      <x:right style="thick">
        <x:color indexed="64"/>
      </x:right>
      <x:bottom style="double">
        <x:color indexed="64"/>
      </x:bottom>
    </x:border>
    <x:border>
      <x:left style="thick">
        <x:color indexed="64"/>
      </x:left>
      <x:right style="thin">
        <x:color indexed="64"/>
      </x:right>
      <x:bottom style="double">
        <x:color indexed="64"/>
      </x:bottom>
    </x:border>
    <x:border>
      <x:left style="thick">
        <x:color indexed="64"/>
      </x:left>
      <x:right style="thin">
        <x:color indexed="64"/>
      </x:right>
      <x:top style="double">
        <x:color indexed="64"/>
      </x:top>
      <x:bottom style="thin">
        <x:color indexed="64"/>
      </x:bottom>
    </x:border>
    <x:border>
      <x:left style="thin">
        <x:color indexed="64"/>
      </x:left>
      <x:right style="thin">
        <x:color indexed="64"/>
      </x:right>
      <x:top style="double">
        <x:color indexed="64"/>
      </x:top>
      <x:bottom style="thin">
        <x:color indexed="64"/>
      </x:bottom>
    </x:border>
    <x:border>
      <x:left style="thin">
        <x:color indexed="64"/>
      </x:left>
      <x:right style="double">
        <x:color indexed="64"/>
      </x:right>
      <x:top style="double">
        <x:color indexed="64"/>
      </x:top>
      <x:bottom style="thin">
        <x:color indexed="64"/>
      </x:bottom>
    </x:border>
    <x:border>
      <x:left style="double">
        <x:color indexed="64"/>
      </x:left>
      <x:right style="thin">
        <x:color indexed="64"/>
      </x:right>
      <x:top style="double">
        <x:color indexed="64"/>
      </x:top>
      <x:bottom style="thin">
        <x:color indexed="64"/>
      </x:bottom>
    </x:border>
    <x:border>
      <x:left style="double">
        <x:color indexed="64"/>
      </x:left>
      <x:right style="thick">
        <x:color indexed="64"/>
      </x:right>
      <x:top style="double">
        <x:color indexed="64"/>
      </x:top>
      <x:bottom style="thin">
        <x:color indexed="64"/>
      </x:bottom>
    </x:border>
    <x:border>
      <x:left style="thick">
        <x:color indexed="64"/>
      </x:left>
      <x:top style="double">
        <x:color indexed="64"/>
      </x:top>
      <x:bottom style="thin">
        <x:color indexed="64"/>
      </x:bottom>
    </x:border>
    <x:border>
      <x:left style="thin">
        <x:color indexed="64"/>
      </x:left>
      <x:right style="thick">
        <x:color indexed="64"/>
      </x:right>
      <x:top style="double">
        <x:color indexed="64"/>
      </x:top>
      <x:bottom style="thin">
        <x:color indexed="64"/>
      </x:bottom>
    </x:border>
    <x:border>
      <x:left style="thick">
        <x:color indexed="64"/>
      </x:left>
      <x:right style="thick">
        <x:color indexed="64"/>
      </x:right>
      <x:top style="double">
        <x:color indexed="64"/>
      </x:top>
      <x:bottom style="thin">
        <x:color indexed="64"/>
      </x:bottom>
    </x:border>
    <x:border>
      <x:left style="thick">
        <x:color indexed="64"/>
      </x:left>
      <x:right style="thin">
        <x:color indexed="64"/>
      </x:right>
      <x:bottom style="thin">
        <x:color indexed="64"/>
      </x:bottom>
    </x:border>
    <x:border>
      <x:left style="thick">
        <x:color indexed="64"/>
      </x:left>
      <x:right style="thin">
        <x:color indexed="64"/>
      </x:right>
      <x:top style="thin">
        <x:color indexed="64"/>
      </x:top>
      <x:bottom style="thin">
        <x:color indexed="64"/>
      </x:bottom>
    </x:border>
    <x:border>
      <x:left style="thin">
        <x:color indexed="64"/>
      </x:left>
      <x:right style="double">
        <x:color indexed="64"/>
      </x:right>
      <x:bottom style="thin">
        <x:color indexed="64"/>
      </x:bottom>
    </x:border>
    <x:border>
      <x:left style="double">
        <x:color indexed="64"/>
      </x:left>
      <x:right style="thin">
        <x:color indexed="64"/>
      </x:right>
      <x:bottom style="thin">
        <x:color indexed="64"/>
      </x:bottom>
    </x:border>
    <x:border>
      <x:left style="thin">
        <x:color indexed="64"/>
      </x:left>
      <x:right style="double">
        <x:color indexed="64"/>
      </x:right>
      <x:top style="thin">
        <x:color indexed="64"/>
      </x:top>
      <x:bottom style="thin">
        <x:color indexed="64"/>
      </x:bottom>
    </x:border>
    <x:border>
      <x:left style="double">
        <x:color indexed="64"/>
      </x:left>
      <x:right style="thick">
        <x:color indexed="64"/>
      </x:right>
      <x:top style="thin">
        <x:color indexed="64"/>
      </x:top>
      <x:bottom style="thin">
        <x:color indexed="64"/>
      </x:bottom>
    </x:border>
    <x:border>
      <x:left style="thick">
        <x:color indexed="64"/>
      </x:left>
      <x:top style="thin">
        <x:color indexed="64"/>
      </x:top>
      <x:bottom style="thin">
        <x:color indexed="64"/>
      </x:bottom>
    </x:border>
    <x:border>
      <x:left style="thin">
        <x:color indexed="64"/>
      </x:left>
      <x:right style="thick">
        <x:color indexed="64"/>
      </x:right>
      <x:bottom style="thin">
        <x:color indexed="64"/>
      </x:bottom>
    </x:border>
    <x:border>
      <x:left style="thick">
        <x:color indexed="64"/>
      </x:left>
      <x:right style="thick">
        <x:color indexed="64"/>
      </x:right>
      <x:bottom style="thin">
        <x:color indexed="64"/>
      </x:bottom>
    </x:border>
    <x:border>
      <x:left style="double">
        <x:color indexed="64"/>
      </x:left>
      <x:right style="thin">
        <x:color indexed="64"/>
      </x:right>
      <x:top style="thin">
        <x:color indexed="64"/>
      </x:top>
      <x:bottom style="thin">
        <x:color indexed="64"/>
      </x:bottom>
    </x:border>
    <x:border>
      <x:left style="double">
        <x:color indexed="64"/>
      </x:left>
      <x:right style="thin">
        <x:color indexed="64"/>
      </x:right>
    </x:border>
    <x:border>
      <x:left style="thick">
        <x:color indexed="64"/>
      </x:left>
      <x:right style="thin">
        <x:color indexed="64"/>
      </x:right>
      <x:top style="thin">
        <x:color indexed="64"/>
      </x:top>
    </x:border>
    <x:border>
      <x:top style="thin">
        <x:color indexed="64"/>
      </x:top>
      <x:bottom style="double">
        <x:color indexed="64"/>
      </x:bottom>
    </x:border>
    <x:border>
      <x:right style="thin">
        <x:color indexed="64"/>
      </x:right>
      <x:top style="thin">
        <x:color indexed="64"/>
      </x:top>
      <x:bottom style="double">
        <x:color indexed="64"/>
      </x:bottom>
    </x:border>
    <x:border>
      <x:left style="thin">
        <x:color indexed="64"/>
      </x:left>
      <x:right style="thin">
        <x:color indexed="64"/>
      </x:right>
      <x:bottom style="double">
        <x:color indexed="64"/>
      </x:bottom>
    </x:border>
    <x:border>
      <x:left style="thin">
        <x:color indexed="64"/>
      </x:left>
      <x:right style="thin">
        <x:color indexed="64"/>
      </x:right>
      <x:top style="thin">
        <x:color indexed="64"/>
      </x:top>
      <x:bottom style="double">
        <x:color indexed="64"/>
      </x:bottom>
    </x:border>
    <x:border>
      <x:left style="double">
        <x:color indexed="64"/>
      </x:left>
      <x:right style="thin">
        <x:color indexed="64"/>
      </x:right>
      <x:top style="thin">
        <x:color indexed="64"/>
      </x:top>
      <x:bottom style="double">
        <x:color indexed="64"/>
      </x:bottom>
    </x:border>
    <x:border>
      <x:left style="thin">
        <x:color indexed="64"/>
      </x:left>
      <x:right style="double">
        <x:color indexed="64"/>
      </x:right>
      <x:top style="thin">
        <x:color indexed="64"/>
      </x:top>
      <x:bottom style="double">
        <x:color indexed="64"/>
      </x:bottom>
    </x:border>
    <x:border>
      <x:left style="double">
        <x:color indexed="64"/>
      </x:left>
      <x:right style="thick">
        <x:color auto="1"/>
      </x:right>
      <x:top style="thin">
        <x:color indexed="64"/>
      </x:top>
      <x:bottom style="double">
        <x:color indexed="64"/>
      </x:bottom>
    </x:border>
    <x:border>
      <x:left style="thick">
        <x:color indexed="64"/>
      </x:left>
      <x:top style="thin">
        <x:color indexed="64"/>
      </x:top>
      <x:bottom style="double">
        <x:color indexed="64"/>
      </x:bottom>
    </x:border>
    <x:border>
      <x:left style="thin">
        <x:color indexed="64"/>
      </x:left>
      <x:right style="thick">
        <x:color indexed="64"/>
      </x:right>
      <x:top style="thin">
        <x:color indexed="64"/>
      </x:top>
      <x:bottom style="double">
        <x:color indexed="64"/>
      </x:bottom>
    </x:border>
    <x:border>
      <x:left style="thick">
        <x:color indexed="64"/>
      </x:left>
      <x:right style="thick">
        <x:color indexed="64"/>
      </x:right>
      <x:top style="thin">
        <x:color indexed="64"/>
      </x:top>
      <x:bottom style="double">
        <x:color indexed="64"/>
      </x:bottom>
    </x:border>
    <x:border>
      <x:left style="thick">
        <x:color indexed="64"/>
      </x:left>
      <x:right style="thin">
        <x:color indexed="64"/>
      </x:right>
      <x:top style="thin">
        <x:color indexed="64"/>
      </x:top>
      <x:bottom style="double">
        <x:color indexed="64"/>
      </x:bottom>
    </x:border>
    <x:border>
      <x:top style="double">
        <x:color indexed="64"/>
      </x:top>
    </x:border>
    <x:border>
      <x:left style="double">
        <x:color indexed="64"/>
      </x:left>
      <x:right style="thick">
        <x:color indexed="64"/>
      </x:right>
      <x:bottom style="thin">
        <x:color indexed="64"/>
      </x:bottom>
    </x:border>
  </x:borders>
  <x:cellStyleXfs count="2">
    <x:xf numFmtId="0" fontId="0" fillId="0" borderId="0"/>
    <x:xf numFmtId="0" fontId="14" fillId="0" borderId="0">
      <x:alignment vertical="center"/>
    </x:xf>
  </x:cellStyleXfs>
  <x:cellXfs count="1144">
    <x:xf numFmtId="0" fontId="0" fillId="0" borderId="0" xfId="0"/>
    <x:xf numFmtId="0" fontId="17" fillId="0" borderId="0" xfId="0" applyFont="1" applyFill="1" applyBorder="1" applyAlignment="1">
      <x:alignment vertical="center"/>
    </x:xf>
    <x:xf numFmtId="176" fontId="18" fillId="0" borderId="0" xfId="0" applyNumberFormat="1" applyFont="1" applyFill="1" applyBorder="1" applyAlignment="1">
      <x:alignment horizontal="center" vertical="center"/>
    </x:xf>
    <x:xf numFmtId="0" fontId="20" fillId="0" borderId="0" xfId="0" applyFont="1" applyFill="1" applyAlignment="1">
      <x:alignment horizontal="center" vertical="center"/>
    </x:xf>
    <x:xf numFmtId="0" fontId="18" fillId="0" borderId="0" xfId="0" applyFont="1" applyFill="1" applyBorder="1" applyAlignment="1">
      <x:alignment horizontal="center" vertical="center"/>
    </x:xf>
    <x:xf numFmtId="0" fontId="17" fillId="0" borderId="0" xfId="0" applyFont="1" applyFill="1" applyBorder="1" applyAlignment="1">
      <x:alignment horizontal="center" vertical="center"/>
    </x:xf>
    <x:xf numFmtId="0" fontId="14" fillId="0" borderId="0" xfId="1">
      <x:alignment vertical="center"/>
    </x:xf>
    <x:xf numFmtId="0" fontId="14" fillId="0" borderId="0" xfId="1" applyBorder="1">
      <x:alignment vertical="center"/>
    </x:xf>
    <x:xf numFmtId="0" fontId="25" fillId="0" borderId="0" xfId="1" applyFont="1">
      <x:alignment vertical="center"/>
    </x:xf>
    <x:xf numFmtId="0" fontId="14" fillId="0" borderId="0" xfId="1" applyBorder="1" applyAlignment="1">
      <x:alignment vertical="center"/>
    </x:xf>
    <x:xf numFmtId="0" fontId="22" fillId="3" borderId="9" xfId="1" applyFont="1" applyFill="1" applyBorder="1" applyAlignment="1">
      <x:alignment vertical="center"/>
    </x:xf>
    <x:xf numFmtId="0" fontId="25" fillId="3" borderId="9" xfId="1" applyFont="1" applyFill="1" applyBorder="1" applyAlignment="1">
      <x:alignment vertical="center"/>
    </x:xf>
    <x:xf numFmtId="0" fontId="24" fillId="3" borderId="9" xfId="1" applyFont="1" applyFill="1" applyBorder="1" applyAlignment="1">
      <x:alignment vertical="center"/>
    </x:xf>
    <x:xf numFmtId="0" fontId="24" fillId="3" borderId="9" xfId="1" applyFont="1" applyFill="1" applyBorder="1" applyAlignment="1">
      <x:alignment vertical="center"/>
    </x:xf>
    <x:xf numFmtId="0" fontId="22" fillId="3" borderId="0" xfId="1" applyFont="1" applyFill="1" applyBorder="1" applyAlignment="1">
      <x:alignment vertical="center"/>
    </x:xf>
    <x:xf numFmtId="0" fontId="24" fillId="3" borderId="0" xfId="1" applyFont="1" applyFill="1" applyBorder="1" applyAlignment="1">
      <x:alignment vertical="center"/>
    </x:xf>
    <x:xf numFmtId="0" fontId="24" fillId="3" borderId="0" xfId="1" applyFont="1" applyFill="1" applyBorder="1" applyAlignment="1">
      <x:alignment vertical="center"/>
    </x:xf>
    <x:xf numFmtId="0" fontId="14" fillId="3" borderId="9" xfId="1" applyFill="1" applyBorder="1" applyAlignment="1">
      <x:alignment vertical="center"/>
    </x:xf>
    <x:xf numFmtId="0" fontId="14" fillId="0" borderId="34" xfId="1" applyBorder="1">
      <x:alignment vertical="center"/>
    </x:xf>
    <x:xf numFmtId="0" fontId="25" fillId="0" borderId="34" xfId="1" applyFont="1" applyBorder="1">
      <x:alignment vertical="center"/>
    </x:xf>
    <x:xf numFmtId="0" fontId="25" fillId="0" borderId="0" xfId="1" applyFont="1" applyBorder="1">
      <x:alignment vertical="center"/>
    </x:xf>
    <x:xf numFmtId="0" fontId="26" fillId="0" borderId="0" xfId="1" applyFont="1" applyAlignment="1">
      <x:alignment vertical="center"/>
    </x:xf>
    <x:xf numFmtId="0" fontId="14" fillId="0" borderId="0" xfId="1" applyAlignment="1">
      <x:alignment horizontal="center" vertical="center"/>
    </x:xf>
    <x:xf numFmtId="0" fontId="0" fillId="0" borderId="0" xfId="0" applyBorder="1"/>
    <x:xf numFmtId="49" fontId="0" fillId="0" borderId="6" xfId="0" applyNumberFormat="1" applyBorder="1"/>
    <x:xf numFmtId="0" fontId="0" fillId="0" borderId="6" xfId="0" applyBorder="1"/>
    <x:xf numFmtId="49" fontId="0" fillId="0" borderId="0" xfId="0" applyNumberFormat="1"/>
    <x:xf numFmtId="0" fontId="0" fillId="0" borderId="0" xfId="0" applyAlignment="1">
      <x:alignment vertical="center"/>
    </x:xf>
    <x:xf numFmtId="0" fontId="0" fillId="0" borderId="0" xfId="0"/>
    <x:xf numFmtId="0" fontId="14" fillId="0" borderId="0" xfId="1" applyBorder="1" applyAlignment="1">
      <x:alignment vertical="top" wrapText="1"/>
    </x:xf>
    <x:xf numFmtId="0" fontId="24" fillId="0" borderId="0" xfId="1" applyFont="1" applyBorder="1" applyAlignment="1">
      <x:alignment vertical="center"/>
    </x:xf>
    <x:xf numFmtId="0" fontId="12" fillId="0" borderId="0" xfId="1" applyFont="1" applyBorder="1" applyAlignment="1">
      <x:alignment vertical="center"/>
    </x:xf>
    <x:xf numFmtId="0" fontId="12" fillId="0" borderId="0" xfId="1" applyFont="1" applyBorder="1" applyAlignment="1">
      <x:alignment vertical="top" wrapText="1"/>
    </x:xf>
    <x:xf numFmtId="0" fontId="10" fillId="0" borderId="0" xfId="1" applyFont="1" applyBorder="1" applyAlignment="1">
      <x:alignment vertical="center"/>
    </x:xf>
    <x:xf numFmtId="9" fontId="0" fillId="0" borderId="0" xfId="0" applyNumberFormat="1"/>
    <x:xf numFmtId="185" fontId="48" fillId="0" borderId="0" xfId="1" applyNumberFormat="1" applyFont="1" applyFill="1">
      <x:alignment vertical="center"/>
    </x:xf>
    <x:xf numFmtId="0" fontId="46" fillId="0" borderId="8" xfId="0" applyFont="1" applyBorder="1" applyAlignment="1">
      <x:alignment vertical="center"/>
    </x:xf>
    <x:xf numFmtId="0" fontId="46" fillId="0" borderId="14" xfId="0" applyFont="1" applyBorder="1" applyAlignment="1">
      <x:alignment vertical="center"/>
    </x:xf>
    <x:xf numFmtId="0" fontId="46" fillId="0" borderId="13" xfId="0" applyFont="1" applyBorder="1" applyAlignment="1">
      <x:alignment vertical="center"/>
    </x:xf>
    <x:xf numFmtId="0" fontId="56" fillId="0" borderId="59" xfId="0" applyFont="1" applyBorder="1"/>
    <x:xf numFmtId="187" fontId="0" fillId="0" borderId="60" xfId="0" applyNumberFormat="1" applyBorder="1" applyAlignment="1">
      <x:alignment horizontal="center" vertical="center"/>
    </x:xf>
    <x:xf numFmtId="187" fontId="0" fillId="0" borderId="61" xfId="0" applyNumberFormat="1" applyBorder="1" applyAlignment="1">
      <x:alignment horizontal="center" vertical="center"/>
    </x:xf>
    <x:xf numFmtId="187" fontId="0" fillId="0" borderId="62" xfId="0" applyNumberFormat="1" applyBorder="1" applyAlignment="1">
      <x:alignment horizontal="center" vertical="center"/>
    </x:xf>
    <x:xf numFmtId="0" fontId="0" fillId="0" borderId="0" xfId="0" applyBorder="1" applyAlignment="1">
      <x:alignment horizontal="center" vertical="center"/>
    </x:xf>
    <x:xf numFmtId="0" fontId="0" fillId="0" borderId="60" xfId="0" applyBorder="1" applyAlignment="1">
      <x:alignment horizontal="center" vertical="center"/>
    </x:xf>
    <x:xf numFmtId="0" fontId="0" fillId="0" borderId="61" xfId="0" applyBorder="1" applyAlignment="1">
      <x:alignment horizontal="center" vertical="center"/>
    </x:xf>
    <x:xf numFmtId="0" fontId="0" fillId="0" borderId="62" xfId="0" applyBorder="1" applyAlignment="1">
      <x:alignment horizontal="center" vertical="center"/>
    </x:xf>
    <x:xf numFmtId="0" fontId="0" fillId="0" borderId="63" xfId="0" applyBorder="1" applyAlignment="1">
      <x:alignment horizontal="center" vertical="center"/>
    </x:xf>
    <x:xf numFmtId="0" fontId="0" fillId="0" borderId="4" xfId="0" applyBorder="1"/>
    <x:xf numFmtId="0" fontId="0" fillId="0" borderId="13" xfId="0" applyBorder="1"/>
    <x:xf numFmtId="0" fontId="0" fillId="0" borderId="64" xfId="0" applyBorder="1"/>
    <x:xf numFmtId="0" fontId="0" fillId="0" borderId="0" xfId="0" applyFill="1" applyBorder="1"/>
    <x:xf numFmtId="0" fontId="0" fillId="0" borderId="65" xfId="0" applyBorder="1" applyAlignment="1">
      <x:alignment horizontal="center" vertical="center"/>
    </x:xf>
    <x:xf numFmtId="0" fontId="0" fillId="0" borderId="66" xfId="0" applyBorder="1"/>
    <x:xf numFmtId="0" fontId="0" fillId="0" borderId="67" xfId="0" applyBorder="1"/>
    <x:xf numFmtId="0" fontId="0" fillId="0" borderId="68" xfId="0" applyBorder="1"/>
    <x:xf numFmtId="0" fontId="0" fillId="0" borderId="69" xfId="0" applyBorder="1" applyAlignment="1">
      <x:alignment horizontal="center" vertical="center"/>
    </x:xf>
    <x:xf numFmtId="0" fontId="0" fillId="0" borderId="7" xfId="0" applyBorder="1"/>
    <x:xf numFmtId="0" fontId="0" fillId="0" borderId="70" xfId="0" applyBorder="1"/>
    <x:xf numFmtId="0" fontId="0" fillId="0" borderId="71" xfId="0" applyBorder="1" applyAlignment="1">
      <x:alignment horizontal="center" vertical="center"/>
    </x:xf>
    <x:xf numFmtId="0" fontId="0" fillId="0" borderId="72" xfId="0" applyBorder="1"/>
    <x:xf numFmtId="0" fontId="0" fillId="0" borderId="73" xfId="0" applyBorder="1"/>
    <x:xf numFmtId="0" fontId="0" fillId="0" borderId="74" xfId="0" applyBorder="1"/>
    <x:xf numFmtId="0" fontId="0" fillId="0" borderId="69" xfId="0" applyFill="1" applyBorder="1" applyAlignment="1">
      <x:alignment horizontal="center" vertical="center"/>
    </x:xf>
    <x:xf numFmtId="0" fontId="0" fillId="0" borderId="75" xfId="0" applyBorder="1"/>
    <x:xf numFmtId="0" fontId="0" fillId="0" borderId="71" xfId="0" applyFill="1" applyBorder="1" applyAlignment="1">
      <x:alignment horizontal="center" vertical="center"/>
    </x:xf>
    <x:xf numFmtId="0" fontId="0" fillId="8" borderId="0" xfId="0" applyFill="1"/>
    <x:xf numFmtId="0" fontId="0" fillId="0" borderId="6" xfId="0" applyFill="1" applyBorder="1"/>
    <x:xf numFmtId="0" fontId="0" fillId="9" borderId="76" xfId="0" applyFill="1" applyBorder="1"/>
    <x:xf numFmtId="0" fontId="0" fillId="0" borderId="76" xfId="0" applyBorder="1"/>
    <x:xf numFmtId="0" fontId="0" fillId="0" borderId="76" xfId="0" applyFill="1" applyBorder="1"/>
    <x:xf numFmtId="0" fontId="25" fillId="0" borderId="0" xfId="1" applyFont="1" applyBorder="1" applyAlignment="1">
      <x:alignment vertical="center"/>
    </x:xf>
    <x:xf numFmtId="0" fontId="47" fillId="0" borderId="0" xfId="1" applyFont="1" applyBorder="1" applyAlignment="1">
      <x:alignment vertical="center"/>
    </x:xf>
    <x:xf numFmtId="0" fontId="22" fillId="0" borderId="0" xfId="1" applyFont="1" applyBorder="1" applyAlignment="1">
      <x:alignment vertical="center"/>
    </x:xf>
    <x:xf numFmtId="0" fontId="26" fillId="0" borderId="0" xfId="1" applyFont="1" applyBorder="1" applyAlignment="1">
      <x:alignment vertical="center"/>
    </x:xf>
    <x:xf numFmtId="0" fontId="34" fillId="0" borderId="0" xfId="1" applyFont="1" applyBorder="1" applyAlignment="1">
      <x:alignment vertical="center"/>
    </x:xf>
    <x:xf numFmtId="0" fontId="28" fillId="0" borderId="0" xfId="1" applyFont="1" applyBorder="1" applyAlignment="1">
      <x:alignment vertical="center"/>
    </x:xf>
    <x:xf numFmtId="0" fontId="27" fillId="0" borderId="0" xfId="1" applyFont="1" applyBorder="1" applyAlignment="1">
      <x:alignment vertical="center"/>
    </x:xf>
    <x:xf numFmtId="0" fontId="50" fillId="0" borderId="0" xfId="1" applyFont="1" applyBorder="1" applyAlignment="1">
      <x:alignment vertical="center"/>
    </x:xf>
    <x:xf numFmtId="0" fontId="51" fillId="0" borderId="0" xfId="1" applyFont="1" applyBorder="1" applyAlignment="1">
      <x:alignment vertical="center"/>
    </x:xf>
    <x:xf numFmtId="0" fontId="31" fillId="0" borderId="48" xfId="1" applyFont="1" applyBorder="1" applyAlignment="1">
      <x:alignment horizontal="center" vertical="center"/>
    </x:xf>
    <x:xf numFmtId="0" fontId="31" fillId="0" borderId="36" xfId="1" applyFont="1" applyBorder="1" applyAlignment="1">
      <x:alignment horizontal="center" vertical="center"/>
    </x:xf>
    <x:xf numFmtId="0" fontId="31" fillId="0" borderId="43" xfId="1" applyFont="1" applyBorder="1" applyAlignment="1">
      <x:alignment horizontal="center" vertical="center"/>
    </x:xf>
    <x:xf numFmtId="0" fontId="31" fillId="0" borderId="28" xfId="1" applyFont="1" applyBorder="1" applyAlignment="1">
      <x:alignment horizontal="center" vertical="center"/>
    </x:xf>
    <x:xf numFmtId="0" fontId="14" fillId="7" borderId="3" xfId="1" applyFill="1" applyBorder="1" applyAlignment="1">
      <x:alignment horizontal="center" vertical="center"/>
    </x:xf>
    <x:xf numFmtId="0" fontId="14" fillId="7" borderId="87" xfId="1" applyFill="1" applyBorder="1" applyAlignment="1">
      <x:alignment horizontal="center" vertical="center"/>
    </x:xf>
    <x:xf numFmtId="0" fontId="35" fillId="7" borderId="88" xfId="1" applyFont="1" applyFill="1" applyBorder="1" applyAlignment="1">
      <x:alignment horizontal="center" vertical="center"/>
    </x:xf>
    <x:xf numFmtId="0" fontId="35" fillId="7" borderId="3" xfId="1" applyFont="1" applyFill="1" applyBorder="1" applyAlignment="1">
      <x:alignment horizontal="center" vertical="center"/>
    </x:xf>
    <x:xf numFmtId="0" fontId="35" fillId="7" borderId="87" xfId="1" applyFont="1" applyFill="1" applyBorder="1" applyAlignment="1">
      <x:alignment horizontal="center" vertical="center"/>
    </x:xf>
    <x:xf numFmtId="0" fontId="14" fillId="7" borderId="88" xfId="1" applyFill="1" applyBorder="1" applyAlignment="1">
      <x:alignment horizontal="center" vertical="center"/>
    </x:xf>
    <x:xf numFmtId="0" fontId="14" fillId="7" borderId="0" xfId="1" applyFill="1" applyBorder="1" applyAlignment="1">
      <x:alignment horizontal="center" vertical="center"/>
    </x:xf>
    <x:xf numFmtId="0" fontId="14" fillId="0" borderId="0" xfId="1" applyBorder="1" applyAlignment="1">
      <x:alignment horizontal="center" vertical="center"/>
    </x:xf>
    <x:xf numFmtId="0" fontId="41" fillId="0" borderId="0" xfId="1" applyFont="1" applyBorder="1" applyAlignment="1">
      <x:alignment horizontal="left" vertical="center"/>
    </x:xf>
    <x:xf numFmtId="0" fontId="41" fillId="0" borderId="0" xfId="1" applyFont="1" applyBorder="1" applyAlignment="1">
      <x:alignment horizontal="center" vertical="center"/>
    </x:xf>
    <x:xf numFmtId="0" fontId="54" fillId="0" borderId="0" xfId="0" applyFont="1" applyBorder="1" applyAlignment="1">
      <x:alignment horizontal="center" vertical="center"/>
    </x:xf>
    <x:xf numFmtId="0" fontId="35" fillId="0" borderId="0" xfId="1" applyFont="1" applyBorder="1" applyAlignment="1">
      <x:alignment horizontal="center" vertical="center"/>
    </x:xf>
    <x:xf numFmtId="183" fontId="35" fillId="0" borderId="0" xfId="1" applyNumberFormat="1" applyFont="1" applyBorder="1" applyAlignment="1">
      <x:alignment horizontal="center" vertical="center"/>
    </x:xf>
    <x:xf numFmtId="183" fontId="41" fillId="0" borderId="0" xfId="1" applyNumberFormat="1" applyFont="1" applyBorder="1" applyAlignment="1">
      <x:alignment horizontal="center" vertical="center"/>
    </x:xf>
    <x:xf numFmtId="183" fontId="14" fillId="0" borderId="0" xfId="1" applyNumberFormat="1" applyBorder="1" applyAlignment="1">
      <x:alignment horizontal="center" vertical="center"/>
    </x:xf>
    <x:xf numFmtId="0" fontId="41" fillId="7" borderId="0" xfId="1" applyFont="1" applyFill="1" applyBorder="1" applyAlignment="1">
      <x:alignment horizontal="left" vertical="center"/>
    </x:xf>
    <x:xf numFmtId="183" fontId="32" fillId="0" borderId="0" xfId="1" applyNumberFormat="1" applyFont="1" applyBorder="1" applyAlignment="1">
      <x:alignment horizontal="center" vertical="center"/>
    </x:xf>
    <x:xf numFmtId="0" fontId="29" fillId="0" borderId="0" xfId="1" applyFont="1" applyAlignment="1">
      <x:alignment vertical="center"/>
    </x:xf>
    <x:xf numFmtId="0" fontId="27" fillId="0" borderId="0" xfId="1" applyFont="1" applyFill="1" applyBorder="1" applyAlignment="1">
      <x:alignment horizontal="center" vertical="center"/>
    </x:xf>
    <x:xf numFmtId="0" fontId="14" fillId="0" borderId="9" xfId="1" applyBorder="1" applyAlignment="1">
      <x:alignment horizontal="center" vertical="center"/>
    </x:xf>
    <x:xf numFmtId="0" fontId="24" fillId="0" borderId="0" xfId="1" applyFont="1" applyFill="1" applyBorder="1" applyAlignment="1">
      <x:alignment vertical="center"/>
    </x:xf>
    <x:xf numFmtId="0" fontId="25" fillId="0" borderId="0" xfId="1" applyFont="1" applyFill="1" applyBorder="1" applyAlignment="1">
      <x:alignment vertical="center"/>
    </x:xf>
    <x:xf numFmtId="0" fontId="22" fillId="0" borderId="0" xfId="1" applyFont="1" applyFill="1" applyBorder="1" applyAlignment="1">
      <x:alignment vertical="center"/>
    </x:xf>
    <x:xf numFmtId="0" fontId="22" fillId="0" borderId="0" xfId="1" applyFont="1" applyAlignment="1">
      <x:alignment vertical="center" wrapText="1"/>
    </x:xf>
    <x:xf numFmtId="0" fontId="22" fillId="0" borderId="0" xfId="1" applyFont="1" applyBorder="1" applyAlignment="1">
      <x:alignment vertical="center" wrapText="1"/>
    </x:xf>
    <x:xf numFmtId="0" fontId="22" fillId="0" borderId="9" xfId="1" applyFont="1" applyBorder="1" applyAlignment="1">
      <x:alignment vertical="center"/>
    </x:xf>
    <x:xf numFmtId="0" fontId="52" fillId="0" borderId="0" xfId="1" applyFont="1" applyAlignment="1">
      <x:alignment vertical="center"/>
    </x:xf>
    <x:xf numFmtId="0" fontId="2" fillId="0" borderId="0" xfId="1" applyFont="1">
      <x:alignment vertical="center"/>
    </x:xf>
    <x:xf numFmtId="0" fontId="42" fillId="0" borderId="0" xfId="0" applyFont="1"/>
    <x:xf numFmtId="0" fontId="37" fillId="0" borderId="0" xfId="0" applyFont="1" applyAlignment="1">
      <x:alignment horizontal="left" vertical="center"/>
    </x:xf>
    <x:xf numFmtId="0" fontId="60" fillId="0" borderId="0" xfId="0" applyFont="1" applyAlignment="1">
      <x:alignment horizontal="center"/>
    </x:xf>
    <x:xf numFmtId="0" fontId="60" fillId="0" borderId="0" xfId="0" applyFont="1" applyAlignment="1">
      <x:alignment horizontal="left" vertical="center"/>
    </x:xf>
    <x:xf numFmtId="0" fontId="60" fillId="0" borderId="0" xfId="0" applyFont="1"/>
    <x:xf numFmtId="0" fontId="60" fillId="0" borderId="0" xfId="0" applyFont="1" applyFill="1" applyBorder="1"/>
    <x:xf numFmtId="0" fontId="60" fillId="0" borderId="0" xfId="0" applyFont="1" applyFill="1" applyBorder="1" applyAlignment="1">
      <x:alignment horizontal="left"/>
    </x:xf>
    <x:xf numFmtId="0" fontId="64" fillId="0" borderId="95" xfId="0" applyFont="1" applyFill="1" applyBorder="1" applyAlignment="1">
      <x:alignment horizontal="center" vertical="center"/>
    </x:xf>
    <x:xf numFmtId="0" fontId="64" fillId="0" borderId="96" xfId="0" applyFont="1" applyFill="1" applyBorder="1" applyAlignment="1">
      <x:alignment horizontal="center" vertical="center"/>
    </x:xf>
    <x:xf numFmtId="0" fontId="64" fillId="0" borderId="97" xfId="0" applyFont="1" applyFill="1" applyBorder="1" applyAlignment="1">
      <x:alignment horizontal="center" vertical="center"/>
    </x:xf>
    <x:xf numFmtId="0" fontId="64" fillId="0" borderId="98" xfId="0" applyFont="1" applyFill="1" applyBorder="1" applyAlignment="1">
      <x:alignment horizontal="center" vertical="center"/>
    </x:xf>
    <x:xf numFmtId="0" fontId="64" fillId="0" borderId="99" xfId="0" applyFont="1" applyFill="1" applyBorder="1" applyAlignment="1">
      <x:alignment horizontal="center" vertical="center" wrapText="1"/>
    </x:xf>
    <x:xf numFmtId="0" fontId="64" fillId="0" borderId="100" xfId="0" applyFont="1" applyFill="1" applyBorder="1" applyAlignment="1">
      <x:alignment horizontal="center" vertical="center" wrapText="1"/>
    </x:xf>
    <x:xf numFmtId="176" fontId="64" fillId="0" borderId="101" xfId="0" applyNumberFormat="1" applyFont="1" applyFill="1" applyBorder="1" applyAlignment="1">
      <x:alignment horizontal="center" vertical="center" wrapText="1"/>
    </x:xf>
    <x:xf numFmtId="0" fontId="64" fillId="0" borderId="102" xfId="0" applyNumberFormat="1" applyFont="1" applyFill="1" applyBorder="1" applyAlignment="1">
      <x:alignment horizontal="center" vertical="center" wrapText="1"/>
    </x:xf>
    <x:xf numFmtId="176" fontId="64" fillId="0" borderId="103" xfId="0" applyNumberFormat="1" applyFont="1" applyFill="1" applyBorder="1" applyAlignment="1">
      <x:alignment horizontal="center" vertical="center" wrapText="1"/>
    </x:xf>
    <x:xf numFmtId="188" fontId="64" fillId="0" borderId="104" xfId="0" applyNumberFormat="1" applyFont="1" applyFill="1" applyBorder="1" applyAlignment="1">
      <x:alignment horizontal="center" vertical="center" wrapText="1"/>
    </x:xf>
    <x:xf numFmtId="0" fontId="64" fillId="0" borderId="0" xfId="0" applyNumberFormat="1" applyFont="1" applyFill="1" applyBorder="1" applyAlignment="1">
      <x:alignment horizontal="center" vertical="center" wrapText="1"/>
    </x:xf>
    <x:xf numFmtId="176" fontId="19" fillId="0" borderId="97" xfId="0" applyNumberFormat="1" applyFont="1" applyFill="1" applyBorder="1" applyAlignment="1">
      <x:alignment horizontal="center" vertical="center" wrapText="1"/>
    </x:xf>
    <x:xf numFmtId="176" fontId="19" fillId="0" borderId="105" xfId="0" applyNumberFormat="1" applyFont="1" applyFill="1" applyBorder="1" applyAlignment="1">
      <x:alignment horizontal="center" vertical="center" wrapText="1"/>
    </x:xf>
    <x:xf numFmtId="176" fontId="19" fillId="0" borderId="98" xfId="0" applyNumberFormat="1" applyFont="1" applyFill="1" applyBorder="1" applyAlignment="1">
      <x:alignment horizontal="center" vertical="center" wrapText="1"/>
    </x:xf>
    <x:xf numFmtId="176" fontId="19" fillId="0" borderId="106" xfId="0" applyNumberFormat="1" applyFont="1" applyFill="1" applyBorder="1" applyAlignment="1">
      <x:alignment horizontal="center" vertical="center" wrapText="1"/>
    </x:xf>
    <x:xf numFmtId="0" fontId="17" fillId="0" borderId="0" xfId="0" applyFont="1" applyFill="1" applyBorder="1" applyAlignment="1">
      <x:alignment horizontal="center" vertical="center" wrapText="1"/>
    </x:xf>
    <x:xf numFmtId="0" fontId="17" fillId="0" borderId="0" xfId="0" applyFont="1" applyFill="1" applyBorder="1" applyAlignment="1">
      <x:alignment vertical="center" wrapText="1"/>
    </x:xf>
    <x:xf numFmtId="189" fontId="65" fillId="0" borderId="0" xfId="0" applyNumberFormat="1" applyFont="1" applyFill="1" applyBorder="1" applyAlignment="1">
      <x:alignment horizontal="center" vertical="center" wrapText="1"/>
    </x:xf>
    <x:xf numFmtId="0" fontId="17" fillId="0" borderId="0" xfId="0" applyFont="1" applyFill="1" applyAlignment="1">
      <x:alignment horizontal="center" vertical="center" wrapText="1"/>
    </x:xf>
    <x:xf numFmtId="0" fontId="64" fillId="0" borderId="107" xfId="0" applyFont="1" applyFill="1" applyBorder="1" applyAlignment="1">
      <x:alignment horizontal="center" vertical="center"/>
    </x:xf>
    <x:xf numFmtId="0" fontId="64" fillId="0" borderId="1" xfId="0" applyFont="1" applyFill="1" applyBorder="1" applyAlignment="1">
      <x:alignment horizontal="center" vertical="center"/>
    </x:xf>
    <x:xf numFmtId="0" fontId="64" fillId="0" borderId="108" xfId="0" applyFont="1" applyFill="1" applyBorder="1" applyAlignment="1">
      <x:alignment horizontal="center" vertical="center" wrapText="1"/>
    </x:xf>
    <x:xf numFmtId="0" fontId="66" fillId="0" borderId="108" xfId="0" applyFont="1" applyBorder="1"/>
    <x:xf numFmtId="0" fontId="64" fillId="0" borderId="109" xfId="0" applyNumberFormat="1" applyFont="1" applyFill="1" applyBorder="1" applyAlignment="1">
      <x:alignment horizontal="center" vertical="center"/>
    </x:xf>
    <x:xf numFmtId="0" fontId="64" fillId="0" borderId="110" xfId="0" applyNumberFormat="1" applyFont="1" applyFill="1" applyBorder="1" applyAlignment="1">
      <x:alignment horizontal="center" vertical="center"/>
    </x:xf>
    <x:xf numFmtId="176" fontId="64" fillId="0" borderId="109" xfId="0" applyNumberFormat="1" applyFont="1" applyFill="1" applyBorder="1" applyAlignment="1">
      <x:alignment horizontal="center" vertical="center"/>
    </x:xf>
    <x:xf numFmtId="183" fontId="67" fillId="10" borderId="111" xfId="0" applyNumberFormat="1" applyFont="1" applyFill="1" applyBorder="1" applyAlignment="1">
      <x:alignment horizontal="center" vertical="center"/>
    </x:xf>
    <x:xf numFmtId="0" fontId="67" fillId="10" borderId="112" xfId="0" applyNumberFormat="1" applyFont="1" applyFill="1" applyBorder="1" applyAlignment="1">
      <x:alignment horizontal="center" vertical="center"/>
    </x:xf>
    <x:xf numFmtId="178" fontId="19" fillId="0" borderId="108" xfId="0" applyNumberFormat="1" applyFont="1" applyFill="1" applyBorder="1" applyAlignment="1">
      <x:alignment horizontal="center" vertical="center"/>
    </x:xf>
    <x:xf numFmtId="178" fontId="19" fillId="0" borderId="113" xfId="0" applyNumberFormat="1" applyFont="1" applyFill="1" applyBorder="1" applyAlignment="1">
      <x:alignment horizontal="center" vertical="center"/>
    </x:xf>
    <x:xf numFmtId="178" fontId="19" fillId="0" borderId="114" xfId="0" applyNumberFormat="1" applyFont="1" applyFill="1" applyBorder="1" applyAlignment="1">
      <x:alignment horizontal="center" vertical="center"/>
    </x:xf>
    <x:xf numFmtId="2" fontId="19" fillId="0" borderId="115" xfId="0" applyNumberFormat="1" applyFont="1" applyFill="1" applyBorder="1" applyAlignment="1">
      <x:alignment horizontal="center" vertical="center"/>
    </x:xf>
    <x:xf numFmtId="0" fontId="65" fillId="0" borderId="0" xfId="0" applyFont="1" applyFill="1" applyAlignment="1">
      <x:alignment vertical="center"/>
    </x:xf>
    <x:xf numFmtId="0" fontId="68" fillId="0" borderId="0" xfId="0" applyFont="1" applyFill="1" applyAlignment="1">
      <x:alignment vertical="center" wrapText="1"/>
    </x:xf>
    <x:xf numFmtId="0" fontId="17" fillId="0" borderId="0" xfId="0" applyFont="1" applyFill="1" applyAlignment="1">
      <x:alignment vertical="center"/>
    </x:xf>
    <x:xf numFmtId="176" fontId="18" fillId="0" borderId="0" xfId="0" applyNumberFormat="1" applyFont="1" applyFill="1" applyAlignment="1">
      <x:alignment vertical="center"/>
    </x:xf>
    <x:xf numFmtId="0" fontId="18" fillId="0" borderId="0" xfId="0" applyFont="1" applyFill="1" applyAlignment="1">
      <x:alignment vertical="center"/>
    </x:xf>
    <x:xf numFmtId="176" fontId="17" fillId="0" borderId="0" xfId="0" applyNumberFormat="1" applyFont="1" applyFill="1" applyAlignment="1">
      <x:alignment vertical="center"/>
    </x:xf>
    <x:xf numFmtId="0" fontId="64" fillId="0" borderId="116" xfId="0" applyFont="1" applyFill="1" applyBorder="1" applyAlignment="1">
      <x:alignment horizontal="center" vertical="center"/>
    </x:xf>
    <x:xf numFmtId="0" fontId="64" fillId="0" borderId="6" xfId="0" applyFont="1" applyFill="1" applyBorder="1" applyAlignment="1">
      <x:alignment horizontal="center" vertical="center" wrapText="1"/>
    </x:xf>
    <x:xf numFmtId="0" fontId="66" fillId="0" borderId="6" xfId="0" applyFont="1" applyBorder="1"/>
    <x:xf numFmtId="0" fontId="64" fillId="0" borderId="117" xfId="0" applyNumberFormat="1" applyFont="1" applyFill="1" applyBorder="1" applyAlignment="1">
      <x:alignment horizontal="center" vertical="center"/>
    </x:xf>
    <x:xf numFmtId="0" fontId="64" fillId="0" borderId="118" xfId="0" applyNumberFormat="1" applyFont="1" applyFill="1" applyBorder="1" applyAlignment="1">
      <x:alignment horizontal="center" vertical="center"/>
    </x:xf>
    <x:xf numFmtId="176" fontId="64" fillId="0" borderId="119" xfId="0" applyNumberFormat="1" applyFont="1" applyFill="1" applyBorder="1" applyAlignment="1">
      <x:alignment horizontal="center" vertical="center"/>
    </x:xf>
    <x:xf numFmtId="183" fontId="67" fillId="10" borderId="120" xfId="0" applyNumberFormat="1" applyFont="1" applyFill="1" applyBorder="1" applyAlignment="1">
      <x:alignment horizontal="center" vertical="center"/>
    </x:xf>
    <x:xf numFmtId="0" fontId="67" fillId="10" borderId="121" xfId="0" applyNumberFormat="1" applyFont="1" applyFill="1" applyBorder="1" applyAlignment="1">
      <x:alignment horizontal="center" vertical="center"/>
    </x:xf>
    <x:xf numFmtId="178" fontId="19" fillId="0" borderId="13" xfId="0" applyNumberFormat="1" applyFont="1" applyFill="1" applyBorder="1" applyAlignment="1">
      <x:alignment horizontal="center" vertical="center"/>
    </x:xf>
    <x:xf numFmtId="178" fontId="19" fillId="0" borderId="122" xfId="0" applyNumberFormat="1" applyFont="1" applyFill="1" applyBorder="1" applyAlignment="1">
      <x:alignment horizontal="center" vertical="center"/>
    </x:xf>
    <x:xf numFmtId="178" fontId="19" fillId="0" borderId="123" xfId="0" applyNumberFormat="1" applyFont="1" applyFill="1" applyBorder="1" applyAlignment="1">
      <x:alignment horizontal="center" vertical="center"/>
    </x:xf>
    <x:xf numFmtId="0" fontId="17" fillId="0" borderId="0" xfId="0" applyFont="1" applyFill="1" applyAlignment="1">
      <x:alignment horizontal="center" vertical="center"/>
    </x:xf>
    <x:xf numFmtId="0" fontId="17" fillId="10" borderId="1" xfId="0" applyFont="1" applyFill="1" applyBorder="1" applyAlignment="1">
      <x:alignment horizontal="center" vertical="center"/>
    </x:xf>
    <x:xf numFmtId="0" fontId="64" fillId="0" borderId="124" xfId="0" applyNumberFormat="1" applyFont="1" applyFill="1" applyBorder="1" applyAlignment="1">
      <x:alignment horizontal="center" vertical="center"/>
    </x:xf>
    <x:xf numFmtId="0" fontId="17" fillId="0" borderId="0" xfId="0" applyFont="1" applyFill="1" applyAlignment="1">
      <x:alignment horizontal="right" vertical="center"/>
    </x:xf>
    <x:xf numFmtId="0" fontId="18" fillId="0" borderId="0" xfId="0" applyFont="1" applyFill="1" applyAlignment="1">
      <x:alignment horizontal="center" vertical="center"/>
    </x:xf>
    <x:xf numFmtId="0" fontId="68" fillId="0" borderId="0" xfId="0" applyFont="1" applyFill="1" applyAlignment="1">
      <x:alignment vertical="center"/>
    </x:xf>
    <x:xf numFmtId="176" fontId="68" fillId="0" borderId="0" xfId="0" applyNumberFormat="1" applyFont="1" applyFill="1" applyAlignment="1">
      <x:alignment vertical="center"/>
    </x:xf>
    <x:xf numFmtId="177" fontId="68" fillId="0" borderId="0" xfId="0" applyNumberFormat="1" applyFont="1" applyFill="1" applyAlignment="1">
      <x:alignment vertical="center"/>
    </x:xf>
    <x:xf numFmtId="0" fontId="68" fillId="0" borderId="0" xfId="0" applyFont="1" applyFill="1" applyAlignment="1">
      <x:alignment horizontal="right" vertical="center"/>
    </x:xf>
    <x:xf numFmtId="0" fontId="18" fillId="0" borderId="0" xfId="0" applyFont="1" applyFill="1" applyBorder="1" applyAlignment="1">
      <x:alignment vertical="center"/>
    </x:xf>
    <x:xf numFmtId="0" fontId="17" fillId="10" borderId="1" xfId="0" applyFont="1" applyFill="1" applyBorder="1" applyAlignment="1">
      <x:alignment horizontal="right" vertical="center"/>
    </x:xf>
    <x:xf numFmtId="0" fontId="17" fillId="0" borderId="1" xfId="0" applyFont="1" applyFill="1" applyBorder="1" applyAlignment="1">
      <x:alignment horizontal="right" vertical="center"/>
    </x:xf>
    <x:xf numFmtId="0" fontId="17" fillId="10" borderId="1" xfId="0" applyFont="1" applyFill="1" applyBorder="1" applyAlignment="1">
      <x:alignment vertical="center"/>
    </x:xf>
    <x:xf numFmtId="0" fontId="17" fillId="0" borderId="1" xfId="0" applyFont="1" applyFill="1" applyBorder="1" applyAlignment="1">
      <x:alignment horizontal="center" vertical="center"/>
    </x:xf>
    <x:xf numFmtId="0" fontId="64" fillId="0" borderId="3" xfId="0" applyFont="1" applyFill="1" applyBorder="1" applyAlignment="1">
      <x:alignment horizontal="center" vertical="center"/>
    </x:xf>
    <x:xf numFmtId="176" fontId="69" fillId="0" borderId="0" xfId="0" applyNumberFormat="1" applyFont="1" applyFill="1" applyAlignment="1">
      <x:alignment horizontal="center" vertical="center"/>
    </x:xf>
    <x:xf numFmtId="0" fontId="69" fillId="0" borderId="0" xfId="0" applyFont="1" applyFill="1" applyAlignment="1">
      <x:alignment horizontal="center" vertical="center"/>
    </x:xf>
    <x:xf numFmtId="0" fontId="70" fillId="0" borderId="0" xfId="0" applyFont="1" applyFill="1" applyAlignment="1">
      <x:alignment horizontal="center" vertical="center"/>
    </x:xf>
    <x:xf numFmtId="0" fontId="69" fillId="0" borderId="0" xfId="0" applyFont="1" applyFill="1" applyAlignment="1">
      <x:alignment horizontal="center" vertical="center" wrapText="1"/>
    </x:xf>
    <x:xf numFmtId="0" fontId="71" fillId="0" borderId="0" xfId="0" applyFont="1" applyFill="1" applyAlignment="1">
      <x:alignment horizontal="center" vertical="center"/>
    </x:xf>
    <x:xf numFmtId="176" fontId="71" fillId="0" borderId="0" xfId="0" applyNumberFormat="1" applyFont="1" applyFill="1" applyAlignment="1">
      <x:alignment horizontal="center" vertical="center"/>
    </x:xf>
    <x:xf numFmtId="188" fontId="69" fillId="0" borderId="0" xfId="0" applyNumberFormat="1" applyFont="1" applyFill="1" applyAlignment="1">
      <x:alignment horizontal="center" vertical="center"/>
    </x:xf>
    <x:xf numFmtId="0" fontId="69" fillId="0" borderId="0" xfId="0" applyFont="1" applyFill="1" applyAlignment="1">
      <x:alignment vertical="center"/>
    </x:xf>
    <x:xf numFmtId="0" fontId="71" fillId="0" borderId="0" xfId="0" applyFont="1" applyFill="1" applyBorder="1" applyAlignment="1">
      <x:alignment horizontal="right" vertical="center" wrapText="1"/>
    </x:xf>
    <x:xf numFmtId="0" fontId="69" fillId="0" borderId="0" xfId="0" applyFont="1" applyFill="1" applyBorder="1" applyAlignment="1">
      <x:alignment horizontal="center" vertical="center"/>
    </x:xf>
    <x:xf numFmtId="0" fontId="69" fillId="0" borderId="0" xfId="0" applyFont="1" applyFill="1" applyBorder="1" applyAlignment="1">
      <x:alignment vertical="center"/>
    </x:xf>
    <x:xf numFmtId="188" fontId="69" fillId="0" borderId="0" xfId="0" applyNumberFormat="1" applyFont="1" applyFill="1" applyBorder="1" applyAlignment="1">
      <x:alignment vertical="center"/>
    </x:xf>
    <x:xf numFmtId="188" fontId="69" fillId="0" borderId="0" xfId="0" applyNumberFormat="1" applyFont="1" applyFill="1" applyAlignment="1">
      <x:alignment vertical="center"/>
    </x:xf>
    <x:xf numFmtId="0" fontId="69" fillId="0" borderId="0" xfId="0" applyFont="1" applyFill="1" applyBorder="1" applyAlignment="1">
      <x:alignment horizontal="center" vertical="center" wrapText="1"/>
    </x:xf>
    <x:xf numFmtId="0" fontId="71" fillId="0" borderId="0" xfId="0" applyFont="1" applyFill="1" applyBorder="1" applyAlignment="1">
      <x:alignment vertical="center"/>
    </x:xf>
    <x:xf numFmtId="0" fontId="71" fillId="0" borderId="0" xfId="0" applyFont="1" applyFill="1" applyBorder="1" applyAlignment="1">
      <x:alignment horizontal="center" vertical="center"/>
    </x:xf>
    <x:xf numFmtId="176" fontId="71" fillId="0" borderId="0" xfId="0" applyNumberFormat="1" applyFont="1" applyFill="1" applyBorder="1" applyAlignment="1">
      <x:alignment horizontal="center" vertical="center"/>
    </x:xf>
    <x:xf numFmtId="188" fontId="69" fillId="0" borderId="0" xfId="0" applyNumberFormat="1" applyFont="1" applyFill="1" applyBorder="1" applyAlignment="1">
      <x:alignment horizontal="center" vertical="center"/>
    </x:xf>
    <x:xf numFmtId="0" fontId="72" fillId="0" borderId="0" xfId="0" applyFont="1" applyFill="1" applyBorder="1" applyAlignment="1">
      <x:alignment horizontal="center" vertical="center"/>
    </x:xf>
    <x:xf numFmtId="176" fontId="18" fillId="0" borderId="0" xfId="0" applyNumberFormat="1" applyFont="1" applyFill="1" applyAlignment="1">
      <x:alignment horizontal="center" vertical="center"/>
    </x:xf>
    <x:xf numFmtId="176" fontId="70" fillId="0" borderId="0" xfId="0" applyNumberFormat="1" applyFont="1" applyFill="1" applyAlignment="1">
      <x:alignment horizontal="center" vertical="center"/>
    </x:xf>
    <x:xf numFmtId="177" fontId="71" fillId="0" borderId="0" xfId="0" applyNumberFormat="1" applyFont="1" applyFill="1" applyBorder="1" applyAlignment="1">
      <x:alignment vertical="center"/>
    </x:xf>
    <x:xf numFmtId="177" fontId="70" fillId="0" borderId="0" xfId="0" applyNumberFormat="1" applyFont="1" applyFill="1" applyAlignment="1">
      <x:alignment horizontal="center" vertical="center"/>
    </x:xf>
    <x:xf numFmtId="176" fontId="17" fillId="0" borderId="0" xfId="0" applyNumberFormat="1" applyFont="1" applyFill="1" applyBorder="1" applyAlignment="1">
      <x:alignment horizontal="center" vertical="center"/>
    </x:xf>
    <x:xf numFmtId="177" fontId="17" fillId="0" borderId="0" xfId="0" applyNumberFormat="1" applyFont="1" applyFill="1" applyBorder="1" applyAlignment="1">
      <x:alignment horizontal="center" vertical="center"/>
    </x:xf>
    <x:xf numFmtId="0" fontId="73" fillId="0" borderId="0" xfId="0" applyFont="1" applyFill="1" applyBorder="1" applyAlignment="1">
      <x:alignment horizontal="center" vertical="center"/>
    </x:xf>
    <x:xf numFmtId="178" fontId="74" fillId="0" borderId="0" xfId="0" applyNumberFormat="1" applyFont="1" applyFill="1" applyBorder="1" applyAlignment="1">
      <x:alignment horizontal="center" vertical="center"/>
    </x:xf>
    <x:xf numFmtId="176" fontId="68" fillId="0" borderId="0" xfId="0" applyNumberFormat="1" applyFont="1" applyFill="1" applyAlignment="1">
      <x:alignment horizontal="center" vertical="center"/>
    </x:xf>
    <x:xf numFmtId="0" fontId="64" fillId="0" borderId="6" xfId="0" applyFont="1" applyFill="1" applyBorder="1" applyAlignment="1">
      <x:alignment horizontal="center" vertical="center"/>
    </x:xf>
    <x:xf numFmtId="0" fontId="64" fillId="0" borderId="0" xfId="0" applyFont="1" applyFill="1" applyBorder="1" applyAlignment="1">
      <x:alignment horizontal="center" vertical="center"/>
    </x:xf>
    <x:xf numFmtId="0" fontId="64" fillId="0" borderId="7" xfId="0" applyFont="1" applyFill="1" applyBorder="1" applyAlignment="1">
      <x:alignment horizontal="center" vertical="center"/>
    </x:xf>
    <x:xf numFmtId="0" fontId="64" fillId="0" borderId="14" xfId="0" applyFont="1" applyFill="1" applyBorder="1" applyAlignment="1">
      <x:alignment horizontal="center" vertical="center" wrapText="1"/>
    </x:xf>
    <x:xf numFmtId="189" fontId="64" fillId="0" borderId="119" xfId="0" applyNumberFormat="1" applyFont="1" applyFill="1" applyBorder="1" applyAlignment="1">
      <x:alignment horizontal="center" vertical="center"/>
    </x:xf>
    <x:xf numFmtId="0" fontId="64" fillId="0" borderId="13" xfId="0" applyFont="1" applyFill="1" applyBorder="1" applyAlignment="1">
      <x:alignment horizontal="center" vertical="center" wrapText="1"/>
    </x:xf>
    <x:xf numFmtId="0" fontId="64" fillId="0" borderId="125" xfId="0" applyNumberFormat="1" applyFont="1" applyFill="1" applyBorder="1" applyAlignment="1">
      <x:alignment horizontal="center" vertical="center"/>
    </x:xf>
    <x:xf numFmtId="0" fontId="18" fillId="0" borderId="0" xfId="0" applyNumberFormat="1" applyFont="1" applyFill="1" applyAlignment="1">
      <x:alignment horizontal="center" vertical="center"/>
    </x:xf>
    <x:xf numFmtId="0" fontId="19" fillId="0" borderId="0" xfId="0" applyNumberFormat="1" applyFont="1" applyFill="1" applyAlignment="1">
      <x:alignment horizontal="center" vertical="center"/>
    </x:xf>
    <x:xf numFmtId="0" fontId="70" fillId="0" borderId="0" xfId="0" applyNumberFormat="1" applyFont="1" applyFill="1" applyAlignment="1">
      <x:alignment horizontal="center" vertical="center"/>
    </x:xf>
    <x:xf numFmtId="0" fontId="19" fillId="0" borderId="0" xfId="0" applyNumberFormat="1" applyFont="1" applyFill="1" applyAlignment="1">
      <x:alignment horizontal="center" vertical="center" wrapText="1"/>
    </x:xf>
    <x:xf numFmtId="176" fontId="19" fillId="0" borderId="0" xfId="0" applyNumberFormat="1" applyFont="1" applyFill="1" applyAlignment="1">
      <x:alignment horizontal="center" vertical="center"/>
    </x:xf>
    <x:xf numFmtId="0" fontId="64" fillId="0" borderId="126" xfId="0" applyFont="1" applyFill="1" applyBorder="1" applyAlignment="1">
      <x:alignment horizontal="center" vertical="center"/>
    </x:xf>
    <x:xf numFmtId="0" fontId="64" fillId="0" borderId="127" xfId="0" applyFont="1" applyFill="1" applyBorder="1" applyAlignment="1">
      <x:alignment horizontal="center" vertical="center"/>
    </x:xf>
    <x:xf numFmtId="0" fontId="64" fillId="0" borderId="128" xfId="0" applyFont="1" applyFill="1" applyBorder="1" applyAlignment="1">
      <x:alignment horizontal="center" vertical="center"/>
    </x:xf>
    <x:xf numFmtId="0" fontId="64" fillId="0" borderId="129" xfId="0" applyFont="1" applyFill="1" applyBorder="1" applyAlignment="1">
      <x:alignment horizontal="center" vertical="center"/>
    </x:xf>
    <x:xf numFmtId="0" fontId="66" fillId="0" borderId="130" xfId="0" applyFont="1" applyBorder="1"/>
    <x:xf numFmtId="0" fontId="64" fillId="0" borderId="131" xfId="0" applyNumberFormat="1" applyFont="1" applyFill="1" applyBorder="1" applyAlignment="1">
      <x:alignment horizontal="center" vertical="center"/>
    </x:xf>
    <x:xf numFmtId="176" fontId="64" fillId="0" borderId="132" xfId="0" applyNumberFormat="1" applyFont="1" applyFill="1" applyBorder="1" applyAlignment="1">
      <x:alignment horizontal="center" vertical="center"/>
    </x:xf>
    <x:xf numFmtId="183" fontId="67" fillId="10" borderId="133" xfId="0" applyNumberFormat="1" applyFont="1" applyFill="1" applyBorder="1" applyAlignment="1">
      <x:alignment horizontal="center" vertical="center"/>
    </x:xf>
    <x:xf numFmtId="0" fontId="67" fillId="10" borderId="134" xfId="0" applyNumberFormat="1" applyFont="1" applyFill="1" applyBorder="1" applyAlignment="1">
      <x:alignment horizontal="center" vertical="center"/>
    </x:xf>
    <x:xf numFmtId="178" fontId="19" fillId="0" borderId="130" xfId="0" applyNumberFormat="1" applyFont="1" applyFill="1" applyBorder="1" applyAlignment="1">
      <x:alignment horizontal="center" vertical="center"/>
    </x:xf>
    <x:xf numFmtId="178" fontId="19" fillId="0" borderId="135" xfId="0" applyNumberFormat="1" applyFont="1" applyFill="1" applyBorder="1" applyAlignment="1">
      <x:alignment horizontal="center" vertical="center"/>
    </x:xf>
    <x:xf numFmtId="178" fontId="19" fillId="0" borderId="136" xfId="0" applyNumberFormat="1" applyFont="1" applyFill="1" applyBorder="1" applyAlignment="1">
      <x:alignment horizontal="center" vertical="center"/>
    </x:xf>
    <x:xf numFmtId="2" fontId="19" fillId="0" borderId="137" xfId="0" applyNumberFormat="1" applyFont="1" applyFill="1" applyBorder="1" applyAlignment="1">
      <x:alignment horizontal="center" vertical="center"/>
    </x:xf>
    <x:xf numFmtId="0" fontId="17" fillId="0" borderId="0" xfId="0" applyNumberFormat="1" applyFont="1" applyFill="1" applyAlignment="1">
      <x:alignment horizontal="center" vertical="center"/>
    </x:xf>
    <x:xf numFmtId="0" fontId="75" fillId="11" borderId="138" xfId="0" applyFont="1" applyFill="1" applyBorder="1" applyAlignment="1">
      <x:alignment horizontal="center" vertical="center"/>
    </x:xf>
    <x:xf numFmtId="0" fontId="75" fillId="11" borderId="0" xfId="0" applyFont="1" applyFill="1" applyBorder="1" applyAlignment="1">
      <x:alignment horizontal="center" vertical="center"/>
    </x:xf>
    <x:xf numFmtId="0" fontId="75" fillId="11" borderId="138" xfId="0" applyNumberFormat="1" applyFont="1" applyFill="1" applyBorder="1" applyAlignment="1">
      <x:alignment horizontal="center" vertical="center"/>
    </x:xf>
    <x:xf numFmtId="0" fontId="67" fillId="10" borderId="139" xfId="0" applyFont="1" applyFill="1" applyBorder="1" applyAlignment="1">
      <x:alignment horizontal="center" vertical="center"/>
    </x:xf>
    <x:xf numFmtId="0" fontId="67" fillId="10" borderId="58" xfId="0" applyNumberFormat="1" applyFont="1" applyFill="1" applyBorder="1" applyAlignment="1">
      <x:alignment horizontal="center" vertical="center"/>
    </x:xf>
    <x:xf numFmtId="0" fontId="68" fillId="0" borderId="0" xfId="0" applyFont="1" applyFill="1" applyAlignment="1">
      <x:alignment horizontal="center" vertical="center" wrapText="1"/>
    </x:xf>
    <x:xf numFmtId="188" fontId="70" fillId="0" borderId="0" xfId="0" applyNumberFormat="1" applyFont="1" applyFill="1" applyAlignment="1">
      <x:alignment horizontal="center" vertical="center"/>
    </x:xf>
    <x:xf numFmtId="0" fontId="76" fillId="0" borderId="0" xfId="0" applyFont="1" applyFill="1" applyBorder="1" applyAlignment="1">
      <x:alignment vertical="center"/>
    </x:xf>
    <x:xf numFmtId="188" fontId="70" fillId="0" borderId="0" xfId="0" applyNumberFormat="1" applyFont="1" applyFill="1" applyBorder="1" applyAlignment="1">
      <x:alignment horizontal="center" vertical="center"/>
    </x:xf>
    <x:xf numFmtId="0" fontId="68" fillId="0" borderId="0" xfId="0" applyFont="1" applyFill="1" applyBorder="1" applyAlignment="1">
      <x:alignment horizontal="center" vertical="center" wrapText="1"/>
    </x:xf>
    <x:xf numFmtId="0" fontId="70" fillId="0" borderId="0" xfId="0" applyFont="1" applyFill="1" applyBorder="1" applyAlignment="1">
      <x:alignment horizontal="center" vertical="center"/>
    </x:xf>
    <x:xf numFmtId="176" fontId="70" fillId="0" borderId="0" xfId="0" applyNumberFormat="1" applyFont="1" applyFill="1" applyBorder="1" applyAlignment="1">
      <x:alignment horizontal="center" vertical="center"/>
    </x:xf>
    <x:xf numFmtId="0" fontId="70" fillId="0" borderId="0" xfId="0" applyNumberFormat="1" applyFont="1" applyFill="1" applyBorder="1" applyAlignment="1">
      <x:alignment horizontal="center" vertical="center"/>
    </x:xf>
    <x:xf numFmtId="9" fontId="24" fillId="2" borderId="9" xfId="1" applyNumberFormat="1" applyFont="1" applyFill="1" applyBorder="1" applyAlignment="1">
      <x:alignment vertical="center"/>
    </x:xf>
    <x:xf numFmtId="9" fontId="24" fillId="2" borderId="1" xfId="1" applyNumberFormat="1" applyFont="1" applyFill="1" applyBorder="1" applyAlignment="1">
      <x:alignment vertical="center"/>
    </x:xf>
    <x:xf numFmtId="0" fontId="17" fillId="0" borderId="0" xfId="0" applyFont="1" applyFill="1" applyBorder="1" applyAlignment="1">
      <x:alignment horizontal="center" vertical="center" wrapText="1"/>
    </x:xf>
    <x:xf numFmtId="0" fontId="76" fillId="0" borderId="0" xfId="0" applyFont="1" applyFill="1" applyBorder="1" applyAlignment="1">
      <x:alignment horizontal="center" vertical="center"/>
    </x:xf>
    <x:xf numFmtId="177" fontId="74" fillId="0" borderId="0" xfId="0" applyNumberFormat="1" applyFont="1" applyFill="1" applyBorder="1" applyAlignment="1">
      <x:alignment horizontal="center" vertical="center"/>
    </x:xf>
    <x:xf numFmtId="188" fontId="77" fillId="0" borderId="0" xfId="0" applyNumberFormat="1" applyFont="1" applyFill="1" applyBorder="1" applyAlignment="1">
      <x:alignment horizontal="center" vertical="center"/>
    </x:xf>
    <x:xf numFmtId="176" fontId="17" fillId="0" borderId="0" xfId="0" applyNumberFormat="1" applyFont="1" applyFill="1" applyBorder="1" applyAlignment="1">
      <x:alignment horizontal="center" vertical="center" wrapText="1"/>
    </x:xf>
    <x:xf numFmtId="0" fontId="29" fillId="2" borderId="2" xfId="1" applyFont="1" applyFill="1" applyBorder="1" applyAlignment="1">
      <x:alignment horizontal="center" vertical="center"/>
    </x:xf>
    <x:xf numFmtId="0" fontId="29" fillId="2" borderId="0" xfId="1" applyFont="1" applyFill="1" applyBorder="1" applyAlignment="1">
      <x:alignment horizontal="center" vertical="center"/>
    </x:xf>
    <x:xf numFmtId="0" fontId="29" fillId="2" borderId="11" xfId="1" applyFont="1" applyFill="1" applyBorder="1" applyAlignment="1">
      <x:alignment horizontal="center" vertical="center"/>
    </x:xf>
    <x:xf numFmtId="0" fontId="29" fillId="2" borderId="29" xfId="1" applyFont="1" applyFill="1" applyBorder="1" applyAlignment="1">
      <x:alignment horizontal="center" vertical="center"/>
    </x:xf>
    <x:xf numFmtId="0" fontId="29" fillId="2" borderId="28" xfId="1" applyFont="1" applyFill="1" applyBorder="1" applyAlignment="1">
      <x:alignment horizontal="center" vertical="center"/>
    </x:xf>
    <x:xf numFmtId="0" fontId="29" fillId="2" borderId="27" xfId="1" applyFont="1" applyFill="1" applyBorder="1" applyAlignment="1">
      <x:alignment horizontal="center" vertical="center"/>
    </x:xf>
    <x:xf numFmtId="0" fontId="52" fillId="2" borderId="10" xfId="1" applyFont="1" applyFill="1" applyBorder="1" applyAlignment="1">
      <x:alignment horizontal="center" vertical="center"/>
    </x:xf>
    <x:xf numFmtId="0" fontId="52" fillId="2" borderId="9" xfId="1" applyFont="1" applyFill="1" applyBorder="1" applyAlignment="1">
      <x:alignment horizontal="center" vertical="center"/>
    </x:xf>
    <x:xf numFmtId="0" fontId="52" fillId="2" borderId="12" xfId="1" applyFont="1" applyFill="1" applyBorder="1" applyAlignment="1">
      <x:alignment horizontal="center" vertical="center"/>
    </x:xf>
    <x:xf numFmtId="0" fontId="52" fillId="2" borderId="29" xfId="1" applyFont="1" applyFill="1" applyBorder="1" applyAlignment="1">
      <x:alignment horizontal="center" vertical="center"/>
    </x:xf>
    <x:xf numFmtId="0" fontId="52" fillId="2" borderId="28" xfId="1" applyFont="1" applyFill="1" applyBorder="1" applyAlignment="1">
      <x:alignment horizontal="center" vertical="center"/>
    </x:xf>
    <x:xf numFmtId="0" fontId="52" fillId="2" borderId="27" xfId="1" applyFont="1" applyFill="1" applyBorder="1" applyAlignment="1">
      <x:alignment horizontal="center" vertical="center"/>
    </x:xf>
    <x:xf numFmtId="0" fontId="29" fillId="2" borderId="10" xfId="1" applyFont="1" applyFill="1" applyBorder="1" applyAlignment="1">
      <x:alignment horizontal="center" vertical="center"/>
    </x:xf>
    <x:xf numFmtId="0" fontId="29" fillId="2" borderId="9" xfId="1" applyFont="1" applyFill="1" applyBorder="1" applyAlignment="1">
      <x:alignment horizontal="center" vertical="center"/>
    </x:xf>
    <x:xf numFmtId="0" fontId="29" fillId="2" borderId="12" xfId="1" applyFont="1" applyFill="1" applyBorder="1" applyAlignment="1">
      <x:alignment horizontal="center" vertical="center"/>
    </x:xf>
    <x:xf numFmtId="0" fontId="52" fillId="2" borderId="37" xfId="1" applyFont="1" applyFill="1" applyBorder="1" applyAlignment="1">
      <x:alignment horizontal="center" vertical="center"/>
    </x:xf>
    <x:xf numFmtId="0" fontId="52" fillId="2" borderId="36" xfId="1" applyFont="1" applyFill="1" applyBorder="1" applyAlignment="1">
      <x:alignment horizontal="center" vertical="center"/>
    </x:xf>
    <x:xf numFmtId="0" fontId="52" fillId="2" borderId="47" xfId="1" applyFont="1" applyFill="1" applyBorder="1" applyAlignment="1">
      <x:alignment horizontal="center" vertical="center"/>
    </x:xf>
    <x:xf numFmtId="0" fontId="29" fillId="0" borderId="0" xfId="1" applyFont="1" applyAlignment="1">
      <x:alignment horizontal="left" vertical="center"/>
    </x:xf>
    <x:xf numFmtId="0" fontId="29" fillId="0" borderId="0" xfId="1" applyFont="1" applyAlignment="1">
      <x:alignment horizontal="center" vertical="center"/>
    </x:xf>
    <x:xf numFmtId="0" fontId="33" fillId="0" borderId="0" xfId="1" applyFont="1" applyAlignment="1">
      <x:alignment horizontal="left" vertical="center"/>
    </x:xf>
    <x:xf numFmtId="0" fontId="52" fillId="2" borderId="10" xfId="1" applyFont="1" applyFill="1" applyBorder="1" applyAlignment="1">
      <x:alignment horizontal="left" vertical="center"/>
    </x:xf>
    <x:xf numFmtId="0" fontId="52" fillId="2" borderId="9" xfId="1" applyFont="1" applyFill="1" applyBorder="1" applyAlignment="1">
      <x:alignment horizontal="left" vertical="center"/>
    </x:xf>
    <x:xf numFmtId="0" fontId="52" fillId="2" borderId="29" xfId="1" applyFont="1" applyFill="1" applyBorder="1" applyAlignment="1">
      <x:alignment horizontal="left" vertical="center"/>
    </x:xf>
    <x:xf numFmtId="0" fontId="52" fillId="2" borderId="28" xfId="1" applyFont="1" applyFill="1" applyBorder="1" applyAlignment="1">
      <x:alignment horizontal="left" vertical="center"/>
    </x:xf>
    <x:xf numFmtId="0" fontId="14" fillId="0" borderId="25" xfId="1" applyBorder="1" applyAlignment="1">
      <x:alignment horizontal="center" vertical="center"/>
    </x:xf>
    <x:xf numFmtId="0" fontId="14" fillId="0" borderId="24" xfId="1" applyBorder="1" applyAlignment="1">
      <x:alignment horizontal="center" vertical="center"/>
    </x:xf>
    <x:xf numFmtId="183" fontId="14" fillId="0" borderId="52" xfId="1" applyNumberFormat="1" applyBorder="1" applyAlignment="1">
      <x:alignment horizontal="center" vertical="center"/>
    </x:xf>
    <x:xf numFmtId="183" fontId="14" fillId="0" borderId="25" xfId="1" applyNumberFormat="1" applyBorder="1" applyAlignment="1">
      <x:alignment horizontal="center" vertical="center"/>
    </x:xf>
    <x:xf numFmtId="0" fontId="35" fillId="0" borderId="37" xfId="1" applyFont="1" applyBorder="1" applyAlignment="1">
      <x:alignment horizontal="left" vertical="center"/>
    </x:xf>
    <x:xf numFmtId="0" fontId="41" fillId="0" borderId="36" xfId="1" applyFont="1" applyBorder="1" applyAlignment="1">
      <x:alignment horizontal="left" vertical="center"/>
    </x:xf>
    <x:xf numFmtId="0" fontId="41" fillId="0" borderId="35" xfId="1" applyFont="1" applyBorder="1" applyAlignment="1">
      <x:alignment horizontal="left" vertical="center"/>
    </x:xf>
    <x:xf numFmtId="0" fontId="41" fillId="0" borderId="29" xfId="1" applyFont="1" applyBorder="1" applyAlignment="1">
      <x:alignment horizontal="left" vertical="center"/>
    </x:xf>
    <x:xf numFmtId="0" fontId="41" fillId="0" borderId="28" xfId="1" applyFont="1" applyBorder="1" applyAlignment="1">
      <x:alignment horizontal="left" vertical="center"/>
    </x:xf>
    <x:xf numFmtId="0" fontId="41" fillId="0" borderId="33" xfId="1" applyFont="1" applyBorder="1" applyAlignment="1">
      <x:alignment horizontal="left" vertical="center"/>
    </x:xf>
    <x:xf numFmtId="0" fontId="41" fillId="0" borderId="25" xfId="1" applyFont="1" applyBorder="1" applyAlignment="1">
      <x:alignment horizontal="center" vertical="center"/>
    </x:xf>
    <x:xf numFmtId="0" fontId="41" fillId="0" borderId="55" xfId="1" applyFont="1" applyBorder="1" applyAlignment="1">
      <x:alignment horizontal="center" vertical="center"/>
    </x:xf>
    <x:xf numFmtId="183" fontId="9" fillId="0" borderId="52" xfId="1" applyNumberFormat="1" applyFont="1" applyBorder="1" applyAlignment="1">
      <x:alignment horizontal="center" vertical="center"/>
    </x:xf>
    <x:xf numFmtId="183" fontId="9" fillId="0" borderId="25" xfId="1" applyNumberFormat="1" applyFont="1" applyBorder="1" applyAlignment="1">
      <x:alignment horizontal="center" vertical="center"/>
    </x:xf>
    <x:xf numFmtId="0" fontId="52" fillId="0" borderId="37" xfId="1" applyFont="1" applyBorder="1" applyAlignment="1">
      <x:alignment horizontal="center" vertical="center" wrapText="1"/>
    </x:xf>
    <x:xf numFmtId="0" fontId="52" fillId="0" borderId="36" xfId="1" applyFont="1" applyBorder="1" applyAlignment="1">
      <x:alignment horizontal="center" vertical="center" wrapText="1"/>
    </x:xf>
    <x:xf numFmtId="0" fontId="52" fillId="0" borderId="47" xfId="1" applyFont="1" applyBorder="1" applyAlignment="1">
      <x:alignment horizontal="center" vertical="center" wrapText="1"/>
    </x:xf>
    <x:xf numFmtId="0" fontId="52" fillId="0" borderId="2" xfId="1" applyFont="1" applyBorder="1" applyAlignment="1">
      <x:alignment horizontal="center" vertical="center" wrapText="1"/>
    </x:xf>
    <x:xf numFmtId="0" fontId="52" fillId="0" borderId="0" xfId="1" applyFont="1" applyBorder="1" applyAlignment="1">
      <x:alignment horizontal="center" vertical="center" wrapText="1"/>
    </x:xf>
    <x:xf numFmtId="0" fontId="52" fillId="0" borderId="11" xfId="1" applyFont="1" applyBorder="1" applyAlignment="1">
      <x:alignment horizontal="center" vertical="center" wrapText="1"/>
    </x:xf>
    <x:xf numFmtId="0" fontId="52" fillId="0" borderId="5" xfId="1" applyFont="1" applyBorder="1" applyAlignment="1">
      <x:alignment horizontal="center" vertical="center" wrapText="1"/>
    </x:xf>
    <x:xf numFmtId="0" fontId="52" fillId="0" borderId="1" xfId="1" applyFont="1" applyBorder="1" applyAlignment="1">
      <x:alignment horizontal="center" vertical="center" wrapText="1"/>
    </x:xf>
    <x:xf numFmtId="0" fontId="52" fillId="0" borderId="4" xfId="1" applyFont="1" applyBorder="1" applyAlignment="1">
      <x:alignment horizontal="center" vertical="center" wrapText="1"/>
    </x:xf>
    <x:xf numFmtId="0" fontId="28" fillId="0" borderId="42" xfId="1" applyFont="1" applyBorder="1" applyAlignment="1">
      <x:alignment horizontal="center" vertical="center"/>
    </x:xf>
    <x:xf numFmtId="0" fontId="28" fillId="0" borderId="9" xfId="1" applyFont="1" applyBorder="1" applyAlignment="1">
      <x:alignment horizontal="center" vertical="center"/>
    </x:xf>
    <x:xf numFmtId="0" fontId="28" fillId="0" borderId="12" xfId="1" applyFont="1" applyBorder="1" applyAlignment="1">
      <x:alignment horizontal="center" vertical="center"/>
    </x:xf>
    <x:xf numFmtId="0" fontId="28" fillId="0" borderId="44" xfId="1" applyFont="1" applyBorder="1" applyAlignment="1">
      <x:alignment horizontal="center" vertical="center"/>
    </x:xf>
    <x:xf numFmtId="0" fontId="28" fillId="0" borderId="0" xfId="1" applyFont="1" applyBorder="1" applyAlignment="1">
      <x:alignment horizontal="center" vertical="center"/>
    </x:xf>
    <x:xf numFmtId="0" fontId="28" fillId="0" borderId="11" xfId="1" applyFont="1" applyBorder="1" applyAlignment="1">
      <x:alignment horizontal="center" vertical="center"/>
    </x:xf>
    <x:xf numFmtId="0" fontId="28" fillId="0" borderId="43" xfId="1" applyFont="1" applyBorder="1" applyAlignment="1">
      <x:alignment horizontal="center" vertical="center"/>
    </x:xf>
    <x:xf numFmtId="0" fontId="28" fillId="0" borderId="28" xfId="1" applyFont="1" applyBorder="1" applyAlignment="1">
      <x:alignment horizontal="center" vertical="center"/>
    </x:xf>
    <x:xf numFmtId="0" fontId="28" fillId="0" borderId="27" xfId="1" applyFont="1" applyBorder="1" applyAlignment="1">
      <x:alignment horizontal="center" vertical="center"/>
    </x:xf>
    <x:xf numFmtId="0" fontId="27" fillId="0" borderId="48" xfId="1" applyFont="1" applyBorder="1" applyAlignment="1">
      <x:alignment horizontal="center" vertical="center"/>
    </x:xf>
    <x:xf numFmtId="0" fontId="27" fillId="0" borderId="36" xfId="1" applyFont="1" applyBorder="1" applyAlignment="1">
      <x:alignment horizontal="center" vertical="center"/>
    </x:xf>
    <x:xf numFmtId="0" fontId="27" fillId="0" borderId="47" xfId="1" applyFont="1" applyBorder="1" applyAlignment="1">
      <x:alignment horizontal="center" vertical="center"/>
    </x:xf>
    <x:xf numFmtId="0" fontId="27" fillId="0" borderId="44" xfId="1" applyFont="1" applyBorder="1" applyAlignment="1">
      <x:alignment horizontal="center" vertical="center"/>
    </x:xf>
    <x:xf numFmtId="0" fontId="27" fillId="0" borderId="0" xfId="1" applyFont="1" applyBorder="1" applyAlignment="1">
      <x:alignment horizontal="center" vertical="center"/>
    </x:xf>
    <x:xf numFmtId="0" fontId="27" fillId="0" borderId="11" xfId="1" applyFont="1" applyBorder="1" applyAlignment="1">
      <x:alignment horizontal="center" vertical="center"/>
    </x:xf>
    <x:xf numFmtId="0" fontId="27" fillId="0" borderId="41" xfId="1" applyFont="1" applyBorder="1" applyAlignment="1">
      <x:alignment horizontal="center" vertical="center"/>
    </x:xf>
    <x:xf numFmtId="0" fontId="27" fillId="0" borderId="1" xfId="1" applyFont="1" applyBorder="1" applyAlignment="1">
      <x:alignment horizontal="center" vertical="center"/>
    </x:xf>
    <x:xf numFmtId="0" fontId="27" fillId="0" borderId="4" xfId="1" applyFont="1" applyBorder="1" applyAlignment="1">
      <x:alignment horizontal="center" vertical="center"/>
    </x:xf>
    <x:xf numFmtId="0" fontId="27" fillId="0" borderId="30" xfId="1" applyFont="1" applyBorder="1" applyAlignment="1">
      <x:alignment horizontal="center" vertical="center"/>
    </x:xf>
    <x:xf numFmtId="0" fontId="27" fillId="0" borderId="92" xfId="1" applyFont="1" applyBorder="1" applyAlignment="1">
      <x:alignment horizontal="center" vertical="center"/>
    </x:xf>
    <x:xf numFmtId="0" fontId="27" fillId="0" borderId="37" xfId="1" applyFont="1" applyBorder="1" applyAlignment="1">
      <x:alignment horizontal="center" vertical="center"/>
    </x:xf>
    <x:xf numFmtId="0" fontId="27" fillId="0" borderId="93" xfId="1" applyFont="1" applyBorder="1" applyAlignment="1">
      <x:alignment horizontal="center" vertical="center"/>
    </x:xf>
    <x:xf numFmtId="0" fontId="27" fillId="0" borderId="14" xfId="1" applyFont="1" applyBorder="1" applyAlignment="1">
      <x:alignment horizontal="center" vertical="center"/>
    </x:xf>
    <x:xf numFmtId="0" fontId="27" fillId="0" borderId="2" xfId="1" applyFont="1" applyBorder="1" applyAlignment="1">
      <x:alignment horizontal="center" vertical="center"/>
    </x:xf>
    <x:xf numFmtId="0" fontId="27" fillId="0" borderId="51" xfId="1" applyFont="1" applyBorder="1" applyAlignment="1">
      <x:alignment horizontal="center" vertical="center"/>
    </x:xf>
    <x:xf numFmtId="0" fontId="27" fillId="0" borderId="94" xfId="1" applyFont="1" applyBorder="1" applyAlignment="1">
      <x:alignment horizontal="center" vertical="center"/>
    </x:xf>
    <x:xf numFmtId="0" fontId="27" fillId="0" borderId="29" xfId="1" applyFont="1" applyBorder="1" applyAlignment="1">
      <x:alignment horizontal="center" vertical="center"/>
    </x:xf>
    <x:xf numFmtId="0" fontId="25" fillId="0" borderId="37" xfId="1" applyFont="1" applyBorder="1" applyAlignment="1">
      <x:alignment horizontal="left" vertical="center"/>
    </x:xf>
    <x:xf numFmtId="0" fontId="25" fillId="0" borderId="36" xfId="1" applyFont="1" applyBorder="1" applyAlignment="1">
      <x:alignment horizontal="left" vertical="center"/>
    </x:xf>
    <x:xf numFmtId="0" fontId="25" fillId="0" borderId="35" xfId="1" applyFont="1" applyBorder="1" applyAlignment="1">
      <x:alignment horizontal="left" vertical="center"/>
    </x:xf>
    <x:xf numFmtId="0" fontId="25" fillId="0" borderId="2" xfId="1" applyFont="1" applyBorder="1" applyAlignment="1">
      <x:alignment horizontal="left" vertical="center"/>
    </x:xf>
    <x:xf numFmtId="0" fontId="25" fillId="0" borderId="0" xfId="1" applyFont="1" applyBorder="1" applyAlignment="1">
      <x:alignment horizontal="left" vertical="center"/>
    </x:xf>
    <x:xf numFmtId="0" fontId="25" fillId="0" borderId="34" xfId="1" applyFont="1" applyBorder="1" applyAlignment="1">
      <x:alignment horizontal="left" vertical="center"/>
    </x:xf>
    <x:xf numFmtId="0" fontId="25" fillId="0" borderId="29" xfId="1" applyFont="1" applyBorder="1" applyAlignment="1">
      <x:alignment horizontal="left" vertical="center"/>
    </x:xf>
    <x:xf numFmtId="0" fontId="25" fillId="0" borderId="28" xfId="1" applyFont="1" applyBorder="1" applyAlignment="1">
      <x:alignment horizontal="left" vertical="center"/>
    </x:xf>
    <x:xf numFmtId="0" fontId="25" fillId="0" borderId="33" xfId="1" applyFont="1" applyBorder="1" applyAlignment="1">
      <x:alignment horizontal="left" vertical="center"/>
    </x:xf>
    <x:xf numFmtId="0" fontId="25" fillId="0" borderId="37" xfId="1" applyFont="1" applyBorder="1" applyAlignment="1">
      <x:alignment horizontal="center" vertical="center"/>
    </x:xf>
    <x:xf numFmtId="0" fontId="25" fillId="0" borderId="36" xfId="1" applyFont="1" applyBorder="1" applyAlignment="1">
      <x:alignment horizontal="center" vertical="center"/>
    </x:xf>
    <x:xf numFmtId="0" fontId="25" fillId="0" borderId="35" xfId="1" applyFont="1" applyBorder="1" applyAlignment="1">
      <x:alignment horizontal="center" vertical="center"/>
    </x:xf>
    <x:xf numFmtId="0" fontId="25" fillId="0" borderId="2" xfId="1" applyFont="1" applyBorder="1" applyAlignment="1">
      <x:alignment horizontal="center" vertical="center"/>
    </x:xf>
    <x:xf numFmtId="0" fontId="25" fillId="0" borderId="0" xfId="1" applyFont="1" applyBorder="1" applyAlignment="1">
      <x:alignment horizontal="center" vertical="center"/>
    </x:xf>
    <x:xf numFmtId="0" fontId="25" fillId="0" borderId="34" xfId="1" applyFont="1" applyBorder="1" applyAlignment="1">
      <x:alignment horizontal="center" vertical="center"/>
    </x:xf>
    <x:xf numFmtId="0" fontId="25" fillId="0" borderId="5" xfId="1" applyFont="1" applyBorder="1" applyAlignment="1">
      <x:alignment horizontal="center" vertical="center"/>
    </x:xf>
    <x:xf numFmtId="0" fontId="25" fillId="0" borderId="1" xfId="1" applyFont="1" applyBorder="1" applyAlignment="1">
      <x:alignment horizontal="center" vertical="center"/>
    </x:xf>
    <x:xf numFmtId="0" fontId="25" fillId="0" borderId="45" xfId="1" applyFont="1" applyBorder="1" applyAlignment="1">
      <x:alignment horizontal="center" vertical="center"/>
    </x:xf>
    <x:xf numFmtId="0" fontId="28" fillId="0" borderId="46" xfId="1" applyFont="1" applyBorder="1" applyAlignment="1">
      <x:alignment horizontal="center" vertical="center"/>
    </x:xf>
    <x:xf numFmtId="0" fontId="28" fillId="0" borderId="34" xfId="1" applyFont="1" applyBorder="1" applyAlignment="1">
      <x:alignment horizontal="center" vertical="center"/>
    </x:xf>
    <x:xf numFmtId="0" fontId="28" fillId="0" borderId="33" xfId="1" applyFont="1" applyBorder="1" applyAlignment="1">
      <x:alignment horizontal="center" vertical="center"/>
    </x:xf>
    <x:xf numFmtId="0" fontId="22" fillId="0" borderId="25" xfId="1" applyFont="1" applyBorder="1" applyAlignment="1">
      <x:alignment horizontal="center" vertical="center"/>
    </x:xf>
    <x:xf numFmtId="0" fontId="22" fillId="0" borderId="31" xfId="1" applyFont="1" applyBorder="1" applyAlignment="1">
      <x:alignment horizontal="center" vertical="center"/>
    </x:xf>
    <x:xf numFmtId="0" fontId="22" fillId="0" borderId="24" xfId="1" applyFont="1" applyBorder="1" applyAlignment="1">
      <x:alignment horizontal="center" vertical="center"/>
    </x:xf>
    <x:xf numFmtId="0" fontId="22" fillId="0" borderId="30" xfId="1" applyFont="1" applyBorder="1" applyAlignment="1">
      <x:alignment horizontal="center" vertical="center"/>
    </x:xf>
    <x:xf numFmtId="0" fontId="25" fillId="0" borderId="29" xfId="1" applyFont="1" applyBorder="1" applyAlignment="1">
      <x:alignment horizontal="center" vertical="center"/>
    </x:xf>
    <x:xf numFmtId="0" fontId="25" fillId="0" borderId="28" xfId="1" applyFont="1" applyBorder="1" applyAlignment="1">
      <x:alignment horizontal="center" vertical="center"/>
    </x:xf>
    <x:xf numFmtId="0" fontId="25" fillId="0" borderId="33" xfId="1" applyFont="1" applyBorder="1" applyAlignment="1">
      <x:alignment horizontal="center" vertical="center"/>
    </x:xf>
    <x:xf numFmtId="0" fontId="22" fillId="0" borderId="26" xfId="1" applyFont="1" applyBorder="1" applyAlignment="1">
      <x:alignment horizontal="right" vertical="center"/>
    </x:xf>
    <x:xf numFmtId="0" fontId="22" fillId="0" borderId="25" xfId="1" applyFont="1" applyBorder="1" applyAlignment="1">
      <x:alignment horizontal="right" vertical="center"/>
    </x:xf>
    <x:xf numFmtId="0" fontId="22" fillId="0" borderId="32" xfId="1" applyFont="1" applyBorder="1" applyAlignment="1">
      <x:alignment horizontal="right" vertical="center"/>
    </x:xf>
    <x:xf numFmtId="0" fontId="22" fillId="0" borderId="31" xfId="1" applyFont="1" applyBorder="1" applyAlignment="1">
      <x:alignment horizontal="right" vertical="center"/>
    </x:xf>
    <x:xf numFmtId="9" fontId="24" fillId="2" borderId="9" xfId="1" applyNumberFormat="1" applyFont="1" applyFill="1" applyBorder="1" applyAlignment="1">
      <x:alignment horizontal="center" vertical="center"/>
    </x:xf>
    <x:xf numFmtId="9" fontId="24" fillId="2" borderId="1" xfId="1" applyNumberFormat="1" applyFont="1" applyFill="1" applyBorder="1" applyAlignment="1">
      <x:alignment horizontal="center" vertical="center"/>
    </x:xf>
    <x:xf numFmtId="184" fontId="24" fillId="3" borderId="42" xfId="1" applyNumberFormat="1" applyFont="1" applyFill="1" applyBorder="1" applyAlignment="1">
      <x:alignment horizontal="center" vertical="center"/>
    </x:xf>
    <x:xf numFmtId="184" fontId="24" fillId="3" borderId="9" xfId="1" applyNumberFormat="1" applyFont="1" applyFill="1" applyBorder="1" applyAlignment="1">
      <x:alignment horizontal="center" vertical="center"/>
    </x:xf>
    <x:xf numFmtId="184" fontId="24" fillId="3" borderId="46" xfId="1" applyNumberFormat="1" applyFont="1" applyFill="1" applyBorder="1" applyAlignment="1">
      <x:alignment horizontal="center" vertical="center"/>
    </x:xf>
    <x:xf numFmtId="184" fontId="24" fillId="3" borderId="41" xfId="1" applyNumberFormat="1" applyFont="1" applyFill="1" applyBorder="1" applyAlignment="1">
      <x:alignment horizontal="center" vertical="center"/>
    </x:xf>
    <x:xf numFmtId="184" fontId="24" fillId="3" borderId="1" xfId="1" applyNumberFormat="1" applyFont="1" applyFill="1" applyBorder="1" applyAlignment="1">
      <x:alignment horizontal="center" vertical="center"/>
    </x:xf>
    <x:xf numFmtId="184" fontId="24" fillId="3" borderId="45" xfId="1" applyNumberFormat="1" applyFont="1" applyFill="1" applyBorder="1" applyAlignment="1">
      <x:alignment horizontal="center" vertical="center"/>
    </x:xf>
    <x:xf numFmtId="184" fontId="24" fillId="3" borderId="12" xfId="1" applyNumberFormat="1" applyFont="1" applyFill="1" applyBorder="1" applyAlignment="1">
      <x:alignment horizontal="center" vertical="center"/>
    </x:xf>
    <x:xf numFmtId="184" fontId="24" fillId="3" borderId="4" xfId="1" applyNumberFormat="1" applyFont="1" applyFill="1" applyBorder="1" applyAlignment="1">
      <x:alignment horizontal="center" vertical="center"/>
    </x:xf>
    <x:xf numFmtId="0" fontId="24" fillId="0" borderId="10" xfId="1" applyFont="1" applyBorder="1" applyAlignment="1">
      <x:alignment horizontal="center" vertical="center"/>
    </x:xf>
    <x:xf numFmtId="0" fontId="24" fillId="0" borderId="9" xfId="1" applyFont="1" applyBorder="1" applyAlignment="1">
      <x:alignment horizontal="center" vertical="center"/>
    </x:xf>
    <x:xf numFmtId="0" fontId="24" fillId="0" borderId="2" xfId="1" applyFont="1" applyBorder="1" applyAlignment="1">
      <x:alignment horizontal="center" vertical="center"/>
    </x:xf>
    <x:xf numFmtId="0" fontId="24" fillId="0" borderId="0" xfId="1" applyFont="1" applyBorder="1" applyAlignment="1">
      <x:alignment horizontal="center" vertical="center"/>
    </x:xf>
    <x:xf numFmtId="0" fontId="24" fillId="0" borderId="29" xfId="1" applyFont="1" applyBorder="1" applyAlignment="1">
      <x:alignment horizontal="center" vertical="center"/>
    </x:xf>
    <x:xf numFmtId="0" fontId="24" fillId="0" borderId="28" xfId="1" applyFont="1" applyBorder="1" applyAlignment="1">
      <x:alignment horizontal="center" vertical="center"/>
    </x:xf>
    <x:xf numFmtId="0" fontId="24" fillId="0" borderId="12" xfId="1" applyFont="1" applyBorder="1" applyAlignment="1">
      <x:alignment horizontal="center" vertical="center"/>
    </x:xf>
    <x:xf numFmtId="0" fontId="24" fillId="0" borderId="11" xfId="1" applyFont="1" applyBorder="1" applyAlignment="1">
      <x:alignment horizontal="center" vertical="center"/>
    </x:xf>
    <x:xf numFmtId="0" fontId="24" fillId="0" borderId="27" xfId="1" applyFont="1" applyBorder="1" applyAlignment="1">
      <x:alignment horizontal="center" vertical="center"/>
    </x:xf>
    <x:xf numFmtId="0" fontId="34" fillId="0" borderId="0" xfId="1" applyFont="1" applyAlignment="1">
      <x:alignment horizontal="left" vertical="center"/>
    </x:xf>
    <x:xf numFmtId="0" fontId="41" fillId="0" borderId="48" xfId="1" applyFont="1" applyBorder="1" applyAlignment="1">
      <x:alignment horizontal="center" vertical="center"/>
    </x:xf>
    <x:xf numFmtId="0" fontId="41" fillId="0" borderId="36" xfId="1" applyFont="1" applyBorder="1" applyAlignment="1">
      <x:alignment horizontal="center" vertical="center"/>
    </x:xf>
    <x:xf numFmtId="0" fontId="41" fillId="0" borderId="35" xfId="1" applyFont="1" applyBorder="1" applyAlignment="1">
      <x:alignment horizontal="center" vertical="center"/>
    </x:xf>
    <x:xf numFmtId="0" fontId="41" fillId="0" borderId="43" xfId="1" applyFont="1" applyBorder="1" applyAlignment="1">
      <x:alignment horizontal="center" vertical="center"/>
    </x:xf>
    <x:xf numFmtId="0" fontId="41" fillId="0" borderId="28" xfId="1" applyFont="1" applyBorder="1" applyAlignment="1">
      <x:alignment horizontal="center" vertical="center"/>
    </x:xf>
    <x:xf numFmtId="0" fontId="41" fillId="0" borderId="33" xfId="1" applyFont="1" applyBorder="1" applyAlignment="1">
      <x:alignment horizontal="center" vertical="center"/>
    </x:xf>
    <x:xf numFmtId="183" fontId="41" fillId="0" borderId="52" xfId="1" applyNumberFormat="1" applyFont="1" applyBorder="1" applyAlignment="1">
      <x:alignment horizontal="center" vertical="center"/>
    </x:xf>
    <x:xf numFmtId="183" fontId="41" fillId="0" borderId="25" xfId="1" applyNumberFormat="1" applyFont="1" applyBorder="1" applyAlignment="1">
      <x:alignment horizontal="center" vertical="center"/>
    </x:xf>
    <x:xf numFmtId="0" fontId="24" fillId="2" borderId="10" xfId="1" applyFont="1" applyFill="1" applyBorder="1" applyAlignment="1">
      <x:alignment horizontal="center" vertical="center"/>
    </x:xf>
    <x:xf numFmtId="0" fontId="24" fillId="2" borderId="9" xfId="1" applyFont="1" applyFill="1" applyBorder="1" applyAlignment="1">
      <x:alignment horizontal="center" vertical="center"/>
    </x:xf>
    <x:xf numFmtId="0" fontId="24" fillId="2" borderId="12" xfId="1" applyFont="1" applyFill="1" applyBorder="1" applyAlignment="1">
      <x:alignment horizontal="center" vertical="center"/>
    </x:xf>
    <x:xf numFmtId="0" fontId="24" fillId="2" borderId="5" xfId="1" applyFont="1" applyFill="1" applyBorder="1" applyAlignment="1">
      <x:alignment horizontal="center" vertical="center"/>
    </x:xf>
    <x:xf numFmtId="0" fontId="24" fillId="2" borderId="1" xfId="1" applyFont="1" applyFill="1" applyBorder="1" applyAlignment="1">
      <x:alignment horizontal="center" vertical="center"/>
    </x:xf>
    <x:xf numFmtId="0" fontId="24" fillId="2" borderId="4" xfId="1" applyFont="1" applyFill="1" applyBorder="1" applyAlignment="1">
      <x:alignment horizontal="center" vertical="center"/>
    </x:xf>
    <x:xf numFmtId="0" fontId="24" fillId="3" borderId="10" xfId="1" applyFont="1" applyFill="1" applyBorder="1" applyAlignment="1">
      <x:alignment horizontal="center" vertical="center"/>
    </x:xf>
    <x:xf numFmtId="0" fontId="24" fillId="3" borderId="9" xfId="1" applyFont="1" applyFill="1" applyBorder="1" applyAlignment="1">
      <x:alignment horizontal="center" vertical="center"/>
    </x:xf>
    <x:xf numFmtId="0" fontId="24" fillId="3" borderId="46" xfId="1" applyFont="1" applyFill="1" applyBorder="1" applyAlignment="1">
      <x:alignment horizontal="center" vertical="center"/>
    </x:xf>
    <x:xf numFmtId="0" fontId="24" fillId="3" borderId="5" xfId="1" applyFont="1" applyFill="1" applyBorder="1" applyAlignment="1">
      <x:alignment horizontal="center" vertical="center"/>
    </x:xf>
    <x:xf numFmtId="0" fontId="24" fillId="3" borderId="1" xfId="1" applyFont="1" applyFill="1" applyBorder="1" applyAlignment="1">
      <x:alignment horizontal="center" vertical="center"/>
    </x:xf>
    <x:xf numFmtId="0" fontId="24" fillId="3" borderId="45" xfId="1" applyFont="1" applyFill="1" applyBorder="1" applyAlignment="1">
      <x:alignment horizontal="center" vertical="center"/>
    </x:xf>
    <x:xf numFmtId="0" fontId="24" fillId="3" borderId="42" xfId="1" applyFont="1" applyFill="1" applyBorder="1" applyAlignment="1">
      <x:alignment horizontal="center" vertical="center"/>
    </x:xf>
    <x:xf numFmtId="0" fontId="24" fillId="3" borderId="41" xfId="1" applyFont="1" applyFill="1" applyBorder="1" applyAlignment="1">
      <x:alignment horizontal="center" vertical="center"/>
    </x:xf>
    <x:xf numFmtId="0" fontId="52" fillId="2" borderId="77" xfId="1" applyFont="1" applyFill="1" applyBorder="1" applyAlignment="1">
      <x:alignment horizontal="center" vertical="center"/>
    </x:xf>
    <x:xf numFmtId="0" fontId="52" fillId="2" borderId="2" xfId="1" applyFont="1" applyFill="1" applyBorder="1" applyAlignment="1">
      <x:alignment horizontal="center" vertical="center"/>
    </x:xf>
    <x:xf numFmtId="0" fontId="52" fillId="2" borderId="0" xfId="1" applyFont="1" applyFill="1" applyBorder="1" applyAlignment="1">
      <x:alignment horizontal="center" vertical="center"/>
    </x:xf>
    <x:xf numFmtId="0" fontId="52" fillId="2" borderId="78" xfId="1" applyFont="1" applyFill="1" applyBorder="1" applyAlignment="1">
      <x:alignment horizontal="center" vertical="center"/>
    </x:xf>
    <x:xf numFmtId="0" fontId="52" fillId="2" borderId="5" xfId="1" applyFont="1" applyFill="1" applyBorder="1" applyAlignment="1">
      <x:alignment horizontal="center" vertical="center"/>
    </x:xf>
    <x:xf numFmtId="0" fontId="52" fillId="2" borderId="1" xfId="1" applyFont="1" applyFill="1" applyBorder="1" applyAlignment="1">
      <x:alignment horizontal="center" vertical="center"/>
    </x:xf>
    <x:xf numFmtId="0" fontId="52" fillId="2" borderId="79" xfId="1" applyFont="1" applyFill="1" applyBorder="1" applyAlignment="1">
      <x:alignment horizontal="center" vertical="center"/>
    </x:xf>
    <x:xf numFmtId="186" fontId="40" fillId="0" borderId="80" xfId="1" applyNumberFormat="1" applyFont="1" applyBorder="1" applyAlignment="1">
      <x:alignment horizontal="right" vertical="center"/>
    </x:xf>
    <x:xf numFmtId="186" fontId="40" fillId="0" borderId="81" xfId="1" applyNumberFormat="1" applyFont="1" applyBorder="1" applyAlignment="1">
      <x:alignment horizontal="right" vertical="center"/>
    </x:xf>
    <x:xf numFmtId="186" fontId="40" fillId="0" borderId="82" xfId="1" applyNumberFormat="1" applyFont="1" applyBorder="1" applyAlignment="1">
      <x:alignment horizontal="right" vertical="center"/>
    </x:xf>
    <x:xf numFmtId="186" fontId="40" fillId="0" borderId="83" xfId="1" applyNumberFormat="1" applyFont="1" applyBorder="1" applyAlignment="1">
      <x:alignment horizontal="right" vertical="center"/>
    </x:xf>
    <x:xf numFmtId="186" fontId="40" fillId="0" borderId="0" xfId="1" applyNumberFormat="1" applyFont="1" applyBorder="1" applyAlignment="1">
      <x:alignment horizontal="right" vertical="center"/>
    </x:xf>
    <x:xf numFmtId="186" fontId="40" fillId="0" borderId="78" xfId="1" applyNumberFormat="1" applyFont="1" applyBorder="1" applyAlignment="1">
      <x:alignment horizontal="right" vertical="center"/>
    </x:xf>
    <x:xf numFmtId="186" fontId="40" fillId="0" borderId="84" xfId="1" applyNumberFormat="1" applyFont="1" applyBorder="1" applyAlignment="1">
      <x:alignment horizontal="right" vertical="center"/>
    </x:xf>
    <x:xf numFmtId="186" fontId="40" fillId="0" borderId="85" xfId="1" applyNumberFormat="1" applyFont="1" applyBorder="1" applyAlignment="1">
      <x:alignment horizontal="right" vertical="center"/>
    </x:xf>
    <x:xf numFmtId="186" fontId="40" fillId="0" borderId="86" xfId="1" applyNumberFormat="1" applyFont="1" applyBorder="1" applyAlignment="1">
      <x:alignment horizontal="right" vertical="center"/>
    </x:xf>
    <x:xf numFmtId="0" fontId="22" fillId="0" borderId="10" xfId="1" applyFont="1" applyBorder="1" applyAlignment="1">
      <x:alignment horizontal="center" vertical="center"/>
    </x:xf>
    <x:xf numFmtId="0" fontId="22" fillId="0" borderId="9" xfId="1" applyFont="1" applyBorder="1" applyAlignment="1">
      <x:alignment horizontal="center" vertical="center"/>
    </x:xf>
    <x:xf numFmtId="0" fontId="22" fillId="0" borderId="12" xfId="1" applyFont="1" applyBorder="1" applyAlignment="1">
      <x:alignment horizontal="center" vertical="center"/>
    </x:xf>
    <x:xf numFmtId="0" fontId="22" fillId="0" borderId="2" xfId="1" applyFont="1" applyBorder="1" applyAlignment="1">
      <x:alignment horizontal="center" vertical="center"/>
    </x:xf>
    <x:xf numFmtId="0" fontId="22" fillId="0" borderId="0" xfId="1" applyFont="1" applyBorder="1" applyAlignment="1">
      <x:alignment horizontal="center" vertical="center"/>
    </x:xf>
    <x:xf numFmtId="0" fontId="22" fillId="0" borderId="11" xfId="1" applyFont="1" applyBorder="1" applyAlignment="1">
      <x:alignment horizontal="center" vertical="center"/>
    </x:xf>
    <x:xf numFmtId="0" fontId="22" fillId="0" borderId="5" xfId="1" applyFont="1" applyBorder="1" applyAlignment="1">
      <x:alignment horizontal="center" vertical="center"/>
    </x:xf>
    <x:xf numFmtId="0" fontId="22" fillId="0" borderId="1" xfId="1" applyFont="1" applyBorder="1" applyAlignment="1">
      <x:alignment horizontal="center" vertical="center"/>
    </x:xf>
    <x:xf numFmtId="0" fontId="22" fillId="0" borderId="4" xfId="1" applyFont="1" applyBorder="1" applyAlignment="1">
      <x:alignment horizontal="center" vertical="center"/>
    </x:xf>
    <x:xf numFmtId="183" fontId="35" fillId="0" borderId="25" xfId="1" applyNumberFormat="1" applyFont="1" applyBorder="1" applyAlignment="1">
      <x:alignment horizontal="center" vertical="center"/>
    </x:xf>
    <x:xf numFmtId="0" fontId="27" fillId="0" borderId="25" xfId="1" applyFont="1" applyBorder="1" applyAlignment="1">
      <x:alignment horizontal="center" vertical="center"/>
    </x:xf>
    <x:xf numFmtId="0" fontId="32" fillId="0" borderId="48" xfId="1" applyFont="1" applyBorder="1" applyAlignment="1">
      <x:alignment horizontal="center" vertical="center"/>
    </x:xf>
    <x:xf numFmtId="0" fontId="32" fillId="0" borderId="36" xfId="1" applyFont="1" applyBorder="1" applyAlignment="1">
      <x:alignment horizontal="center" vertical="center"/>
    </x:xf>
    <x:xf numFmtId="0" fontId="32" fillId="0" borderId="35" xfId="1" applyFont="1" applyBorder="1" applyAlignment="1">
      <x:alignment horizontal="center" vertical="center"/>
    </x:xf>
    <x:xf numFmtId="0" fontId="32" fillId="0" borderId="43" xfId="1" applyFont="1" applyBorder="1" applyAlignment="1">
      <x:alignment horizontal="center" vertical="center"/>
    </x:xf>
    <x:xf numFmtId="0" fontId="32" fillId="0" borderId="28" xfId="1" applyFont="1" applyBorder="1" applyAlignment="1">
      <x:alignment horizontal="center" vertical="center"/>
    </x:xf>
    <x:xf numFmtId="0" fontId="32" fillId="0" borderId="33" xfId="1" applyFont="1" applyBorder="1" applyAlignment="1">
      <x:alignment horizontal="center" vertical="center"/>
    </x:xf>
    <x:xf numFmtId="0" fontId="35" fillId="0" borderId="44" xfId="1" applyFont="1" applyBorder="1" applyAlignment="1">
      <x:alignment horizontal="center" vertical="center"/>
    </x:xf>
    <x:xf numFmtId="0" fontId="41" fillId="0" borderId="0" xfId="1" applyFont="1" applyBorder="1" applyAlignment="1">
      <x:alignment horizontal="center" vertical="center"/>
    </x:xf>
    <x:xf numFmtId="0" fontId="41" fillId="0" borderId="11" xfId="1" applyFont="1" applyBorder="1" applyAlignment="1">
      <x:alignment horizontal="center" vertical="center"/>
    </x:xf>
    <x:xf numFmtId="0" fontId="41" fillId="0" borderId="27" xfId="1" applyFont="1" applyBorder="1" applyAlignment="1">
      <x:alignment horizontal="center" vertical="center"/>
    </x:xf>
    <x:xf numFmtId="0" fontId="27" fillId="0" borderId="22" xfId="1" applyFont="1" applyBorder="1" applyAlignment="1">
      <x:alignment horizontal="center" vertical="center"/>
    </x:xf>
    <x:xf numFmtId="49" fontId="25" fillId="0" borderId="48" xfId="1" applyNumberFormat="1" applyFont="1" applyBorder="1" applyAlignment="1">
      <x:alignment horizontal="left" vertical="center"/>
    </x:xf>
    <x:xf numFmtId="49" fontId="25" fillId="0" borderId="36" xfId="1" applyNumberFormat="1" applyFont="1" applyBorder="1" applyAlignment="1">
      <x:alignment horizontal="left" vertical="center"/>
    </x:xf>
    <x:xf numFmtId="49" fontId="25" fillId="0" borderId="35" xfId="1" applyNumberFormat="1" applyFont="1" applyBorder="1" applyAlignment="1">
      <x:alignment horizontal="left" vertical="center"/>
    </x:xf>
    <x:xf numFmtId="49" fontId="25" fillId="0" borderId="41" xfId="1" applyNumberFormat="1" applyFont="1" applyBorder="1" applyAlignment="1">
      <x:alignment horizontal="left" vertical="center"/>
    </x:xf>
    <x:xf numFmtId="49" fontId="25" fillId="0" borderId="1" xfId="1" applyNumberFormat="1" applyFont="1" applyBorder="1" applyAlignment="1">
      <x:alignment horizontal="left" vertical="center"/>
    </x:xf>
    <x:xf numFmtId="49" fontId="25" fillId="0" borderId="45" xfId="1" applyNumberFormat="1" applyFont="1" applyBorder="1" applyAlignment="1">
      <x:alignment horizontal="left" vertical="center"/>
    </x:xf>
    <x:xf numFmtId="0" fontId="41" fillId="0" borderId="37" xfId="1" applyFont="1" applyBorder="1" applyAlignment="1">
      <x:alignment horizontal="left" vertical="center"/>
    </x:xf>
    <x:xf numFmtId="183" fontId="35" fillId="0" borderId="22" xfId="1" applyNumberFormat="1" applyFont="1" applyBorder="1" applyAlignment="1">
      <x:alignment horizontal="center" vertical="center"/>
    </x:xf>
    <x:xf numFmtId="0" fontId="14" fillId="0" borderId="22" xfId="1" applyBorder="1" applyAlignment="1">
      <x:alignment horizontal="center" vertical="center"/>
    </x:xf>
    <x:xf numFmtId="0" fontId="14" fillId="0" borderId="21" xfId="1" applyBorder="1" applyAlignment="1">
      <x:alignment horizontal="center" vertical="center"/>
    </x:xf>
    <x:xf numFmtId="0" fontId="28" fillId="2" borderId="10" xfId="1" applyFont="1" applyFill="1" applyBorder="1" applyAlignment="1">
      <x:alignment horizontal="center" vertical="center"/>
    </x:xf>
    <x:xf numFmtId="0" fontId="27" fillId="2" borderId="12" xfId="1" applyFont="1" applyFill="1" applyBorder="1" applyAlignment="1">
      <x:alignment horizontal="center" vertical="center"/>
    </x:xf>
    <x:xf numFmtId="0" fontId="27" fillId="2" borderId="2" xfId="1" applyFont="1" applyFill="1" applyBorder="1" applyAlignment="1">
      <x:alignment horizontal="center" vertical="center"/>
    </x:xf>
    <x:xf numFmtId="0" fontId="27" fillId="2" borderId="11" xfId="1" applyFont="1" applyFill="1" applyBorder="1" applyAlignment="1">
      <x:alignment horizontal="center" vertical="center"/>
    </x:xf>
    <x:xf numFmtId="0" fontId="27" fillId="2" borderId="5" xfId="1" applyFont="1" applyFill="1" applyBorder="1" applyAlignment="1">
      <x:alignment horizontal="center" vertical="center"/>
    </x:xf>
    <x:xf numFmtId="0" fontId="27" fillId="2" borderId="4" xfId="1" applyFont="1" applyFill="1" applyBorder="1" applyAlignment="1">
      <x:alignment horizontal="center" vertical="center"/>
    </x:xf>
    <x:xf numFmtId="0" fontId="53" fillId="0" borderId="10" xfId="0" applyFont="1" applyBorder="1" applyAlignment="1">
      <x:alignment horizontal="center" vertical="center"/>
    </x:xf>
    <x:xf numFmtId="0" fontId="54" fillId="0" borderId="9" xfId="0" applyFont="1" applyBorder="1" applyAlignment="1">
      <x:alignment horizontal="center" vertical="center"/>
    </x:xf>
    <x:xf numFmtId="0" fontId="54" fillId="0" borderId="12" xfId="0" applyFont="1" applyBorder="1" applyAlignment="1">
      <x:alignment horizontal="center" vertical="center"/>
    </x:xf>
    <x:xf numFmtId="0" fontId="54" fillId="0" borderId="2" xfId="0" applyFont="1" applyBorder="1" applyAlignment="1">
      <x:alignment horizontal="center" vertical="center"/>
    </x:xf>
    <x:xf numFmtId="0" fontId="54" fillId="0" borderId="0" xfId="0" applyFont="1" applyBorder="1" applyAlignment="1">
      <x:alignment horizontal="center" vertical="center"/>
    </x:xf>
    <x:xf numFmtId="0" fontId="54" fillId="0" borderId="11" xfId="0" applyFont="1" applyBorder="1" applyAlignment="1">
      <x:alignment horizontal="center" vertical="center"/>
    </x:xf>
    <x:xf numFmtId="0" fontId="54" fillId="0" borderId="5" xfId="0" applyFont="1" applyBorder="1" applyAlignment="1">
      <x:alignment horizontal="center" vertical="center"/>
    </x:xf>
    <x:xf numFmtId="0" fontId="54" fillId="0" borderId="1" xfId="0" applyFont="1" applyBorder="1" applyAlignment="1">
      <x:alignment horizontal="center" vertical="center"/>
    </x:xf>
    <x:xf numFmtId="0" fontId="54" fillId="0" borderId="4" xfId="0" applyFont="1" applyBorder="1" applyAlignment="1">
      <x:alignment horizontal="center" vertical="center"/>
    </x:xf>
    <x:xf numFmtId="0" fontId="35" fillId="0" borderId="9" xfId="1" applyFont="1" applyBorder="1" applyAlignment="1">
      <x:alignment horizontal="center" vertical="center"/>
    </x:xf>
    <x:xf numFmtId="0" fontId="35" fillId="0" borderId="12" xfId="1" applyFont="1" applyBorder="1" applyAlignment="1">
      <x:alignment horizontal="center" vertical="center"/>
    </x:xf>
    <x:xf numFmtId="0" fontId="35" fillId="0" borderId="0" xfId="1" applyFont="1" applyBorder="1" applyAlignment="1">
      <x:alignment horizontal="center" vertical="center"/>
    </x:xf>
    <x:xf numFmtId="0" fontId="35" fillId="0" borderId="11" xfId="1" applyFont="1" applyBorder="1" applyAlignment="1">
      <x:alignment horizontal="center" vertical="center"/>
    </x:xf>
    <x:xf numFmtId="0" fontId="35" fillId="0" borderId="1" xfId="1" applyFont="1" applyBorder="1" applyAlignment="1">
      <x:alignment horizontal="center" vertical="center"/>
    </x:xf>
    <x:xf numFmtId="0" fontId="35" fillId="0" borderId="4" xfId="1" applyFont="1" applyBorder="1" applyAlignment="1">
      <x:alignment horizontal="center" vertical="center"/>
    </x:xf>
    <x:xf numFmtId="0" fontId="35" fillId="0" borderId="36" xfId="1" applyFont="1" applyBorder="1" applyAlignment="1">
      <x:alignment horizontal="left" vertical="center"/>
    </x:xf>
    <x:xf numFmtId="0" fontId="35" fillId="0" borderId="29" xfId="1" applyFont="1" applyBorder="1" applyAlignment="1">
      <x:alignment horizontal="left" vertical="center"/>
    </x:xf>
    <x:xf numFmtId="0" fontId="35" fillId="0" borderId="28" xfId="1" applyFont="1" applyBorder="1" applyAlignment="1">
      <x:alignment horizontal="left" vertical="center"/>
    </x:xf>
    <x:xf numFmtId="0" fontId="36" fillId="0" borderId="0" xfId="1" applyFont="1" applyAlignment="1">
      <x:alignment horizontal="center" vertical="center"/>
    </x:xf>
    <x:xf numFmtId="0" fontId="38" fillId="0" borderId="0" xfId="1" applyFont="1" applyAlignment="1">
      <x:alignment horizontal="center" vertical="center"/>
    </x:xf>
    <x:xf numFmtId="0" fontId="38" fillId="0" borderId="1" xfId="1" applyFont="1" applyBorder="1" applyAlignment="1">
      <x:alignment horizontal="center" vertical="center"/>
    </x:xf>
    <x:xf numFmtId="0" fontId="39" fillId="0" borderId="0" xfId="1" applyNumberFormat="1" applyFont="1" applyAlignment="1">
      <x:alignment horizontal="center" vertical="center"/>
    </x:xf>
    <x:xf numFmtId="0" fontId="33" fillId="0" borderId="0" xfId="1" applyNumberFormat="1" applyFont="1" applyAlignment="1">
      <x:alignment horizontal="center" vertical="center"/>
    </x:xf>
    <x:xf numFmtId="0" fontId="33" fillId="0" borderId="0" xfId="1" applyNumberFormat="1" applyFont="1" applyBorder="1" applyAlignment="1">
      <x:alignment horizontal="center" vertical="center"/>
    </x:xf>
    <x:xf numFmtId="49" fontId="33" fillId="0" borderId="0" xfId="1" applyNumberFormat="1" applyFont="1" applyAlignment="1">
      <x:alignment horizontal="center" vertical="center"/>
    </x:xf>
    <x:xf numFmtId="49" fontId="33" fillId="0" borderId="0" xfId="1" applyNumberFormat="1" applyFont="1" applyBorder="1" applyAlignment="1">
      <x:alignment horizontal="center" vertical="center"/>
    </x:xf>
    <x:xf numFmtId="0" fontId="37" fillId="0" borderId="0" xfId="1" applyFont="1" applyAlignment="1">
      <x:alignment horizontal="center" vertical="center"/>
    </x:xf>
    <x:xf numFmtId="180" fontId="25" fillId="0" borderId="10" xfId="1" applyNumberFormat="1" applyFont="1" applyBorder="1" applyAlignment="1">
      <x:alignment horizontal="center" vertical="center"/>
    </x:xf>
    <x:xf numFmtId="180" fontId="25" fillId="0" borderId="9" xfId="1" applyNumberFormat="1" applyFont="1" applyBorder="1" applyAlignment="1">
      <x:alignment horizontal="center" vertical="center"/>
    </x:xf>
    <x:xf numFmtId="180" fontId="25" fillId="0" borderId="46" xfId="1" applyNumberFormat="1" applyFont="1" applyBorder="1" applyAlignment="1">
      <x:alignment horizontal="center" vertical="center"/>
    </x:xf>
    <x:xf numFmtId="180" fontId="25" fillId="0" borderId="5" xfId="1" applyNumberFormat="1" applyFont="1" applyBorder="1" applyAlignment="1">
      <x:alignment horizontal="center" vertical="center"/>
    </x:xf>
    <x:xf numFmtId="180" fontId="25" fillId="0" borderId="1" xfId="1" applyNumberFormat="1" applyFont="1" applyBorder="1" applyAlignment="1">
      <x:alignment horizontal="center" vertical="center"/>
    </x:xf>
    <x:xf numFmtId="180" fontId="25" fillId="0" borderId="45" xfId="1" applyNumberFormat="1" applyFont="1" applyBorder="1" applyAlignment="1">
      <x:alignment horizontal="center" vertical="center"/>
    </x:xf>
    <x:xf numFmtId="0" fontId="25" fillId="0" borderId="42" xfId="1" applyFont="1" applyBorder="1" applyAlignment="1">
      <x:alignment horizontal="center" vertical="center"/>
    </x:xf>
    <x:xf numFmtId="0" fontId="25" fillId="0" borderId="9" xfId="1" applyFont="1" applyBorder="1" applyAlignment="1">
      <x:alignment horizontal="center" vertical="center"/>
    </x:xf>
    <x:xf numFmtId="0" fontId="25" fillId="0" borderId="41" xfId="1" applyFont="1" applyBorder="1" applyAlignment="1">
      <x:alignment horizontal="center" vertical="center"/>
    </x:xf>
    <x:xf numFmtId="0" fontId="25" fillId="2" borderId="10" xfId="1" applyFont="1" applyFill="1" applyBorder="1" applyAlignment="1">
      <x:alignment horizontal="center" vertical="center"/>
    </x:xf>
    <x:xf numFmtId="0" fontId="25" fillId="2" borderId="9" xfId="1" applyFont="1" applyFill="1" applyBorder="1" applyAlignment="1">
      <x:alignment horizontal="center" vertical="center"/>
    </x:xf>
    <x:xf numFmtId="0" fontId="25" fillId="2" borderId="12" xfId="1" applyFont="1" applyFill="1" applyBorder="1" applyAlignment="1">
      <x:alignment horizontal="center" vertical="center"/>
    </x:xf>
    <x:xf numFmtId="0" fontId="25" fillId="2" borderId="5" xfId="1" applyFont="1" applyFill="1" applyBorder="1" applyAlignment="1">
      <x:alignment horizontal="center" vertical="center"/>
    </x:xf>
    <x:xf numFmtId="0" fontId="25" fillId="2" borderId="1" xfId="1" applyFont="1" applyFill="1" applyBorder="1" applyAlignment="1">
      <x:alignment horizontal="center" vertical="center"/>
    </x:xf>
    <x:xf numFmtId="0" fontId="25" fillId="2" borderId="4" xfId="1" applyFont="1" applyFill="1" applyBorder="1" applyAlignment="1">
      <x:alignment horizontal="center" vertical="center"/>
    </x:xf>
    <x:xf numFmtId="0" fontId="25" fillId="0" borderId="12" xfId="1" applyFont="1" applyBorder="1" applyAlignment="1">
      <x:alignment horizontal="center" vertical="center"/>
    </x:xf>
    <x:xf numFmtId="0" fontId="25" fillId="0" borderId="4" xfId="1" applyFont="1" applyBorder="1" applyAlignment="1">
      <x:alignment horizontal="center" vertical="center"/>
    </x:xf>
    <x:xf numFmtId="0" fontId="25" fillId="2" borderId="2" xfId="1" applyFont="1" applyFill="1" applyBorder="1" applyAlignment="1">
      <x:alignment horizontal="center" vertical="center"/>
    </x:xf>
    <x:xf numFmtId="0" fontId="25" fillId="2" borderId="0" xfId="1" applyFont="1" applyFill="1" applyBorder="1" applyAlignment="1">
      <x:alignment horizontal="center" vertical="center"/>
    </x:xf>
    <x:xf numFmtId="0" fontId="25" fillId="2" borderId="11" xfId="1" applyFont="1" applyFill="1" applyBorder="1" applyAlignment="1">
      <x:alignment horizontal="center" vertical="center"/>
    </x:xf>
    <x:xf numFmtId="180" fontId="8" fillId="0" borderId="2" xfId="1" applyNumberFormat="1" applyFont="1" applyBorder="1" applyAlignment="1">
      <x:alignment horizontal="center" vertical="center"/>
    </x:xf>
    <x:xf numFmtId="180" fontId="13" fillId="0" borderId="0" xfId="1" applyNumberFormat="1" applyFont="1" applyBorder="1" applyAlignment="1">
      <x:alignment horizontal="center" vertical="center"/>
    </x:xf>
    <x:xf numFmtId="180" fontId="13" fillId="0" borderId="2" xfId="1" applyNumberFormat="1" applyFont="1" applyBorder="1" applyAlignment="1">
      <x:alignment horizontal="center" vertical="center"/>
    </x:xf>
    <x:xf numFmtId="180" fontId="13" fillId="0" borderId="5" xfId="1" applyNumberFormat="1" applyFont="1" applyBorder="1" applyAlignment="1">
      <x:alignment horizontal="center" vertical="center"/>
    </x:xf>
    <x:xf numFmtId="180" fontId="13" fillId="0" borderId="1" xfId="1" applyNumberFormat="1" applyFont="1" applyBorder="1" applyAlignment="1">
      <x:alignment horizontal="center" vertical="center"/>
    </x:xf>
    <x:xf numFmtId="0" fontId="25" fillId="0" borderId="44" xfId="1" applyFont="1" applyBorder="1" applyAlignment="1">
      <x:alignment horizontal="right" vertical="center"/>
    </x:xf>
    <x:xf numFmtId="0" fontId="25" fillId="0" borderId="0" xfId="1" applyFont="1" applyBorder="1" applyAlignment="1">
      <x:alignment horizontal="right" vertical="center"/>
    </x:xf>
    <x:xf numFmtId="0" fontId="25" fillId="0" borderId="34" xfId="1" applyFont="1" applyBorder="1" applyAlignment="1">
      <x:alignment horizontal="right" vertical="center"/>
    </x:xf>
    <x:xf numFmtId="0" fontId="25" fillId="0" borderId="41" xfId="1" applyFont="1" applyBorder="1" applyAlignment="1">
      <x:alignment horizontal="right" vertical="center"/>
    </x:xf>
    <x:xf numFmtId="0" fontId="25" fillId="0" borderId="1" xfId="1" applyFont="1" applyBorder="1" applyAlignment="1">
      <x:alignment horizontal="right" vertical="center"/>
    </x:xf>
    <x:xf numFmtId="0" fontId="25" fillId="0" borderId="45" xfId="1" applyFont="1" applyBorder="1" applyAlignment="1">
      <x:alignment horizontal="right" vertical="center"/>
    </x:xf>
    <x:xf numFmtId="0" fontId="25" fillId="0" borderId="0" xfId="1" applyFont="1" applyBorder="1" applyAlignment="1">
      <x:alignment horizontal="center" vertical="center" wrapText="1"/>
    </x:xf>
    <x:xf numFmtId="0" fontId="22" fillId="0" borderId="0" xfId="1" applyFont="1" applyBorder="1" applyAlignment="1">
      <x:alignment horizontal="center" vertical="center" wrapText="1"/>
    </x:xf>
    <x:xf numFmtId="0" fontId="22" fillId="0" borderId="1" xfId="1" applyFont="1" applyBorder="1" applyAlignment="1">
      <x:alignment horizontal="center" vertical="center" wrapText="1"/>
    </x:xf>
    <x:xf numFmtId="20" fontId="25" fillId="0" borderId="9" xfId="1" applyNumberFormat="1" applyFont="1" applyBorder="1" applyAlignment="1">
      <x:alignment horizontal="center" vertical="center" wrapText="1"/>
    </x:xf>
    <x:xf numFmtId="20" fontId="25" fillId="0" borderId="0" xfId="1" applyNumberFormat="1" applyFont="1" applyBorder="1" applyAlignment="1">
      <x:alignment horizontal="center" vertical="center" wrapText="1"/>
    </x:xf>
    <x:xf numFmtId="20" fontId="25" fillId="0" borderId="1" xfId="1" applyNumberFormat="1" applyFont="1" applyBorder="1" applyAlignment="1">
      <x:alignment horizontal="center" vertical="center" wrapText="1"/>
    </x:xf>
    <x:xf numFmtId="0" fontId="27" fillId="0" borderId="19" xfId="1" applyFont="1" applyBorder="1" applyAlignment="1">
      <x:alignment horizontal="center" vertical="center"/>
    </x:xf>
    <x:xf numFmtId="0" fontId="27" fillId="0" borderId="16" xfId="1" applyFont="1" applyBorder="1" applyAlignment="1">
      <x:alignment horizontal="center" vertical="center"/>
    </x:xf>
    <x:xf numFmtId="0" fontId="25" fillId="0" borderId="19" xfId="1" applyFont="1" applyBorder="1" applyAlignment="1">
      <x:alignment horizontal="center" vertical="center"/>
    </x:xf>
    <x:xf numFmtId="0" fontId="25" fillId="0" borderId="16" xfId="1" applyFont="1" applyBorder="1" applyAlignment="1">
      <x:alignment horizontal="center" vertical="center"/>
    </x:xf>
    <x:xf numFmtId="0" fontId="25" fillId="2" borderId="29" xfId="1" applyFont="1" applyFill="1" applyBorder="1" applyAlignment="1">
      <x:alignment horizontal="center" vertical="center"/>
    </x:xf>
    <x:xf numFmtId="0" fontId="25" fillId="2" borderId="28" xfId="1" applyFont="1" applyFill="1" applyBorder="1" applyAlignment="1">
      <x:alignment horizontal="center" vertical="center"/>
    </x:xf>
    <x:xf numFmtId="0" fontId="25" fillId="2" borderId="27" xfId="1" applyFont="1" applyFill="1" applyBorder="1" applyAlignment="1">
      <x:alignment horizontal="center" vertical="center"/>
    </x:xf>
    <x:xf numFmtId="0" fontId="25" fillId="2" borderId="20" xfId="1" applyFont="1" applyFill="1" applyBorder="1" applyAlignment="1">
      <x:alignment horizontal="center" vertical="center"/>
    </x:xf>
    <x:xf numFmtId="0" fontId="25" fillId="2" borderId="19" xfId="1" applyFont="1" applyFill="1" applyBorder="1" applyAlignment="1">
      <x:alignment horizontal="center" vertical="center"/>
    </x:xf>
    <x:xf numFmtId="0" fontId="25" fillId="2" borderId="18" xfId="1" applyFont="1" applyFill="1" applyBorder="1" applyAlignment="1">
      <x:alignment horizontal="center" vertical="center"/>
    </x:xf>
    <x:xf numFmtId="0" fontId="25" fillId="2" borderId="17" xfId="1" applyFont="1" applyFill="1" applyBorder="1" applyAlignment="1">
      <x:alignment horizontal="center" vertical="center"/>
    </x:xf>
    <x:xf numFmtId="0" fontId="25" fillId="2" borderId="16" xfId="1" applyFont="1" applyFill="1" applyBorder="1" applyAlignment="1">
      <x:alignment horizontal="center" vertical="center"/>
    </x:xf>
    <x:xf numFmtId="0" fontId="25" fillId="2" borderId="15" xfId="1" applyFont="1" applyFill="1" applyBorder="1" applyAlignment="1">
      <x:alignment horizontal="center" vertical="center"/>
    </x:xf>
    <x:xf numFmtId="180" fontId="35" fillId="0" borderId="0" xfId="1" applyNumberFormat="1" applyFont="1" applyBorder="1" applyAlignment="1">
      <x:alignment horizontal="center" vertical="center"/>
    </x:xf>
    <x:xf numFmtId="180" fontId="41" fillId="0" borderId="0" xfId="1" applyNumberFormat="1" applyFont="1" applyBorder="1" applyAlignment="1">
      <x:alignment horizontal="center" vertical="center"/>
    </x:xf>
    <x:xf numFmtId="180" fontId="41" fillId="0" borderId="11" xfId="1" applyNumberFormat="1" applyFont="1" applyBorder="1" applyAlignment="1">
      <x:alignment horizontal="center" vertical="center"/>
    </x:xf>
    <x:xf numFmtId="180" fontId="41" fillId="0" borderId="1" xfId="1" applyNumberFormat="1" applyFont="1" applyBorder="1" applyAlignment="1">
      <x:alignment horizontal="center" vertical="center"/>
    </x:xf>
    <x:xf numFmtId="180" fontId="41" fillId="0" borderId="4" xfId="1" applyNumberFormat="1" applyFont="1" applyBorder="1" applyAlignment="1">
      <x:alignment horizontal="center" vertical="center"/>
    </x:xf>
    <x:xf numFmtId="0" fontId="28" fillId="2" borderId="40" xfId="1" applyFont="1" applyFill="1" applyBorder="1" applyAlignment="1">
      <x:alignment horizontal="center" vertical="center"/>
    </x:xf>
    <x:xf numFmtId="0" fontId="27" fillId="2" borderId="39" xfId="1" applyFont="1" applyFill="1" applyBorder="1" applyAlignment="1">
      <x:alignment horizontal="center" vertical="center"/>
    </x:xf>
    <x:xf numFmtId="0" fontId="27" fillId="2" borderId="38" xfId="1" applyFont="1" applyFill="1" applyBorder="1" applyAlignment="1">
      <x:alignment horizontal="center" vertical="center"/>
    </x:xf>
    <x:xf numFmtId="0" fontId="27" fillId="2" borderId="23" xfId="1" applyFont="1" applyFill="1" applyBorder="1" applyAlignment="1">
      <x:alignment horizontal="center" vertical="center"/>
    </x:xf>
    <x:xf numFmtId="0" fontId="27" fillId="2" borderId="22" xfId="1" applyFont="1" applyFill="1" applyBorder="1" applyAlignment="1">
      <x:alignment horizontal="center" vertical="center"/>
    </x:xf>
    <x:xf numFmtId="0" fontId="27" fillId="2" borderId="21" xfId="1" applyFont="1" applyFill="1" applyBorder="1" applyAlignment="1">
      <x:alignment horizontal="center" vertical="center"/>
    </x:xf>
    <x:xf numFmtId="183" fontId="35" fillId="0" borderId="52" xfId="1" applyNumberFormat="1" applyFont="1" applyBorder="1" applyAlignment="1">
      <x:alignment horizontal="center" vertical="center"/>
    </x:xf>
    <x:xf numFmtId="0" fontId="27" fillId="0" borderId="37" xfId="1" applyFont="1" applyBorder="1" applyAlignment="1">
      <x:alignment horizontal="left" vertical="center"/>
    </x:xf>
    <x:xf numFmtId="0" fontId="27" fillId="0" borderId="36" xfId="1" applyFont="1" applyBorder="1" applyAlignment="1">
      <x:alignment horizontal="left" vertical="center"/>
    </x:xf>
    <x:xf numFmtId="0" fontId="27" fillId="0" borderId="35" xfId="1" applyFont="1" applyBorder="1" applyAlignment="1">
      <x:alignment horizontal="left" vertical="center"/>
    </x:xf>
    <x:xf numFmtId="0" fontId="27" fillId="0" borderId="29" xfId="1" applyFont="1" applyBorder="1" applyAlignment="1">
      <x:alignment horizontal="left" vertical="center"/>
    </x:xf>
    <x:xf numFmtId="0" fontId="27" fillId="0" borderId="28" xfId="1" applyFont="1" applyBorder="1" applyAlignment="1">
      <x:alignment horizontal="left" vertical="center"/>
    </x:xf>
    <x:xf numFmtId="0" fontId="27" fillId="0" borderId="33" xfId="1" applyFont="1" applyBorder="1" applyAlignment="1">
      <x:alignment horizontal="left" vertical="center"/>
    </x:xf>
    <x:xf numFmtId="0" fontId="34" fillId="0" borderId="48" xfId="1" applyFont="1" applyBorder="1" applyAlignment="1">
      <x:alignment horizontal="center" vertical="center"/>
    </x:xf>
    <x:xf numFmtId="0" fontId="34" fillId="0" borderId="35" xfId="1" applyFont="1" applyBorder="1" applyAlignment="1">
      <x:alignment horizontal="center" vertical="center"/>
    </x:xf>
    <x:xf numFmtId="0" fontId="34" fillId="0" borderId="43" xfId="1" applyFont="1" applyBorder="1" applyAlignment="1">
      <x:alignment horizontal="center" vertical="center"/>
    </x:xf>
    <x:xf numFmtId="0" fontId="34" fillId="0" borderId="33" xfId="1" applyFont="1" applyBorder="1" applyAlignment="1">
      <x:alignment horizontal="center" vertical="center"/>
    </x:xf>
    <x:xf numFmtId="180" fontId="29" fillId="0" borderId="10" xfId="1" applyNumberFormat="1" applyFont="1" applyBorder="1" applyAlignment="1">
      <x:alignment horizontal="center" vertical="center"/>
    </x:xf>
    <x:xf numFmtId="180" fontId="29" fillId="0" borderId="9" xfId="1" applyNumberFormat="1" applyFont="1" applyBorder="1" applyAlignment="1">
      <x:alignment horizontal="center" vertical="center"/>
    </x:xf>
    <x:xf numFmtId="180" fontId="29" fillId="0" borderId="5" xfId="1" applyNumberFormat="1" applyFont="1" applyBorder="1" applyAlignment="1">
      <x:alignment horizontal="center" vertical="center"/>
    </x:xf>
    <x:xf numFmtId="180" fontId="29" fillId="0" borderId="1" xfId="1" applyNumberFormat="1" applyFont="1" applyBorder="1" applyAlignment="1">
      <x:alignment horizontal="center" vertical="center"/>
    </x:xf>
    <x:xf numFmtId="0" fontId="25" fillId="0" borderId="42" xfId="1" applyFont="1" applyBorder="1" applyAlignment="1">
      <x:alignment horizontal="right" vertical="center"/>
    </x:xf>
    <x:xf numFmtId="0" fontId="25" fillId="0" borderId="9" xfId="1" applyFont="1" applyBorder="1" applyAlignment="1">
      <x:alignment horizontal="right" vertical="center"/>
    </x:xf>
    <x:xf numFmtId="0" fontId="25" fillId="0" borderId="46" xfId="1" applyFont="1" applyBorder="1" applyAlignment="1">
      <x:alignment horizontal="right" vertical="center"/>
    </x:xf>
    <x:xf numFmtId="0" fontId="25" fillId="0" borderId="9" xfId="1" applyNumberFormat="1" applyFont="1" applyBorder="1" applyAlignment="1">
      <x:alignment horizontal="center" vertical="center"/>
    </x:xf>
    <x:xf numFmtId="0" fontId="25" fillId="0" borderId="1" xfId="1" applyNumberFormat="1" applyFont="1" applyBorder="1" applyAlignment="1">
      <x:alignment horizontal="center" vertical="center"/>
    </x:xf>
    <x:xf numFmtId="20" fontId="24" fillId="0" borderId="9" xfId="1" applyNumberFormat="1" applyFont="1" applyBorder="1" applyAlignment="1">
      <x:alignment horizontal="center" vertical="center"/>
    </x:xf>
    <x:xf numFmtId="0" fontId="24" fillId="0" borderId="9" xfId="1" applyNumberFormat="1" applyFont="1" applyBorder="1" applyAlignment="1">
      <x:alignment horizontal="center" vertical="center"/>
    </x:xf>
    <x:xf numFmtId="0" fontId="24" fillId="0" borderId="12" xfId="1" applyNumberFormat="1" applyFont="1" applyBorder="1" applyAlignment="1">
      <x:alignment horizontal="center" vertical="center"/>
    </x:xf>
    <x:xf numFmtId="0" fontId="24" fillId="0" borderId="1" xfId="1" applyNumberFormat="1" applyFont="1" applyBorder="1" applyAlignment="1">
      <x:alignment horizontal="center" vertical="center"/>
    </x:xf>
    <x:xf numFmtId="0" fontId="24" fillId="0" borderId="4" xfId="1" applyNumberFormat="1" applyFont="1" applyBorder="1" applyAlignment="1">
      <x:alignment horizontal="center" vertical="center"/>
    </x:xf>
    <x:xf numFmtId="0" fontId="27" fillId="2" borderId="53" xfId="1" applyFont="1" applyFill="1" applyBorder="1" applyAlignment="1">
      <x:alignment horizontal="center" vertical="center"/>
    </x:xf>
    <x:xf numFmtId="0" fontId="27" fillId="2" borderId="52" xfId="1" applyFont="1" applyFill="1" applyBorder="1" applyAlignment="1">
      <x:alignment horizontal="center" vertical="center"/>
    </x:xf>
    <x:xf numFmtId="0" fontId="27" fillId="2" borderId="51" xfId="1" applyFont="1" applyFill="1" applyBorder="1" applyAlignment="1">
      <x:alignment horizontal="center" vertical="center"/>
    </x:xf>
    <x:xf numFmtId="180" fontId="35" fillId="0" borderId="9" xfId="1" applyNumberFormat="1" applyFont="1" applyBorder="1" applyAlignment="1">
      <x:alignment horizontal="center" vertical="center"/>
    </x:xf>
    <x:xf numFmtId="180" fontId="35" fillId="0" borderId="46" xfId="1" applyNumberFormat="1" applyFont="1" applyBorder="1" applyAlignment="1">
      <x:alignment horizontal="center" vertical="center"/>
    </x:xf>
    <x:xf numFmtId="180" fontId="35" fillId="0" borderId="1" xfId="1" applyNumberFormat="1" applyFont="1" applyBorder="1" applyAlignment="1">
      <x:alignment horizontal="center" vertical="center"/>
    </x:xf>
    <x:xf numFmtId="180" fontId="35" fillId="0" borderId="45" xfId="1" applyNumberFormat="1" applyFont="1" applyBorder="1" applyAlignment="1">
      <x:alignment horizontal="center" vertical="center"/>
    </x:xf>
    <x:xf numFmtId="0" fontId="25" fillId="0" borderId="42" xfId="1" applyNumberFormat="1" applyFont="1" applyBorder="1" applyAlignment="1">
      <x:alignment horizontal="right" vertical="center"/>
    </x:xf>
    <x:xf numFmtId="0" fontId="25" fillId="0" borderId="9" xfId="1" applyNumberFormat="1" applyFont="1" applyBorder="1" applyAlignment="1">
      <x:alignment horizontal="right" vertical="center"/>
    </x:xf>
    <x:xf numFmtId="0" fontId="25" fillId="0" borderId="46" xfId="1" applyNumberFormat="1" applyFont="1" applyBorder="1" applyAlignment="1">
      <x:alignment horizontal="right" vertical="center"/>
    </x:xf>
    <x:xf numFmtId="0" fontId="25" fillId="0" borderId="41" xfId="1" applyNumberFormat="1" applyFont="1" applyBorder="1" applyAlignment="1">
      <x:alignment horizontal="right" vertical="center"/>
    </x:xf>
    <x:xf numFmtId="0" fontId="25" fillId="0" borderId="1" xfId="1" applyNumberFormat="1" applyFont="1" applyBorder="1" applyAlignment="1">
      <x:alignment horizontal="right" vertical="center"/>
    </x:xf>
    <x:xf numFmtId="0" fontId="25" fillId="0" borderId="45" xfId="1" applyNumberFormat="1" applyFont="1" applyBorder="1" applyAlignment="1">
      <x:alignment horizontal="right" vertical="center"/>
    </x:xf>
    <x:xf numFmtId="0" fontId="25" fillId="0" borderId="42" xfId="1" applyNumberFormat="1" applyFont="1" applyBorder="1" applyAlignment="1">
      <x:alignment horizontal="center" vertical="center"/>
    </x:xf>
    <x:xf numFmtId="0" fontId="22" fillId="0" borderId="9" xfId="1" applyNumberFormat="1" applyFont="1" applyBorder="1" applyAlignment="1">
      <x:alignment horizontal="center" vertical="center"/>
    </x:xf>
    <x:xf numFmtId="0" fontId="22" fillId="0" borderId="41" xfId="1" applyNumberFormat="1" applyFont="1" applyBorder="1" applyAlignment="1">
      <x:alignment horizontal="center" vertical="center"/>
    </x:xf>
    <x:xf numFmtId="0" fontId="22" fillId="0" borderId="1" xfId="1" applyNumberFormat="1" applyFont="1" applyBorder="1" applyAlignment="1">
      <x:alignment horizontal="center" vertical="center"/>
    </x:xf>
    <x:xf numFmtId="181" fontId="25" fillId="0" borderId="9" xfId="1" applyNumberFormat="1" applyFont="1" applyBorder="1" applyAlignment="1">
      <x:alignment horizontal="center" vertical="center"/>
    </x:xf>
    <x:xf numFmtId="181" fontId="25" fillId="0" borderId="12" xfId="1" applyNumberFormat="1" applyFont="1" applyBorder="1" applyAlignment="1">
      <x:alignment horizontal="center" vertical="center"/>
    </x:xf>
    <x:xf numFmtId="181" fontId="25" fillId="0" borderId="1" xfId="1" applyNumberFormat="1" applyFont="1" applyBorder="1" applyAlignment="1">
      <x:alignment horizontal="center" vertical="center"/>
    </x:xf>
    <x:xf numFmtId="181" fontId="25" fillId="0" borderId="4" xfId="1" applyNumberFormat="1" applyFont="1" applyBorder="1" applyAlignment="1">
      <x:alignment horizontal="center" vertical="center"/>
    </x:xf>
    <x:xf numFmtId="180" fontId="29" fillId="0" borderId="29" xfId="1" applyNumberFormat="1" applyFont="1" applyBorder="1" applyAlignment="1">
      <x:alignment horizontal="center" vertical="center"/>
    </x:xf>
    <x:xf numFmtId="180" fontId="29" fillId="0" borderId="28" xfId="1" applyNumberFormat="1" applyFont="1" applyBorder="1" applyAlignment="1">
      <x:alignment horizontal="center" vertical="center"/>
    </x:xf>
    <x:xf numFmtId="0" fontId="30" fillId="0" borderId="9" xfId="1" applyNumberFormat="1" applyFont="1" applyBorder="1" applyAlignment="1">
      <x:alignment horizontal="center" vertical="center"/>
    </x:xf>
    <x:xf numFmtId="0" fontId="30" fillId="0" borderId="12" xfId="1" applyNumberFormat="1" applyFont="1" applyBorder="1" applyAlignment="1">
      <x:alignment horizontal="center" vertical="center"/>
    </x:xf>
    <x:xf numFmtId="0" fontId="30" fillId="0" borderId="1" xfId="1" applyNumberFormat="1" applyFont="1" applyBorder="1" applyAlignment="1">
      <x:alignment horizontal="center" vertical="center"/>
    </x:xf>
    <x:xf numFmtId="0" fontId="30" fillId="0" borderId="4" xfId="1" applyNumberFormat="1" applyFont="1" applyBorder="1" applyAlignment="1">
      <x:alignment horizontal="center" vertical="center"/>
    </x:xf>
    <x:xf numFmtId="0" fontId="28" fillId="0" borderId="9" xfId="1" applyFont="1" applyBorder="1" applyAlignment="1">
      <x:alignment horizontal="center" vertical="center"/>
    </x:xf>
    <x:xf numFmtId="0" fontId="28" fillId="0" borderId="0" xfId="1" applyFont="1" applyBorder="1" applyAlignment="1">
      <x:alignment horizontal="center" vertical="center"/>
    </x:xf>
    <x:xf numFmtId="0" fontId="28" fillId="0" borderId="12" xfId="1" applyFont="1" applyBorder="1" applyAlignment="1">
      <x:alignment horizontal="center" vertical="center"/>
    </x:xf>
    <x:xf numFmtId="0" fontId="28" fillId="0" borderId="11" xfId="1" applyFont="1" applyBorder="1" applyAlignment="1">
      <x:alignment horizontal="center" vertical="center"/>
    </x:xf>
    <x:xf numFmtId="0" fontId="14" fillId="7" borderId="25" xfId="1" applyFill="1" applyBorder="1" applyAlignment="1">
      <x:alignment horizontal="center" vertical="center"/>
    </x:xf>
    <x:xf numFmtId="0" fontId="14" fillId="7" borderId="24" xfId="1" applyFill="1" applyBorder="1" applyAlignment="1">
      <x:alignment horizontal="center" vertical="center"/>
    </x:xf>
    <x:xf numFmtId="183" fontId="32" fillId="0" borderId="36" xfId="1" applyNumberFormat="1" applyFont="1" applyBorder="1" applyAlignment="1">
      <x:alignment horizontal="center" vertical="center"/>
    </x:xf>
    <x:xf numFmtId="183" fontId="32" fillId="0" borderId="47" xfId="1" applyNumberFormat="1" applyFont="1" applyBorder="1" applyAlignment="1">
      <x:alignment horizontal="center" vertical="center"/>
    </x:xf>
    <x:xf numFmtId="183" fontId="32" fillId="0" borderId="28" xfId="1" applyNumberFormat="1" applyFont="1" applyBorder="1" applyAlignment="1">
      <x:alignment horizontal="center" vertical="center"/>
    </x:xf>
    <x:xf numFmtId="183" fontId="32" fillId="0" borderId="27" xfId="1" applyNumberFormat="1" applyFont="1" applyBorder="1" applyAlignment="1">
      <x:alignment horizontal="center" vertical="center"/>
    </x:xf>
    <x:xf numFmtId="0" fontId="1" fillId="0" borderId="49" xfId="1" applyFont="1" applyBorder="1" applyAlignment="1">
      <x:alignment horizontal="center" vertical="center"/>
    </x:xf>
    <x:xf numFmtId="0" fontId="7" fillId="0" borderId="49" xfId="1" applyFont="1" applyBorder="1" applyAlignment="1">
      <x:alignment horizontal="center" vertical="center"/>
    </x:xf>
    <x:xf numFmtId="0" fontId="23" fillId="0" borderId="19" xfId="1" applyFont="1" applyBorder="1" applyAlignment="1">
      <x:alignment horizontal="center" vertical="center"/>
    </x:xf>
    <x:xf numFmtId="0" fontId="28" fillId="0" borderId="9" xfId="1" applyFont="1" applyBorder="1" applyAlignment="1">
      <x:alignment horizontal="center" vertical="center" wrapText="1"/>
    </x:xf>
    <x:xf numFmtId="0" fontId="27" fillId="0" borderId="9" xfId="1" applyFont="1" applyBorder="1" applyAlignment="1">
      <x:alignment horizontal="center" vertical="center" wrapText="1"/>
    </x:xf>
    <x:xf numFmtId="0" fontId="27" fillId="0" borderId="0" xfId="1" applyFont="1" applyBorder="1" applyAlignment="1">
      <x:alignment horizontal="center" vertical="center" wrapText="1"/>
    </x:xf>
    <x:xf numFmtId="0" fontId="27" fillId="0" borderId="28" xfId="1" applyFont="1" applyBorder="1" applyAlignment="1">
      <x:alignment horizontal="center" vertical="center" wrapText="1"/>
    </x:xf>
    <x:xf numFmtId="0" fontId="6" fillId="0" borderId="49" xfId="1" applyFont="1" applyBorder="1" applyAlignment="1">
      <x:alignment horizontal="center" vertical="center"/>
    </x:xf>
    <x:xf numFmtId="0" fontId="45" fillId="0" borderId="9" xfId="1" applyFont="1" applyBorder="1" applyAlignment="1">
      <x:alignment horizontal="left" vertical="center"/>
    </x:xf>
    <x:xf numFmtId="0" fontId="45" fillId="0" borderId="0" xfId="1" applyFont="1" applyBorder="1" applyAlignment="1">
      <x:alignment horizontal="left" vertical="center"/>
    </x:xf>
    <x:xf numFmtId="0" fontId="45" fillId="0" borderId="28" xfId="1" applyFont="1" applyBorder="1" applyAlignment="1">
      <x:alignment horizontal="left" vertical="center"/>
    </x:xf>
    <x:xf numFmtId="0" fontId="49" fillId="0" borderId="0" xfId="1" applyFont="1" applyBorder="1" applyAlignment="1">
      <x:alignment horizontal="right" vertical="center"/>
    </x:xf>
    <x:xf numFmtId="0" fontId="49" fillId="0" borderId="28" xfId="1" applyFont="1" applyBorder="1" applyAlignment="1">
      <x:alignment horizontal="right" vertical="center"/>
    </x:xf>
    <x:xf numFmtId="0" fontId="27" fillId="0" borderId="0" xfId="1" applyFont="1" applyBorder="1" applyAlignment="1">
      <x:alignment horizontal="center" vertical="center"/>
    </x:xf>
    <x:xf numFmtId="0" fontId="27" fillId="0" borderId="11" xfId="1" applyFont="1" applyBorder="1" applyAlignment="1">
      <x:alignment horizontal="center" vertical="center"/>
    </x:xf>
    <x:xf numFmtId="0" fontId="27" fillId="0" borderId="28" xfId="1" applyFont="1" applyBorder="1" applyAlignment="1">
      <x:alignment horizontal="center" vertical="center"/>
    </x:xf>
    <x:xf numFmtId="0" fontId="27" fillId="0" borderId="27" xfId="1" applyFont="1" applyBorder="1" applyAlignment="1">
      <x:alignment horizontal="center" vertical="center"/>
    </x:xf>
    <x:xf numFmtId="0" fontId="25" fillId="2" borderId="10" xfId="1" applyFont="1" applyFill="1" applyBorder="1" applyAlignment="1">
      <x:alignment horizontal="center" vertical="center"/>
    </x:xf>
    <x:xf numFmtId="0" fontId="25" fillId="2" borderId="12" xfId="1" applyFont="1" applyFill="1" applyBorder="1" applyAlignment="1">
      <x:alignment horizontal="center" vertical="center"/>
    </x:xf>
    <x:xf numFmtId="0" fontId="25" fillId="2" borderId="2" xfId="1" applyFont="1" applyFill="1" applyBorder="1" applyAlignment="1">
      <x:alignment horizontal="center" vertical="center"/>
    </x:xf>
    <x:xf numFmtId="0" fontId="25" fillId="2" borderId="11" xfId="1" applyFont="1" applyFill="1" applyBorder="1" applyAlignment="1">
      <x:alignment horizontal="center" vertical="center"/>
    </x:xf>
    <x:xf numFmtId="0" fontId="25" fillId="2" borderId="5" xfId="1" applyFont="1" applyFill="1" applyBorder="1" applyAlignment="1">
      <x:alignment horizontal="center" vertical="center"/>
    </x:xf>
    <x:xf numFmtId="0" fontId="25" fillId="2" borderId="4" xfId="1" applyFont="1" applyFill="1" applyBorder="1" applyAlignment="1">
      <x:alignment horizontal="center" vertical="center"/>
    </x:xf>
    <x:xf numFmtId="0" fontId="43" fillId="0" borderId="37" xfId="1" applyFont="1" applyBorder="1" applyAlignment="1">
      <x:alignment horizontal="center" vertical="center"/>
    </x:xf>
    <x:xf numFmtId="0" fontId="39" fillId="0" borderId="36" xfId="1" applyFont="1" applyBorder="1" applyAlignment="1">
      <x:alignment horizontal="center" vertical="center"/>
    </x:xf>
    <x:xf numFmtId="0" fontId="39" fillId="0" borderId="35" xfId="1" applyFont="1" applyBorder="1" applyAlignment="1">
      <x:alignment horizontal="center" vertical="center"/>
    </x:xf>
    <x:xf numFmtId="0" fontId="39" fillId="0" borderId="2" xfId="1" applyFont="1" applyBorder="1" applyAlignment="1">
      <x:alignment horizontal="center" vertical="center"/>
    </x:xf>
    <x:xf numFmtId="0" fontId="39" fillId="0" borderId="0" xfId="1" applyFont="1" applyBorder="1" applyAlignment="1">
      <x:alignment horizontal="center" vertical="center"/>
    </x:xf>
    <x:xf numFmtId="0" fontId="39" fillId="0" borderId="34" xfId="1" applyFont="1" applyBorder="1" applyAlignment="1">
      <x:alignment horizontal="center" vertical="center"/>
    </x:xf>
    <x:xf numFmtId="0" fontId="39" fillId="0" borderId="28" xfId="1" applyFont="1" applyBorder="1" applyAlignment="1">
      <x:alignment horizontal="center" vertical="center"/>
    </x:xf>
    <x:xf numFmtId="0" fontId="39" fillId="0" borderId="33" xfId="1" applyFont="1" applyBorder="1" applyAlignment="1">
      <x:alignment horizontal="center" vertical="center"/>
    </x:xf>
    <x:xf numFmtId="0" fontId="25" fillId="0" borderId="48" xfId="1" applyFont="1" applyBorder="1" applyAlignment="1">
      <x:alignment horizontal="center" vertical="center"/>
    </x:xf>
    <x:xf numFmtId="0" fontId="25" fillId="0" borderId="44" xfId="1" applyFont="1" applyBorder="1" applyAlignment="1">
      <x:alignment horizontal="center" vertical="center"/>
    </x:xf>
    <x:xf numFmtId="0" fontId="25" fillId="0" borderId="43" xfId="1" applyFont="1" applyBorder="1" applyAlignment="1">
      <x:alignment horizontal="center" vertical="center"/>
    </x:xf>
    <x:xf numFmtId="0" fontId="28" fillId="0" borderId="25" xfId="1" applyFont="1" applyBorder="1" applyAlignment="1">
      <x:alignment horizontal="center" vertical="center"/>
    </x:xf>
    <x:xf numFmtId="0" fontId="35" fillId="0" borderId="48" xfId="1" applyFont="1" applyBorder="1" applyAlignment="1">
      <x:alignment horizontal="center" vertical="center"/>
    </x:xf>
    <x:xf numFmtId="0" fontId="35" fillId="0" borderId="36" xfId="1" applyFont="1" applyBorder="1" applyAlignment="1">
      <x:alignment horizontal="center" vertical="center"/>
    </x:xf>
    <x:xf numFmtId="0" fontId="35" fillId="0" borderId="35" xfId="1" applyFont="1" applyBorder="1" applyAlignment="1">
      <x:alignment horizontal="center" vertical="center"/>
    </x:xf>
    <x:xf numFmtId="0" fontId="35" fillId="0" borderId="43" xfId="1" applyFont="1" applyBorder="1" applyAlignment="1">
      <x:alignment horizontal="center" vertical="center"/>
    </x:xf>
    <x:xf numFmtId="0" fontId="35" fillId="0" borderId="28" xfId="1" applyFont="1" applyBorder="1" applyAlignment="1">
      <x:alignment horizontal="center" vertical="center"/>
    </x:xf>
    <x:xf numFmtId="0" fontId="35" fillId="0" borderId="33" xfId="1" applyFont="1" applyBorder="1" applyAlignment="1">
      <x:alignment horizontal="center" vertical="center"/>
    </x:xf>
    <x:xf numFmtId="0" fontId="41" fillId="0" borderId="2" xfId="1" applyFont="1" applyBorder="1" applyAlignment="1">
      <x:alignment horizontal="left" vertical="center"/>
    </x:xf>
    <x:xf numFmtId="0" fontId="41" fillId="0" borderId="0" xfId="1" applyFont="1" applyBorder="1" applyAlignment="1">
      <x:alignment horizontal="left" vertical="center"/>
    </x:xf>
    <x:xf numFmtId="0" fontId="41" fillId="0" borderId="34" xfId="1" applyFont="1" applyBorder="1" applyAlignment="1">
      <x:alignment horizontal="left" vertical="center"/>
    </x:xf>
    <x:xf numFmtId="0" fontId="27" fillId="0" borderId="48" xfId="1" applyFont="1" applyBorder="1" applyAlignment="1">
      <x:alignment horizontal="left" vertical="center"/>
    </x:xf>
    <x:xf numFmtId="0" fontId="27" fillId="0" borderId="47" xfId="1" applyFont="1" applyBorder="1" applyAlignment="1">
      <x:alignment horizontal="left" vertical="center"/>
    </x:xf>
    <x:xf numFmtId="0" fontId="27" fillId="0" borderId="44" xfId="1" applyFont="1" applyBorder="1" applyAlignment="1">
      <x:alignment horizontal="left" vertical="center"/>
    </x:xf>
    <x:xf numFmtId="0" fontId="27" fillId="0" borderId="0" xfId="1" applyFont="1" applyBorder="1" applyAlignment="1">
      <x:alignment horizontal="left" vertical="center"/>
    </x:xf>
    <x:xf numFmtId="0" fontId="27" fillId="0" borderId="11" xfId="1" applyFont="1" applyBorder="1" applyAlignment="1">
      <x:alignment horizontal="left" vertical="center"/>
    </x:xf>
    <x:xf numFmtId="0" fontId="25" fillId="3" borderId="37" xfId="1" applyFont="1" applyFill="1" applyBorder="1" applyAlignment="1">
      <x:alignment horizontal="center" vertical="center"/>
    </x:xf>
    <x:xf numFmtId="0" fontId="25" fillId="3" borderId="36" xfId="1" applyFont="1" applyFill="1" applyBorder="1" applyAlignment="1">
      <x:alignment horizontal="center" vertical="center"/>
    </x:xf>
    <x:xf numFmtId="0" fontId="25" fillId="3" borderId="35" xfId="1" applyFont="1" applyFill="1" applyBorder="1" applyAlignment="1">
      <x:alignment horizontal="center" vertical="center"/>
    </x:xf>
    <x:xf numFmtId="0" fontId="25" fillId="3" borderId="29" xfId="1" applyFont="1" applyFill="1" applyBorder="1" applyAlignment="1">
      <x:alignment horizontal="center" vertical="center"/>
    </x:xf>
    <x:xf numFmtId="0" fontId="25" fillId="3" borderId="28" xfId="1" applyFont="1" applyFill="1" applyBorder="1" applyAlignment="1">
      <x:alignment horizontal="center" vertical="center"/>
    </x:xf>
    <x:xf numFmtId="0" fontId="25" fillId="3" borderId="33" xfId="1" applyFont="1" applyFill="1" applyBorder="1" applyAlignment="1">
      <x:alignment horizontal="center" vertical="center"/>
    </x:xf>
    <x:xf numFmtId="0" fontId="22" fillId="0" borderId="48" xfId="1" applyFont="1" applyBorder="1" applyAlignment="1">
      <x:alignment horizontal="left" vertical="center"/>
    </x:xf>
    <x:xf numFmtId="0" fontId="22" fillId="0" borderId="36" xfId="1" applyFont="1" applyBorder="1" applyAlignment="1">
      <x:alignment horizontal="left" vertical="center"/>
    </x:xf>
    <x:xf numFmtId="0" fontId="22" fillId="0" borderId="47" xfId="1" applyFont="1" applyBorder="1" applyAlignment="1">
      <x:alignment horizontal="left" vertical="center"/>
    </x:xf>
    <x:xf numFmtId="0" fontId="22" fillId="0" borderId="43" xfId="1" applyFont="1" applyBorder="1" applyAlignment="1">
      <x:alignment horizontal="left" vertical="center"/>
    </x:xf>
    <x:xf numFmtId="0" fontId="22" fillId="0" borderId="28" xfId="1" applyFont="1" applyBorder="1" applyAlignment="1">
      <x:alignment horizontal="left" vertical="center"/>
    </x:xf>
    <x:xf numFmtId="0" fontId="22" fillId="0" borderId="27" xfId="1" applyFont="1" applyBorder="1" applyAlignment="1">
      <x:alignment horizontal="left" vertical="center"/>
    </x:xf>
    <x:xf numFmtId="0" fontId="45" fillId="0" borderId="29" xfId="1" applyFont="1" applyBorder="1" applyAlignment="1">
      <x:alignment horizontal="center" vertical="center"/>
    </x:xf>
    <x:xf numFmtId="0" fontId="42" fillId="0" borderId="28" xfId="1" applyFont="1" applyBorder="1" applyAlignment="1">
      <x:alignment horizontal="center" vertical="center"/>
    </x:xf>
    <x:xf numFmtId="0" fontId="42" fillId="0" borderId="19" xfId="1" applyFont="1" applyBorder="1" applyAlignment="1">
      <x:alignment horizontal="center" vertical="center"/>
    </x:xf>
    <x:xf numFmtId="0" fontId="45" fillId="0" borderId="20" xfId="1" applyFont="1" applyBorder="1" applyAlignment="1">
      <x:alignment horizontal="center" vertical="center"/>
    </x:xf>
    <x:xf numFmtId="0" fontId="28" fillId="0" borderId="36" xfId="1" applyFont="1" applyBorder="1" applyAlignment="1">
      <x:alignment horizontal="center" vertical="center" wrapText="1"/>
    </x:xf>
    <x:xf numFmtId="0" fontId="27" fillId="0" borderId="36" xfId="1" applyFont="1" applyBorder="1" applyAlignment="1">
      <x:alignment horizontal="center" vertical="center" wrapText="1"/>
    </x:xf>
    <x:xf numFmtId="0" fontId="23" fillId="0" borderId="19" xfId="1" applyFont="1" applyBorder="1" applyAlignment="1">
      <x:alignment horizontal="center" vertical="center"/>
    </x:xf>
    <x:xf numFmtId="0" fontId="4" fillId="0" borderId="37" xfId="1" applyFont="1" applyBorder="1" applyAlignment="1">
      <x:alignment horizontal="center" vertical="center"/>
    </x:xf>
    <x:xf numFmtId="0" fontId="23" fillId="0" borderId="36" xfId="1" applyFont="1" applyBorder="1" applyAlignment="1">
      <x:alignment horizontal="center" vertical="center"/>
    </x:xf>
    <x:xf numFmtId="0" fontId="23" fillId="0" borderId="2" xfId="1" applyFont="1" applyBorder="1" applyAlignment="1">
      <x:alignment horizontal="center" vertical="center"/>
    </x:xf>
    <x:xf numFmtId="0" fontId="23" fillId="0" borderId="0" xfId="1" applyFont="1" applyBorder="1" applyAlignment="1">
      <x:alignment horizontal="center" vertical="center"/>
    </x:xf>
    <x:xf numFmtId="0" fontId="23" fillId="0" borderId="29" xfId="1" applyFont="1" applyBorder="1" applyAlignment="1">
      <x:alignment horizontal="center" vertical="center"/>
    </x:xf>
    <x:xf numFmtId="0" fontId="23" fillId="0" borderId="28" xfId="1" applyFont="1" applyBorder="1" applyAlignment="1">
      <x:alignment horizontal="center" vertical="center"/>
    </x:xf>
    <x:xf numFmtId="0" fontId="4" fillId="0" borderId="36" xfId="1" applyFont="1" applyBorder="1" applyAlignment="1">
      <x:alignment horizontal="center" vertical="center"/>
    </x:xf>
    <x:xf numFmtId="49" fontId="4" fillId="0" borderId="36" xfId="1" applyNumberFormat="1" applyFont="1" applyBorder="1" applyAlignment="1">
      <x:alignment horizontal="left" vertical="center"/>
    </x:xf>
    <x:xf numFmtId="49" fontId="4" fillId="0" borderId="47" xfId="1" applyNumberFormat="1" applyFont="1" applyBorder="1" applyAlignment="1">
      <x:alignment horizontal="left" vertical="center"/>
    </x:xf>
    <x:xf numFmtId="49" fontId="4" fillId="0" borderId="0" xfId="1" applyNumberFormat="1" applyFont="1" applyBorder="1" applyAlignment="1">
      <x:alignment horizontal="left" vertical="center"/>
    </x:xf>
    <x:xf numFmtId="49" fontId="4" fillId="0" borderId="11" xfId="1" applyNumberFormat="1" applyFont="1" applyBorder="1" applyAlignment="1">
      <x:alignment horizontal="left" vertical="center"/>
    </x:xf>
    <x:xf numFmtId="49" fontId="4" fillId="0" borderId="28" xfId="1" applyNumberFormat="1" applyFont="1" applyBorder="1" applyAlignment="1">
      <x:alignment horizontal="left" vertical="center"/>
    </x:xf>
    <x:xf numFmtId="49" fontId="4" fillId="0" borderId="27" xfId="1" applyNumberFormat="1" applyFont="1" applyBorder="1" applyAlignment="1">
      <x:alignment horizontal="left" vertical="center"/>
    </x:xf>
    <x:xf numFmtId="0" fontId="57" fillId="0" borderId="37" xfId="1" applyFont="1" applyBorder="1" applyAlignment="1">
      <x:alignment horizontal="left" vertical="center"/>
    </x:xf>
    <x:xf numFmtId="0" fontId="57" fillId="0" borderId="36" xfId="1" applyFont="1" applyBorder="1" applyAlignment="1">
      <x:alignment horizontal="left" vertical="center"/>
    </x:xf>
    <x:xf numFmtId="0" fontId="57" fillId="0" borderId="35" xfId="1" applyFont="1" applyBorder="1" applyAlignment="1">
      <x:alignment horizontal="left" vertical="center"/>
    </x:xf>
    <x:xf numFmtId="0" fontId="57" fillId="0" borderId="29" xfId="1" applyFont="1" applyBorder="1" applyAlignment="1">
      <x:alignment horizontal="left" vertical="center"/>
    </x:xf>
    <x:xf numFmtId="0" fontId="57" fillId="0" borderId="28" xfId="1" applyFont="1" applyBorder="1" applyAlignment="1">
      <x:alignment horizontal="left" vertical="center"/>
    </x:xf>
    <x:xf numFmtId="0" fontId="57" fillId="0" borderId="33" xfId="1" applyFont="1" applyBorder="1" applyAlignment="1">
      <x:alignment horizontal="left" vertical="center"/>
    </x:xf>
    <x:xf numFmtId="0" fontId="35" fillId="0" borderId="35" xfId="1" applyFont="1" applyBorder="1" applyAlignment="1">
      <x:alignment horizontal="left" vertical="center"/>
    </x:xf>
    <x:xf numFmtId="0" fontId="35" fillId="0" borderId="33" xfId="1" applyFont="1" applyBorder="1" applyAlignment="1">
      <x:alignment horizontal="left" vertical="center"/>
    </x:xf>
    <x:xf numFmtId="0" fontId="28" fillId="0" borderId="36" xfId="1" applyFont="1" applyBorder="1" applyAlignment="1">
      <x:alignment horizontal="center" vertical="center"/>
    </x:xf>
    <x:xf numFmtId="0" fontId="28" fillId="0" borderId="47" xfId="1" applyFont="1" applyBorder="1" applyAlignment="1">
      <x:alignment horizontal="center" vertical="center"/>
    </x:xf>
    <x:xf numFmtId="0" fontId="34" fillId="0" borderId="37" xfId="1" applyFont="1" applyBorder="1" applyAlignment="1">
      <x:alignment horizontal="left" vertical="center"/>
    </x:xf>
    <x:xf numFmtId="0" fontId="34" fillId="0" borderId="36" xfId="1" applyFont="1" applyBorder="1" applyAlignment="1">
      <x:alignment horizontal="left" vertical="center"/>
    </x:xf>
    <x:xf numFmtId="0" fontId="34" fillId="0" borderId="35" xfId="1" applyFont="1" applyBorder="1" applyAlignment="1">
      <x:alignment horizontal="left" vertical="center"/>
    </x:xf>
    <x:xf numFmtId="0" fontId="34" fillId="0" borderId="29" xfId="1" applyFont="1" applyBorder="1" applyAlignment="1">
      <x:alignment horizontal="left" vertical="center"/>
    </x:xf>
    <x:xf numFmtId="0" fontId="34" fillId="0" borderId="28" xfId="1" applyFont="1" applyBorder="1" applyAlignment="1">
      <x:alignment horizontal="left" vertical="center"/>
    </x:xf>
    <x:xf numFmtId="0" fontId="34" fillId="0" borderId="33" xfId="1" applyFont="1" applyBorder="1" applyAlignment="1">
      <x:alignment horizontal="left" vertical="center"/>
    </x:xf>
    <x:xf numFmtId="0" fontId="25" fillId="2" borderId="10" xfId="1" applyFont="1" applyFill="1" applyBorder="1" applyAlignment="1">
      <x:alignment horizontal="center" vertical="center" wrapText="1"/>
    </x:xf>
    <x:xf numFmtId="0" fontId="25" fillId="2" borderId="9" xfId="1" applyFont="1" applyFill="1" applyBorder="1" applyAlignment="1">
      <x:alignment horizontal="center" vertical="center" wrapText="1"/>
    </x:xf>
    <x:xf numFmtId="0" fontId="25" fillId="2" borderId="12" xfId="1" applyFont="1" applyFill="1" applyBorder="1" applyAlignment="1">
      <x:alignment horizontal="center" vertical="center" wrapText="1"/>
    </x:xf>
    <x:xf numFmtId="0" fontId="25" fillId="2" borderId="2" xfId="1" applyFont="1" applyFill="1" applyBorder="1" applyAlignment="1">
      <x:alignment horizontal="center" vertical="center" wrapText="1"/>
    </x:xf>
    <x:xf numFmtId="0" fontId="25" fillId="2" borderId="0" xfId="1" applyFont="1" applyFill="1" applyBorder="1" applyAlignment="1">
      <x:alignment horizontal="center" vertical="center" wrapText="1"/>
    </x:xf>
    <x:xf numFmtId="0" fontId="25" fillId="2" borderId="11" xfId="1" applyFont="1" applyFill="1" applyBorder="1" applyAlignment="1">
      <x:alignment horizontal="center" vertical="center" wrapText="1"/>
    </x:xf>
    <x:xf numFmtId="0" fontId="25" fillId="2" borderId="5" xfId="1" applyFont="1" applyFill="1" applyBorder="1" applyAlignment="1">
      <x:alignment horizontal="center" vertical="center" wrapText="1"/>
    </x:xf>
    <x:xf numFmtId="0" fontId="25" fillId="2" borderId="1" xfId="1" applyFont="1" applyFill="1" applyBorder="1" applyAlignment="1">
      <x:alignment horizontal="center" vertical="center" wrapText="1"/>
    </x:xf>
    <x:xf numFmtId="0" fontId="25" fillId="2" borderId="4" xfId="1" applyFont="1" applyFill="1" applyBorder="1" applyAlignment="1">
      <x:alignment horizontal="center" vertical="center" wrapText="1"/>
    </x:xf>
    <x:xf numFmtId="0" fontId="35" fillId="3" borderId="37" xfId="1" applyFont="1" applyFill="1" applyBorder="1" applyAlignment="1">
      <x:alignment horizontal="center" vertical="center"/>
    </x:xf>
    <x:xf numFmtId="0" fontId="35" fillId="3" borderId="36" xfId="1" applyFont="1" applyFill="1" applyBorder="1" applyAlignment="1">
      <x:alignment horizontal="center" vertical="center"/>
    </x:xf>
    <x:xf numFmtId="0" fontId="35" fillId="3" borderId="2" xfId="1" applyFont="1" applyFill="1" applyBorder="1" applyAlignment="1">
      <x:alignment horizontal="center" vertical="center"/>
    </x:xf>
    <x:xf numFmtId="0" fontId="35" fillId="3" borderId="0" xfId="1" applyFont="1" applyFill="1" applyBorder="1" applyAlignment="1">
      <x:alignment horizontal="center" vertical="center"/>
    </x:xf>
    <x:xf numFmtId="0" fontId="35" fillId="3" borderId="29" xfId="1" applyFont="1" applyFill="1" applyBorder="1" applyAlignment="1">
      <x:alignment horizontal="center" vertical="center"/>
    </x:xf>
    <x:xf numFmtId="0" fontId="35" fillId="3" borderId="28" xfId="1" applyFont="1" applyFill="1" applyBorder="1" applyAlignment="1">
      <x:alignment horizontal="center" vertical="center"/>
    </x:xf>
    <x:xf numFmtId="0" fontId="27" fillId="0" borderId="36" xfId="1" applyFont="1" applyBorder="1" applyAlignment="1">
      <x:alignment horizontal="center" vertical="center"/>
    </x:xf>
    <x:xf numFmtId="0" fontId="27" fillId="0" borderId="35" xfId="1" applyFont="1" applyBorder="1" applyAlignment="1">
      <x:alignment horizontal="center" vertical="center"/>
    </x:xf>
    <x:xf numFmtId="0" fontId="27" fillId="0" borderId="33" xfId="1" applyFont="1" applyBorder="1" applyAlignment="1">
      <x:alignment horizontal="center" vertical="center"/>
    </x:xf>
    <x:xf numFmtId="49" fontId="25" fillId="0" borderId="43" xfId="1" applyNumberFormat="1" applyFont="1" applyBorder="1" applyAlignment="1">
      <x:alignment horizontal="left" vertical="center"/>
    </x:xf>
    <x:xf numFmtId="49" fontId="25" fillId="0" borderId="28" xfId="1" applyNumberFormat="1" applyFont="1" applyBorder="1" applyAlignment="1">
      <x:alignment horizontal="left" vertical="center"/>
    </x:xf>
    <x:xf numFmtId="49" fontId="25" fillId="0" borderId="33" xfId="1" applyNumberFormat="1" applyFont="1" applyBorder="1" applyAlignment="1">
      <x:alignment horizontal="left" vertical="center"/>
    </x:xf>
    <x:xf numFmtId="183" fontId="32" fillId="0" borderId="52" xfId="1" applyNumberFormat="1" applyFont="1" applyBorder="1" applyAlignment="1">
      <x:alignment horizontal="center" vertical="center"/>
    </x:xf>
    <x:xf numFmtId="183" fontId="32" fillId="0" borderId="25" xfId="1" applyNumberFormat="1" applyFont="1" applyBorder="1" applyAlignment="1">
      <x:alignment horizontal="center" vertical="center"/>
    </x:xf>
    <x:xf numFmtId="49" fontId="22" fillId="0" borderId="48" xfId="1" applyNumberFormat="1" applyFont="1" applyBorder="1" applyAlignment="1">
      <x:alignment horizontal="center" vertical="center"/>
    </x:xf>
    <x:xf numFmtId="49" fontId="22" fillId="0" borderId="36" xfId="1" applyNumberFormat="1" applyFont="1" applyBorder="1" applyAlignment="1">
      <x:alignment horizontal="center" vertical="center"/>
    </x:xf>
    <x:xf numFmtId="49" fontId="22" fillId="0" borderId="47" xfId="1" applyNumberFormat="1" applyFont="1" applyBorder="1" applyAlignment="1">
      <x:alignment horizontal="center" vertical="center"/>
    </x:xf>
    <x:xf numFmtId="49" fontId="22" fillId="0" borderId="44" xfId="1" applyNumberFormat="1" applyFont="1" applyBorder="1" applyAlignment="1">
      <x:alignment horizontal="center" vertical="center"/>
    </x:xf>
    <x:xf numFmtId="49" fontId="22" fillId="0" borderId="0" xfId="1" applyNumberFormat="1" applyFont="1" applyBorder="1" applyAlignment="1">
      <x:alignment horizontal="center" vertical="center"/>
    </x:xf>
    <x:xf numFmtId="49" fontId="22" fillId="0" borderId="11" xfId="1" applyNumberFormat="1" applyFont="1" applyBorder="1" applyAlignment="1">
      <x:alignment horizontal="center" vertical="center"/>
    </x:xf>
    <x:xf numFmtId="49" fontId="22" fillId="0" borderId="43" xfId="1" applyNumberFormat="1" applyFont="1" applyBorder="1" applyAlignment="1">
      <x:alignment horizontal="center" vertical="center"/>
    </x:xf>
    <x:xf numFmtId="49" fontId="22" fillId="0" borderId="28" xfId="1" applyNumberFormat="1" applyFont="1" applyBorder="1" applyAlignment="1">
      <x:alignment horizontal="center" vertical="center"/>
    </x:xf>
    <x:xf numFmtId="49" fontId="22" fillId="0" borderId="27" xfId="1" applyNumberFormat="1" applyFont="1" applyBorder="1" applyAlignment="1">
      <x:alignment horizontal="center" vertical="center"/>
    </x:xf>
    <x:xf numFmtId="0" fontId="28" fillId="0" borderId="35" xfId="1" applyFont="1" applyBorder="1" applyAlignment="1">
      <x:alignment horizontal="center" vertical="center"/>
    </x:xf>
    <x:xf numFmtId="0" fontId="28" fillId="0" borderId="34" xfId="1" applyFont="1" applyBorder="1" applyAlignment="1">
      <x:alignment horizontal="center" vertical="center"/>
    </x:xf>
    <x:xf numFmtId="0" fontId="41" fillId="0" borderId="5" xfId="1" applyFont="1" applyBorder="1" applyAlignment="1">
      <x:alignment horizontal="left" vertical="center"/>
    </x:xf>
    <x:xf numFmtId="0" fontId="41" fillId="0" borderId="1" xfId="1" applyFont="1" applyBorder="1" applyAlignment="1">
      <x:alignment horizontal="left" vertical="center"/>
    </x:xf>
    <x:xf numFmtId="0" fontId="41" fillId="0" borderId="45" xfId="1" applyFont="1" applyBorder="1" applyAlignment="1">
      <x:alignment horizontal="left" vertical="center"/>
    </x:xf>
    <x:xf numFmtId="0" fontId="28" fillId="0" borderId="48" xfId="1" applyFont="1" applyBorder="1" applyAlignment="1">
      <x:alignment horizontal="center" vertical="top"/>
    </x:xf>
    <x:xf numFmtId="0" fontId="28" fillId="0" borderId="36" xfId="1" applyFont="1" applyBorder="1" applyAlignment="1">
      <x:alignment horizontal="center" vertical="top"/>
    </x:xf>
    <x:xf numFmtId="0" fontId="28" fillId="0" borderId="47" xfId="1" applyFont="1" applyBorder="1" applyAlignment="1">
      <x:alignment horizontal="center" vertical="top"/>
    </x:xf>
    <x:xf numFmtId="0" fontId="28" fillId="0" borderId="44" xfId="1" applyFont="1" applyBorder="1" applyAlignment="1">
      <x:alignment horizontal="center" vertical="top"/>
    </x:xf>
    <x:xf numFmtId="0" fontId="28" fillId="0" borderId="0" xfId="1" applyFont="1" applyBorder="1" applyAlignment="1">
      <x:alignment horizontal="center" vertical="top"/>
    </x:xf>
    <x:xf numFmtId="0" fontId="28" fillId="0" borderId="11" xfId="1" applyFont="1" applyBorder="1" applyAlignment="1">
      <x:alignment horizontal="center" vertical="top"/>
    </x:xf>
    <x:xf numFmtId="0" fontId="28" fillId="0" borderId="41" xfId="1" applyFont="1" applyBorder="1" applyAlignment="1">
      <x:alignment horizontal="center" vertical="top"/>
    </x:xf>
    <x:xf numFmtId="0" fontId="28" fillId="0" borderId="1" xfId="1" applyFont="1" applyBorder="1" applyAlignment="1">
      <x:alignment horizontal="center" vertical="top"/>
    </x:xf>
    <x:xf numFmtId="0" fontId="28" fillId="0" borderId="4" xfId="1" applyFont="1" applyBorder="1" applyAlignment="1">
      <x:alignment horizontal="center" vertical="top"/>
    </x:xf>
    <x:xf numFmtId="0" fontId="42" fillId="0" borderId="36" xfId="1" applyFont="1" applyBorder="1" applyAlignment="1">
      <x:alignment horizontal="left" vertical="center"/>
    </x:xf>
    <x:xf numFmtId="0" fontId="42" fillId="0" borderId="0" xfId="1" applyFont="1" applyBorder="1" applyAlignment="1">
      <x:alignment horizontal="left" vertical="center"/>
    </x:xf>
    <x:xf numFmtId="0" fontId="42" fillId="0" borderId="28" xfId="1" applyFont="1" applyBorder="1" applyAlignment="1">
      <x:alignment horizontal="left" vertical="center"/>
    </x:xf>
    <x:xf numFmtId="0" fontId="22" fillId="0" borderId="9" xfId="1" applyFont="1" applyBorder="1" applyAlignment="1">
      <x:alignment horizontal="left" vertical="center"/>
    </x:xf>
    <x:xf numFmtId="0" fontId="22" fillId="0" borderId="46" xfId="1" applyFont="1" applyBorder="1" applyAlignment="1">
      <x:alignment horizontal="left" vertical="center"/>
    </x:xf>
    <x:xf numFmtId="0" fontId="22" fillId="0" borderId="33" xfId="1" applyFont="1" applyBorder="1" applyAlignment="1">
      <x:alignment horizontal="left" vertical="center"/>
    </x:xf>
    <x:xf numFmtId="184" fontId="22" fillId="0" borderId="9" xfId="1" applyNumberFormat="1" applyFont="1" applyBorder="1" applyAlignment="1">
      <x:alignment horizontal="right" vertical="center"/>
    </x:xf>
    <x:xf numFmtId="184" fontId="22" fillId="0" borderId="12" xfId="1" applyNumberFormat="1" applyFont="1" applyBorder="1" applyAlignment="1">
      <x:alignment horizontal="right" vertical="center"/>
    </x:xf>
    <x:xf numFmtId="184" fontId="22" fillId="0" borderId="1" xfId="1" applyNumberFormat="1" applyFont="1" applyBorder="1" applyAlignment="1">
      <x:alignment horizontal="right" vertical="center"/>
    </x:xf>
    <x:xf numFmtId="184" fontId="22" fillId="0" borderId="4" xfId="1" applyNumberFormat="1" applyFont="1" applyBorder="1" applyAlignment="1">
      <x:alignment horizontal="right" vertical="center"/>
    </x:xf>
    <x:xf numFmtId="0" fontId="22" fillId="0" borderId="28" xfId="1" applyFont="1" applyBorder="1" applyAlignment="1">
      <x:alignment horizontal="center" vertical="center"/>
    </x:xf>
    <x:xf numFmtId="0" fontId="14" fillId="7" borderId="22" xfId="1" applyFill="1" applyBorder="1" applyAlignment="1">
      <x:alignment horizontal="center" vertical="center"/>
    </x:xf>
    <x:xf numFmtId="0" fontId="14" fillId="7" borderId="21" xfId="1" applyFill="1" applyBorder="1" applyAlignment="1">
      <x:alignment horizontal="center" vertical="center"/>
    </x:xf>
    <x:xf numFmtId="183" fontId="14" fillId="0" borderId="22" xfId="1" applyNumberFormat="1" applyBorder="1" applyAlignment="1">
      <x:alignment horizontal="center" vertical="center"/>
    </x:xf>
    <x:xf numFmtId="183" fontId="41" fillId="0" borderId="22" xfId="1" applyNumberFormat="1" applyFont="1" applyBorder="1" applyAlignment="1">
      <x:alignment horizontal="center" vertical="center"/>
    </x:xf>
    <x:xf numFmtId="0" fontId="24" fillId="2" borderId="25" xfId="1" applyFont="1" applyFill="1" applyBorder="1" applyAlignment="1">
      <x:alignment horizontal="center" vertical="center"/>
    </x:xf>
    <x:xf numFmtId="0" fontId="33" fillId="2" borderId="25" xfId="1" applyFont="1" applyFill="1" applyBorder="1" applyAlignment="1">
      <x:alignment horizontal="center" vertical="center"/>
    </x:xf>
    <x:xf numFmtId="0" fontId="33" fillId="2" borderId="24" xfId="1" applyFont="1" applyFill="1" applyBorder="1" applyAlignment="1">
      <x:alignment horizontal="center" vertical="center"/>
    </x:xf>
    <x:xf numFmtId="0" fontId="22" fillId="0" borderId="29" xfId="1" applyFont="1" applyBorder="1" applyAlignment="1">
      <x:alignment horizontal="center" vertical="center"/>
    </x:xf>
    <x:xf numFmtId="183" fontId="32" fillId="0" borderId="22" xfId="1" applyNumberFormat="1" applyFont="1" applyBorder="1" applyAlignment="1">
      <x:alignment horizontal="center" vertical="center"/>
    </x:xf>
    <x:xf numFmtId="0" fontId="41" fillId="7" borderId="37" xfId="1" applyFont="1" applyFill="1" applyBorder="1" applyAlignment="1">
      <x:alignment horizontal="left" vertical="center"/>
    </x:xf>
    <x:xf numFmtId="0" fontId="41" fillId="7" borderId="36" xfId="1" applyFont="1" applyFill="1" applyBorder="1" applyAlignment="1">
      <x:alignment horizontal="left" vertical="center"/>
    </x:xf>
    <x:xf numFmtId="0" fontId="41" fillId="7" borderId="35" xfId="1" applyFont="1" applyFill="1" applyBorder="1" applyAlignment="1">
      <x:alignment horizontal="left" vertical="center"/>
    </x:xf>
    <x:xf numFmtId="0" fontId="41" fillId="7" borderId="5" xfId="1" applyFont="1" applyFill="1" applyBorder="1" applyAlignment="1">
      <x:alignment horizontal="left" vertical="center"/>
    </x:xf>
    <x:xf numFmtId="0" fontId="41" fillId="7" borderId="1" xfId="1" applyFont="1" applyFill="1" applyBorder="1" applyAlignment="1">
      <x:alignment horizontal="left" vertical="center"/>
    </x:xf>
    <x:xf numFmtId="0" fontId="41" fillId="7" borderId="45" xfId="1" applyFont="1" applyFill="1" applyBorder="1" applyAlignment="1">
      <x:alignment horizontal="left" vertical="center"/>
    </x:xf>
    <x:xf numFmtId="0" fontId="41" fillId="0" borderId="22" xfId="1" applyFont="1" applyBorder="1" applyAlignment="1">
      <x:alignment horizontal="center" vertical="center"/>
    </x:xf>
    <x:xf numFmtId="0" fontId="41" fillId="0" borderId="54" xfId="1" applyFont="1" applyBorder="1" applyAlignment="1">
      <x:alignment horizontal="center" vertical="center"/>
    </x:xf>
    <x:xf numFmtId="0" fontId="24" fillId="2" borderId="29" xfId="1" applyFont="1" applyFill="1" applyBorder="1" applyAlignment="1">
      <x:alignment horizontal="center" vertical="center"/>
    </x:xf>
    <x:xf numFmtId="0" fontId="24" fillId="2" borderId="28" xfId="1" applyFont="1" applyFill="1" applyBorder="1" applyAlignment="1">
      <x:alignment horizontal="center" vertical="center"/>
    </x:xf>
    <x:xf numFmtId="0" fontId="24" fillId="2" borderId="27" xfId="1" applyFont="1" applyFill="1" applyBorder="1" applyAlignment="1">
      <x:alignment horizontal="center" vertical="center"/>
    </x:xf>
    <x:xf numFmtId="0" fontId="24" fillId="2" borderId="10" xfId="1" applyFont="1" applyFill="1" applyBorder="1" applyAlignment="1">
      <x:alignment horizontal="center" vertical="center"/>
    </x:xf>
    <x:xf numFmtId="0" fontId="24" fillId="2" borderId="12" xfId="1" applyFont="1" applyFill="1" applyBorder="1" applyAlignment="1">
      <x:alignment horizontal="center" vertical="center"/>
    </x:xf>
    <x:xf numFmtId="0" fontId="24" fillId="2" borderId="2" xfId="1" applyFont="1" applyFill="1" applyBorder="1" applyAlignment="1">
      <x:alignment horizontal="center" vertical="center"/>
    </x:xf>
    <x:xf numFmtId="0" fontId="24" fillId="2" borderId="11" xfId="1" applyFont="1" applyFill="1" applyBorder="1" applyAlignment="1">
      <x:alignment horizontal="center" vertical="center"/>
    </x:xf>
    <x:xf numFmtId="0" fontId="24" fillId="2" borderId="5" xfId="1" applyFont="1" applyFill="1" applyBorder="1" applyAlignment="1">
      <x:alignment horizontal="center" vertical="center"/>
    </x:xf>
    <x:xf numFmtId="0" fontId="24" fillId="2" borderId="4" xfId="1" applyFont="1" applyFill="1" applyBorder="1" applyAlignment="1">
      <x:alignment horizontal="center" vertical="center"/>
    </x:xf>
    <x:xf numFmtId="0" fontId="39" fillId="0" borderId="5" xfId="1" applyFont="1" applyBorder="1" applyAlignment="1">
      <x:alignment horizontal="center" vertical="center"/>
    </x:xf>
    <x:xf numFmtId="0" fontId="39" fillId="0" borderId="1" xfId="1" applyFont="1" applyBorder="1" applyAlignment="1">
      <x:alignment horizontal="center" vertical="center"/>
    </x:xf>
    <x:xf numFmtId="0" fontId="39" fillId="0" borderId="45" xfId="1" applyFont="1" applyBorder="1" applyAlignment="1">
      <x:alignment horizontal="center" vertical="center"/>
    </x:xf>
    <x:xf numFmtId="0" fontId="25" fillId="5" borderId="37" xfId="1" applyFont="1" applyFill="1" applyBorder="1" applyAlignment="1">
      <x:alignment horizontal="left" vertical="center"/>
    </x:xf>
    <x:xf numFmtId="0" fontId="25" fillId="5" borderId="36" xfId="1" applyFont="1" applyFill="1" applyBorder="1" applyAlignment="1">
      <x:alignment horizontal="left" vertical="center"/>
    </x:xf>
    <x:xf numFmtId="0" fontId="25" fillId="5" borderId="35" xfId="1" applyFont="1" applyFill="1" applyBorder="1" applyAlignment="1">
      <x:alignment horizontal="left" vertical="center"/>
    </x:xf>
    <x:xf numFmtId="0" fontId="25" fillId="5" borderId="29" xfId="1" applyFont="1" applyFill="1" applyBorder="1" applyAlignment="1">
      <x:alignment horizontal="left" vertical="center"/>
    </x:xf>
    <x:xf numFmtId="0" fontId="25" fillId="5" borderId="28" xfId="1" applyFont="1" applyFill="1" applyBorder="1" applyAlignment="1">
      <x:alignment horizontal="left" vertical="center"/>
    </x:xf>
    <x:xf numFmtId="0" fontId="25" fillId="5" borderId="33" xfId="1" applyFont="1" applyFill="1" applyBorder="1" applyAlignment="1">
      <x:alignment horizontal="left" vertical="center"/>
    </x:xf>
    <x:xf numFmtId="0" fontId="35" fillId="5" borderId="25" xfId="1" applyFont="1" applyFill="1" applyBorder="1" applyAlignment="1">
      <x:alignment horizontal="center" vertical="center"/>
    </x:xf>
    <x:xf numFmtId="0" fontId="25" fillId="5" borderId="25" xfId="1" applyFont="1" applyFill="1" applyBorder="1" applyAlignment="1">
      <x:alignment horizontal="center" vertical="center"/>
    </x:xf>
    <x:xf numFmtId="0" fontId="22" fillId="5" borderId="25" xfId="1" applyFont="1" applyFill="1" applyBorder="1" applyAlignment="1">
      <x:alignment horizontal="center" vertical="center"/>
    </x:xf>
    <x:xf numFmtId="0" fontId="22" fillId="5" borderId="24" xfId="1" applyFont="1" applyFill="1" applyBorder="1" applyAlignment="1">
      <x:alignment horizontal="center" vertical="center"/>
    </x:xf>
    <x:xf numFmtId="0" fontId="22" fillId="0" borderId="1" xfId="1" applyFont="1" applyBorder="1" applyAlignment="1">
      <x:alignment horizontal="left" vertical="center"/>
    </x:xf>
    <x:xf numFmtId="0" fontId="22" fillId="0" borderId="45" xfId="1" applyFont="1" applyBorder="1" applyAlignment="1">
      <x:alignment horizontal="left" vertical="center"/>
    </x:xf>
    <x:xf numFmtId="0" fontId="32" fillId="0" borderId="52" xfId="1" applyFont="1" applyBorder="1" applyAlignment="1">
      <x:alignment horizontal="center" vertical="center"/>
    </x:xf>
    <x:xf numFmtId="0" fontId="49" fillId="0" borderId="52" xfId="1" applyFont="1" applyBorder="1" applyAlignment="1">
      <x:alignment horizontal="center" vertical="center"/>
    </x:xf>
    <x:xf numFmtId="0" fontId="49" fillId="0" borderId="25" xfId="1" applyFont="1" applyBorder="1" applyAlignment="1">
      <x:alignment horizontal="center" vertical="center"/>
    </x:xf>
    <x:xf numFmtId="0" fontId="49" fillId="0" borderId="51" xfId="1" applyFont="1" applyBorder="1" applyAlignment="1">
      <x:alignment horizontal="center" vertical="center"/>
    </x:xf>
    <x:xf numFmtId="0" fontId="49" fillId="0" borderId="24" xfId="1" applyFont="1" applyBorder="1" applyAlignment="1">
      <x:alignment horizontal="center" vertical="center"/>
    </x:xf>
    <x:xf numFmtId="0" fontId="25" fillId="0" borderId="53" xfId="1" applyFont="1" applyBorder="1" applyAlignment="1">
      <x:alignment horizontal="left" vertical="center"/>
    </x:xf>
    <x:xf numFmtId="0" fontId="22" fillId="0" borderId="52" xfId="1" applyFont="1" applyBorder="1" applyAlignment="1">
      <x:alignment horizontal="left" vertical="center"/>
    </x:xf>
    <x:xf numFmtId="0" fontId="22" fillId="0" borderId="26" xfId="1" applyFont="1" applyBorder="1" applyAlignment="1">
      <x:alignment horizontal="left" vertical="center"/>
    </x:xf>
    <x:xf numFmtId="0" fontId="22" fillId="0" borderId="25" xfId="1" applyFont="1" applyBorder="1" applyAlignment="1">
      <x:alignment horizontal="left" vertical="center"/>
    </x:xf>
    <x:xf numFmtId="0" fontId="52" fillId="2" borderId="11" xfId="1" applyFont="1" applyFill="1" applyBorder="1" applyAlignment="1">
      <x:alignment horizontal="center" vertical="center"/>
    </x:xf>
    <x:xf numFmtId="0" fontId="14" fillId="0" borderId="10" xfId="1" applyBorder="1" applyAlignment="1">
      <x:alignment horizontal="center" vertical="center"/>
    </x:xf>
    <x:xf numFmtId="0" fontId="14" fillId="0" borderId="2" xfId="1" applyBorder="1" applyAlignment="1">
      <x:alignment horizontal="center" vertical="center"/>
    </x:xf>
    <x:xf numFmtId="0" fontId="14" fillId="0" borderId="5" xfId="1" applyBorder="1" applyAlignment="1">
      <x:alignment horizontal="center" vertical="center"/>
    </x:xf>
    <x:xf numFmtId="0" fontId="47" fillId="5" borderId="37" xfId="1" applyFont="1" applyFill="1" applyBorder="1" applyAlignment="1">
      <x:alignment horizontal="left" vertical="center"/>
    </x:xf>
    <x:xf numFmtId="0" fontId="47" fillId="5" borderId="36" xfId="1" applyFont="1" applyFill="1" applyBorder="1" applyAlignment="1">
      <x:alignment horizontal="left" vertical="center"/>
    </x:xf>
    <x:xf numFmtId="0" fontId="47" fillId="5" borderId="35" xfId="1" applyFont="1" applyFill="1" applyBorder="1" applyAlignment="1">
      <x:alignment horizontal="left" vertical="center"/>
    </x:xf>
    <x:xf numFmtId="0" fontId="47" fillId="5" borderId="29" xfId="1" applyFont="1" applyFill="1" applyBorder="1" applyAlignment="1">
      <x:alignment horizontal="left" vertical="center"/>
    </x:xf>
    <x:xf numFmtId="0" fontId="47" fillId="5" borderId="28" xfId="1" applyFont="1" applyFill="1" applyBorder="1" applyAlignment="1">
      <x:alignment horizontal="left" vertical="center"/>
    </x:xf>
    <x:xf numFmtId="0" fontId="47" fillId="5" borderId="33" xfId="1" applyFont="1" applyFill="1" applyBorder="1" applyAlignment="1">
      <x:alignment horizontal="left" vertical="center"/>
    </x:xf>
    <x:xf numFmtId="0" fontId="25" fillId="0" borderId="40" xfId="1" applyFont="1" applyBorder="1" applyAlignment="1">
      <x:alignment horizontal="center" vertical="center"/>
    </x:xf>
    <x:xf numFmtId="0" fontId="22" fillId="0" borderId="39" xfId="1" applyFont="1" applyBorder="1" applyAlignment="1">
      <x:alignment horizontal="center" vertical="center"/>
    </x:xf>
    <x:xf numFmtId="0" fontId="22" fillId="0" borderId="38" xfId="1" applyFont="1" applyBorder="1" applyAlignment="1">
      <x:alignment horizontal="center" vertical="center"/>
    </x:xf>
    <x:xf numFmtId="0" fontId="22" fillId="0" borderId="26" xfId="1" applyFont="1" applyBorder="1" applyAlignment="1">
      <x:alignment horizontal="center" vertical="center"/>
    </x:xf>
    <x:xf numFmtId="0" fontId="22" fillId="0" borderId="23" xfId="1" applyFont="1" applyBorder="1" applyAlignment="1">
      <x:alignment horizontal="center" vertical="center"/>
    </x:xf>
    <x:xf numFmtId="0" fontId="22" fillId="0" borderId="22" xfId="1" applyFont="1" applyBorder="1" applyAlignment="1">
      <x:alignment horizontal="center" vertical="center"/>
    </x:xf>
    <x:xf numFmtId="0" fontId="22" fillId="0" borderId="21" xfId="1" applyFont="1" applyBorder="1" applyAlignment="1">
      <x:alignment horizontal="center" vertical="center"/>
    </x:xf>
    <x:xf numFmtId="182" fontId="28" fillId="0" borderId="48" xfId="1" applyNumberFormat="1" applyFont="1" applyBorder="1" applyAlignment="1">
      <x:alignment horizontal="center" vertical="center"/>
    </x:xf>
    <x:xf numFmtId="182" fontId="28" fillId="0" borderId="36" xfId="1" applyNumberFormat="1" applyFont="1" applyBorder="1" applyAlignment="1">
      <x:alignment horizontal="center" vertical="center"/>
    </x:xf>
    <x:xf numFmtId="182" fontId="28" fillId="0" borderId="35" xfId="1" applyNumberFormat="1" applyFont="1" applyBorder="1" applyAlignment="1">
      <x:alignment horizontal="center" vertical="center"/>
    </x:xf>
    <x:xf numFmtId="182" fontId="28" fillId="0" borderId="43" xfId="1" applyNumberFormat="1" applyFont="1" applyBorder="1" applyAlignment="1">
      <x:alignment horizontal="center" vertical="center"/>
    </x:xf>
    <x:xf numFmtId="182" fontId="28" fillId="0" borderId="28" xfId="1" applyNumberFormat="1" applyFont="1" applyBorder="1" applyAlignment="1">
      <x:alignment horizontal="center" vertical="center"/>
    </x:xf>
    <x:xf numFmtId="182" fontId="28" fillId="0" borderId="33" xfId="1" applyNumberFormat="1" applyFont="1" applyBorder="1" applyAlignment="1">
      <x:alignment horizontal="center" vertical="center"/>
    </x:xf>
    <x:xf numFmtId="179" fontId="14" fillId="0" borderId="25" xfId="1" applyNumberFormat="1" applyBorder="1" applyAlignment="1">
      <x:alignment horizontal="center" vertical="center"/>
    </x:xf>
    <x:xf numFmtId="179" fontId="14" fillId="0" borderId="24" xfId="1" applyNumberFormat="1" applyBorder="1" applyAlignment="1">
      <x:alignment horizontal="center" vertical="center"/>
    </x:xf>
    <x:xf numFmtId="0" fontId="24" fillId="2" borderId="44" xfId="1" applyFont="1" applyFill="1" applyBorder="1" applyAlignment="1">
      <x:alignment horizontal="center" vertical="center"/>
    </x:xf>
    <x:xf numFmtId="0" fontId="24" fillId="2" borderId="0" xfId="1" applyFont="1" applyFill="1" applyBorder="1" applyAlignment="1">
      <x:alignment horizontal="center" vertical="center"/>
    </x:xf>
    <x:xf numFmtId="0" fontId="24" fillId="2" borderId="34" xfId="1" applyFont="1" applyFill="1" applyBorder="1" applyAlignment="1">
      <x:alignment horizontal="center" vertical="center"/>
    </x:xf>
    <x:xf numFmtId="0" fontId="24" fillId="2" borderId="43" xfId="1" applyFont="1" applyFill="1" applyBorder="1" applyAlignment="1">
      <x:alignment horizontal="center" vertical="center"/>
    </x:xf>
    <x:xf numFmtId="0" fontId="24" fillId="2" borderId="33" xfId="1" applyFont="1" applyFill="1" applyBorder="1" applyAlignment="1">
      <x:alignment horizontal="center" vertical="center"/>
    </x:xf>
    <x:xf numFmtId="0" fontId="24" fillId="2" borderId="52" xfId="1" applyFont="1" applyFill="1" applyBorder="1" applyAlignment="1">
      <x:alignment horizontal="center" vertical="center"/>
    </x:xf>
    <x:xf numFmtId="0" fontId="24" fillId="2" borderId="51" xfId="1" applyFont="1" applyFill="1" applyBorder="1" applyAlignment="1">
      <x:alignment horizontal="center" vertical="center"/>
    </x:xf>
    <x:xf numFmtId="0" fontId="24" fillId="2" borderId="24" xfId="1" applyFont="1" applyFill="1" applyBorder="1" applyAlignment="1">
      <x:alignment horizontal="center" vertical="center"/>
    </x:xf>
    <x:xf numFmtId="0" fontId="14" fillId="5" borderId="25" xfId="1" applyFill="1" applyBorder="1" applyAlignment="1">
      <x:alignment horizontal="center" vertical="center"/>
    </x:xf>
    <x:xf numFmtId="0" fontId="14" fillId="5" borderId="24" xfId="1" applyFill="1" applyBorder="1" applyAlignment="1">
      <x:alignment horizontal="center" vertical="center"/>
    </x:xf>
    <x:xf numFmtId="0" fontId="24" fillId="2" borderId="9" xfId="1" applyFont="1" applyFill="1" applyBorder="1" applyAlignment="1">
      <x:alignment horizontal="center" vertical="center"/>
    </x:xf>
    <x:xf numFmtId="0" fontId="24" fillId="2" borderId="46" xfId="1" applyFont="1" applyFill="1" applyBorder="1" applyAlignment="1">
      <x:alignment horizontal="center" vertical="center"/>
    </x:xf>
    <x:xf numFmtId="0" fontId="24" fillId="2" borderId="1" xfId="1" applyFont="1" applyFill="1" applyBorder="1" applyAlignment="1">
      <x:alignment horizontal="center" vertical="center"/>
    </x:xf>
    <x:xf numFmtId="0" fontId="24" fillId="2" borderId="45" xfId="1" applyFont="1" applyFill="1" applyBorder="1" applyAlignment="1">
      <x:alignment horizontal="center" vertical="center"/>
    </x:xf>
    <x:xf numFmtId="0" fontId="24" fillId="2" borderId="46" xfId="1" applyFont="1" applyFill="1" applyBorder="1" applyAlignment="1">
      <x:alignment horizontal="center" vertical="center"/>
    </x:xf>
    <x:xf numFmtId="177" fontId="49" fillId="0" borderId="9" xfId="1" applyNumberFormat="1" applyFont="1" applyBorder="1" applyAlignment="1">
      <x:alignment horizontal="center" vertical="center"/>
    </x:xf>
    <x:xf numFmtId="0" fontId="49" fillId="0" borderId="9" xfId="0" applyFont="1" applyBorder="1" applyAlignment="1">
      <x:alignment horizontal="center" vertical="center"/>
    </x:xf>
    <x:xf numFmtId="177" fontId="49" fillId="0" borderId="28" xfId="1" applyNumberFormat="1" applyFont="1" applyBorder="1" applyAlignment="1">
      <x:alignment horizontal="center" vertical="center"/>
    </x:xf>
    <x:xf numFmtId="0" fontId="49" fillId="0" borderId="28" xfId="0" applyFont="1" applyBorder="1" applyAlignment="1">
      <x:alignment horizontal="center" vertical="center"/>
    </x:xf>
    <x:xf numFmtId="0" fontId="24" fillId="6" borderId="10" xfId="1" applyFont="1" applyFill="1" applyBorder="1" applyAlignment="1">
      <x:alignment horizontal="center" vertical="center"/>
    </x:xf>
    <x:xf numFmtId="0" fontId="24" fillId="6" borderId="12" xfId="1" applyFont="1" applyFill="1" applyBorder="1" applyAlignment="1">
      <x:alignment horizontal="center" vertical="center"/>
    </x:xf>
    <x:xf numFmtId="0" fontId="24" fillId="6" borderId="2" xfId="1" applyFont="1" applyFill="1" applyBorder="1" applyAlignment="1">
      <x:alignment horizontal="center" vertical="center"/>
    </x:xf>
    <x:xf numFmtId="0" fontId="24" fillId="6" borderId="11" xfId="1" applyFont="1" applyFill="1" applyBorder="1" applyAlignment="1">
      <x:alignment horizontal="center" vertical="center"/>
    </x:xf>
    <x:xf numFmtId="0" fontId="24" fillId="6" borderId="5" xfId="1" applyFont="1" applyFill="1" applyBorder="1" applyAlignment="1">
      <x:alignment horizontal="center" vertical="center"/>
    </x:xf>
    <x:xf numFmtId="0" fontId="24" fillId="6" borderId="4" xfId="1" applyFont="1" applyFill="1" applyBorder="1" applyAlignment="1">
      <x:alignment horizontal="center" vertical="center"/>
    </x:xf>
    <x:xf numFmtId="0" fontId="22" fillId="0" borderId="36" xfId="1" applyFont="1" applyBorder="1" applyAlignment="1">
      <x:alignment horizontal="center" vertical="center"/>
    </x:xf>
    <x:xf numFmtId="0" fontId="14" fillId="0" borderId="48" xfId="1" applyBorder="1" applyAlignment="1">
      <x:alignment horizontal="center" vertical="center"/>
    </x:xf>
    <x:xf numFmtId="0" fontId="14" fillId="0" borderId="35" xfId="1" applyBorder="1" applyAlignment="1">
      <x:alignment horizontal="center" vertical="center"/>
    </x:xf>
    <x:xf numFmtId="0" fontId="14" fillId="0" borderId="43" xfId="1" applyBorder="1" applyAlignment="1">
      <x:alignment horizontal="center" vertical="center"/>
    </x:xf>
    <x:xf numFmtId="0" fontId="14" fillId="0" borderId="33" xfId="1" applyBorder="1" applyAlignment="1">
      <x:alignment horizontal="center" vertical="center"/>
    </x:xf>
    <x:xf numFmtId="182" fontId="14" fillId="0" borderId="25" xfId="1" applyNumberFormat="1" applyBorder="1" applyAlignment="1">
      <x:alignment horizontal="center" vertical="center"/>
    </x:xf>
    <x:xf numFmtId="182" fontId="14" fillId="0" borderId="24" xfId="1" applyNumberFormat="1" applyBorder="1" applyAlignment="1">
      <x:alignment horizontal="center" vertical="center"/>
    </x:xf>
    <x:xf numFmtId="0" fontId="22" fillId="0" borderId="37" xfId="1" applyFont="1" applyBorder="1" applyAlignment="1">
      <x:alignment horizontal="left" vertical="center"/>
    </x:xf>
    <x:xf numFmtId="0" fontId="22" fillId="0" borderId="35" xfId="1" applyFont="1" applyBorder="1" applyAlignment="1">
      <x:alignment horizontal="left" vertical="center"/>
    </x:xf>
    <x:xf numFmtId="0" fontId="22" fillId="0" borderId="29" xfId="1" applyFont="1" applyBorder="1" applyAlignment="1">
      <x:alignment horizontal="left" vertical="center"/>
    </x:xf>
    <x:xf numFmtId="0" fontId="22" fillId="0" borderId="10" xfId="1" applyFont="1" applyBorder="1" applyAlignment="1">
      <x:alignment horizontal="left" vertical="center"/>
    </x:xf>
    <x:xf numFmtId="184" fontId="22" fillId="0" borderId="25" xfId="1" applyNumberFormat="1" applyFont="1" applyBorder="1" applyAlignment="1">
      <x:alignment horizontal="right" vertical="center"/>
    </x:xf>
    <x:xf numFmtId="184" fontId="22" fillId="0" borderId="24" xfId="1" applyNumberFormat="1" applyFont="1" applyBorder="1" applyAlignment="1">
      <x:alignment horizontal="right" vertical="center"/>
    </x:xf>
    <x:xf numFmtId="184" fontId="22" fillId="0" borderId="39" xfId="1" applyNumberFormat="1" applyFont="1" applyBorder="1" applyAlignment="1">
      <x:alignment horizontal="right" vertical="center"/>
    </x:xf>
    <x:xf numFmtId="184" fontId="22" fillId="0" borderId="38" xfId="1" applyNumberFormat="1" applyFont="1" applyBorder="1" applyAlignment="1">
      <x:alignment horizontal="right" vertical="center"/>
    </x:xf>
    <x:xf numFmtId="0" fontId="24" fillId="2" borderId="2" xfId="1" applyFont="1" applyFill="1" applyBorder="1" applyAlignment="1">
      <x:alignment horizontal="right" vertical="center"/>
    </x:xf>
    <x:xf numFmtId="0" fontId="24" fillId="2" borderId="0" xfId="1" applyFont="1" applyFill="1" applyBorder="1" applyAlignment="1">
      <x:alignment horizontal="right" vertical="center"/>
    </x:xf>
    <x:xf numFmtId="0" fontId="24" fillId="2" borderId="34" xfId="1" applyFont="1" applyFill="1" applyBorder="1" applyAlignment="1">
      <x:alignment horizontal="right" vertical="center"/>
    </x:xf>
    <x:xf numFmtId="0" fontId="24" fillId="2" borderId="5" xfId="1" applyFont="1" applyFill="1" applyBorder="1" applyAlignment="1">
      <x:alignment horizontal="right" vertical="center"/>
    </x:xf>
    <x:xf numFmtId="0" fontId="24" fillId="2" borderId="1" xfId="1" applyFont="1" applyFill="1" applyBorder="1" applyAlignment="1">
      <x:alignment horizontal="right" vertical="center"/>
    </x:xf>
    <x:xf numFmtId="0" fontId="24" fillId="2" borderId="45" xfId="1" applyFont="1" applyFill="1" applyBorder="1" applyAlignment="1">
      <x:alignment horizontal="right" vertical="center"/>
    </x:xf>
    <x:xf numFmtId="184" fontId="22" fillId="0" borderId="55" xfId="1" applyNumberFormat="1" applyFont="1" applyBorder="1" applyAlignment="1">
      <x:alignment horizontal="right" vertical="center"/>
    </x:xf>
    <x:xf numFmtId="184" fontId="22" fillId="0" borderId="19" xfId="1" applyNumberFormat="1" applyFont="1" applyBorder="1" applyAlignment="1">
      <x:alignment horizontal="right" vertical="center"/>
    </x:xf>
    <x:xf numFmtId="184" fontId="22" fillId="0" borderId="18" xfId="1" applyNumberFormat="1" applyFont="1" applyBorder="1" applyAlignment="1">
      <x:alignment horizontal="right" vertical="center"/>
    </x:xf>
    <x:xf numFmtId="184" fontId="22" fillId="0" borderId="54" xfId="1" applyNumberFormat="1" applyFont="1" applyBorder="1" applyAlignment="1">
      <x:alignment horizontal="right" vertical="center"/>
    </x:xf>
    <x:xf numFmtId="184" fontId="22" fillId="0" borderId="16" xfId="1" applyNumberFormat="1" applyFont="1" applyBorder="1" applyAlignment="1">
      <x:alignment horizontal="right" vertical="center"/>
    </x:xf>
    <x:xf numFmtId="184" fontId="22" fillId="0" borderId="15" xfId="1" applyNumberFormat="1" applyFont="1" applyBorder="1" applyAlignment="1">
      <x:alignment horizontal="right" vertical="center"/>
    </x:xf>
    <x:xf numFmtId="9" fontId="22" fillId="0" borderId="42" xfId="1" applyNumberFormat="1" applyFont="1" applyBorder="1" applyAlignment="1">
      <x:alignment horizontal="center" vertical="center"/>
    </x:xf>
    <x:xf numFmtId="9" fontId="22" fillId="0" borderId="9" xfId="1" applyNumberFormat="1" applyFont="1" applyBorder="1" applyAlignment="1">
      <x:alignment horizontal="center" vertical="center"/>
    </x:xf>
    <x:xf numFmtId="9" fontId="22" fillId="0" borderId="46" xfId="1" applyNumberFormat="1" applyFont="1" applyBorder="1" applyAlignment="1">
      <x:alignment horizontal="center" vertical="center"/>
    </x:xf>
    <x:xf numFmtId="9" fontId="22" fillId="0" borderId="43" xfId="1" applyNumberFormat="1" applyFont="1" applyBorder="1" applyAlignment="1">
      <x:alignment horizontal="center" vertical="center"/>
    </x:xf>
    <x:xf numFmtId="9" fontId="22" fillId="0" borderId="28" xfId="1" applyNumberFormat="1" applyFont="1" applyBorder="1" applyAlignment="1">
      <x:alignment horizontal="center" vertical="center"/>
    </x:xf>
    <x:xf numFmtId="9" fontId="22" fillId="0" borderId="33" xfId="1" applyNumberFormat="1" applyFont="1" applyBorder="1" applyAlignment="1">
      <x:alignment horizontal="center" vertical="center"/>
    </x:xf>
    <x:xf numFmtId="190" fontId="25" fillId="0" borderId="57" xfId="1" applyNumberFormat="1" applyFont="1" applyBorder="1" applyAlignment="1">
      <x:alignment horizontal="right" vertical="center"/>
    </x:xf>
    <x:xf numFmtId="190" fontId="22" fillId="0" borderId="49" xfId="1" applyNumberFormat="1" applyFont="1" applyBorder="1" applyAlignment="1">
      <x:alignment horizontal="right" vertical="center"/>
    </x:xf>
    <x:xf numFmtId="190" fontId="22" fillId="0" borderId="56" xfId="1" applyNumberFormat="1" applyFont="1" applyBorder="1" applyAlignment="1">
      <x:alignment horizontal="right" vertical="center"/>
    </x:xf>
    <x:xf numFmtId="190" fontId="22" fillId="0" borderId="55" xfId="1" applyNumberFormat="1" applyFont="1" applyBorder="1" applyAlignment="1">
      <x:alignment horizontal="right" vertical="center"/>
    </x:xf>
    <x:xf numFmtId="190" fontId="22" fillId="0" borderId="19" xfId="1" applyNumberFormat="1" applyFont="1" applyBorder="1" applyAlignment="1">
      <x:alignment horizontal="right" vertical="center"/>
    </x:xf>
    <x:xf numFmtId="190" fontId="22" fillId="0" borderId="18" xfId="1" applyNumberFormat="1" applyFont="1" applyBorder="1" applyAlignment="1">
      <x:alignment horizontal="right" vertical="center"/>
    </x:xf>
    <x:xf numFmtId="0" fontId="24" fillId="2" borderId="50" xfId="1" applyFont="1" applyFill="1" applyBorder="1" applyAlignment="1">
      <x:alignment horizontal="center" vertical="center"/>
    </x:xf>
    <x:xf numFmtId="0" fontId="24" fillId="2" borderId="49" xfId="1" applyFont="1" applyFill="1" applyBorder="1" applyAlignment="1">
      <x:alignment horizontal="center" vertical="center"/>
    </x:xf>
    <x:xf numFmtId="0" fontId="24" fillId="2" borderId="56" xfId="1" applyFont="1" applyFill="1" applyBorder="1" applyAlignment="1">
      <x:alignment horizontal="center" vertical="center"/>
    </x:xf>
    <x:xf numFmtId="0" fontId="24" fillId="2" borderId="17" xfId="1" applyFont="1" applyFill="1" applyBorder="1" applyAlignment="1">
      <x:alignment horizontal="center" vertical="center"/>
    </x:xf>
    <x:xf numFmtId="0" fontId="24" fillId="2" borderId="16" xfId="1" applyFont="1" applyFill="1" applyBorder="1" applyAlignment="1">
      <x:alignment horizontal="center" vertical="center"/>
    </x:xf>
    <x:xf numFmtId="0" fontId="24" fillId="2" borderId="15" xfId="1" applyFont="1" applyFill="1" applyBorder="1" applyAlignment="1">
      <x:alignment horizontal="center" vertical="center"/>
    </x:xf>
    <x:xf numFmtId="0" fontId="22" fillId="0" borderId="46" xfId="1" applyFont="1" applyBorder="1" applyAlignment="1">
      <x:alignment horizontal="center" vertical="center"/>
    </x:xf>
    <x:xf numFmtId="0" fontId="22" fillId="0" borderId="33" xfId="1" applyFont="1" applyBorder="1" applyAlignment="1">
      <x:alignment horizontal="center" vertical="center"/>
    </x:xf>
    <x:xf numFmtId="49" fontId="22" fillId="0" borderId="42" xfId="1" applyNumberFormat="1" applyFont="1" applyBorder="1" applyAlignment="1">
      <x:alignment horizontal="center" vertical="center"/>
    </x:xf>
    <x:xf numFmtId="49" fontId="22" fillId="0" borderId="9" xfId="1" applyNumberFormat="1" applyFont="1" applyBorder="1" applyAlignment="1">
      <x:alignment horizontal="center" vertical="center"/>
    </x:xf>
    <x:xf numFmtId="49" fontId="22" fillId="0" borderId="46" xfId="1" applyNumberFormat="1" applyFont="1" applyBorder="1" applyAlignment="1">
      <x:alignment horizontal="center" vertical="center"/>
    </x:xf>
    <x:xf numFmtId="49" fontId="22" fillId="0" borderId="33" xfId="1" applyNumberFormat="1" applyFont="1" applyBorder="1" applyAlignment="1">
      <x:alignment horizontal="center" vertical="center"/>
    </x:xf>
    <x:xf numFmtId="0" fontId="31" fillId="0" borderId="36" xfId="1" applyFont="1" applyBorder="1" applyAlignment="1">
      <x:alignment horizontal="center" vertical="center"/>
    </x:xf>
    <x:xf numFmtId="0" fontId="31" fillId="0" borderId="47" xfId="1" applyFont="1" applyBorder="1" applyAlignment="1">
      <x:alignment horizontal="center" vertical="center"/>
    </x:xf>
    <x:xf numFmtId="0" fontId="31" fillId="0" borderId="28" xfId="1" applyFont="1" applyBorder="1" applyAlignment="1">
      <x:alignment horizontal="center" vertical="center"/>
    </x:xf>
    <x:xf numFmtId="0" fontId="31" fillId="0" borderId="27" xfId="1" applyFont="1" applyBorder="1" applyAlignment="1">
      <x:alignment horizontal="center" vertical="center"/>
    </x:xf>
    <x:xf numFmtId="0" fontId="32" fillId="0" borderId="25" xfId="1" applyFont="1" applyBorder="1" applyAlignment="1">
      <x:alignment horizontal="center" vertical="center"/>
    </x:xf>
    <x:xf numFmtId="0" fontId="31" fillId="0" borderId="48" xfId="1" applyFont="1" applyBorder="1" applyAlignment="1">
      <x:alignment horizontal="center" vertical="center"/>
    </x:xf>
    <x:xf numFmtId="0" fontId="31" fillId="0" borderId="43" xfId="1" applyFont="1" applyBorder="1" applyAlignment="1">
      <x:alignment horizontal="center" vertical="center"/>
    </x:xf>
    <x:xf numFmtId="0" fontId="31" fillId="5" borderId="48" xfId="1" applyFont="1" applyFill="1" applyBorder="1" applyAlignment="1">
      <x:alignment horizontal="right" vertical="center"/>
    </x:xf>
    <x:xf numFmtId="0" fontId="31" fillId="5" borderId="36" xfId="1" applyFont="1" applyFill="1" applyBorder="1" applyAlignment="1">
      <x:alignment horizontal="right" vertical="center"/>
    </x:xf>
    <x:xf numFmtId="0" fontId="31" fillId="5" borderId="35" xfId="1" applyFont="1" applyFill="1" applyBorder="1" applyAlignment="1">
      <x:alignment horizontal="right" vertical="center"/>
    </x:xf>
    <x:xf numFmtId="0" fontId="31" fillId="5" borderId="43" xfId="1" applyFont="1" applyFill="1" applyBorder="1" applyAlignment="1">
      <x:alignment horizontal="right" vertical="center"/>
    </x:xf>
    <x:xf numFmtId="0" fontId="31" fillId="5" borderId="28" xfId="1" applyFont="1" applyFill="1" applyBorder="1" applyAlignment="1">
      <x:alignment horizontal="right" vertical="center"/>
    </x:xf>
    <x:xf numFmtId="0" fontId="31" fillId="5" borderId="33" xfId="1" applyFont="1" applyFill="1" applyBorder="1" applyAlignment="1">
      <x:alignment horizontal="right" vertical="center"/>
    </x:xf>
    <x:xf numFmtId="0" fontId="25" fillId="0" borderId="48" xfId="1" applyFont="1" applyBorder="1" applyAlignment="1">
      <x:alignment horizontal="left" vertical="center"/>
    </x:xf>
    <x:xf numFmtId="0" fontId="25" fillId="0" borderId="43" xfId="1" applyFont="1" applyBorder="1" applyAlignment="1">
      <x:alignment horizontal="left" vertical="center"/>
    </x:xf>
    <x:xf numFmtId="0" fontId="11" fillId="0" borderId="36" xfId="1" applyFont="1" applyBorder="1" applyAlignment="1">
      <x:alignment horizontal="center" vertical="top" wrapText="1"/>
    </x:xf>
    <x:xf numFmtId="0" fontId="11" fillId="0" borderId="0" xfId="1" applyFont="1" applyBorder="1" applyAlignment="1">
      <x:alignment horizontal="center" vertical="top" wrapText="1"/>
    </x:xf>
    <x:xf numFmtId="0" fontId="11" fillId="0" borderId="1" xfId="1" applyFont="1" applyBorder="1" applyAlignment="1">
      <x:alignment horizontal="center" vertical="top" wrapText="1"/>
    </x:xf>
    <x:xf numFmtId="0" fontId="14" fillId="0" borderId="12" xfId="1" applyBorder="1" applyAlignment="1">
      <x:alignment horizontal="center" vertical="center"/>
    </x:xf>
    <x:xf numFmtId="0" fontId="14" fillId="0" borderId="11" xfId="1" applyBorder="1" applyAlignment="1">
      <x:alignment horizontal="center" vertical="center"/>
    </x:xf>
    <x:xf numFmtId="0" fontId="14" fillId="0" borderId="4" xfId="1" applyBorder="1" applyAlignment="1">
      <x:alignment horizontal="center" vertical="center"/>
    </x:xf>
    <x:xf numFmtId="0" fontId="22" fillId="0" borderId="2" xfId="1" applyFont="1" applyBorder="1" applyAlignment="1">
      <x:alignment horizontal="left" vertical="center"/>
    </x:xf>
    <x:xf numFmtId="0" fontId="22" fillId="0" borderId="0" xfId="1" applyFont="1" applyBorder="1" applyAlignment="1">
      <x:alignment horizontal="left" vertical="center"/>
    </x:xf>
    <x:xf numFmtId="0" fontId="22" fillId="0" borderId="34" xfId="1" applyFont="1" applyBorder="1" applyAlignment="1">
      <x:alignment horizontal="left" vertical="center"/>
    </x:xf>
    <x:xf numFmtId="184" fontId="22" fillId="0" borderId="48" xfId="1" applyNumberFormat="1" applyFont="1" applyBorder="1" applyAlignment="1">
      <x:alignment horizontal="right"/>
    </x:xf>
    <x:xf numFmtId="184" fontId="22" fillId="0" borderId="36" xfId="1" applyNumberFormat="1" applyFont="1" applyBorder="1" applyAlignment="1">
      <x:alignment horizontal="right"/>
    </x:xf>
    <x:xf numFmtId="184" fontId="22" fillId="0" borderId="47" xfId="1" applyNumberFormat="1" applyFont="1" applyBorder="1" applyAlignment="1">
      <x:alignment horizontal="right"/>
    </x:xf>
    <x:xf numFmtId="184" fontId="22" fillId="0" borderId="44" xfId="1" applyNumberFormat="1" applyFont="1" applyBorder="1" applyAlignment="1">
      <x:alignment horizontal="right"/>
    </x:xf>
    <x:xf numFmtId="184" fontId="22" fillId="0" borderId="0" xfId="1" applyNumberFormat="1" applyFont="1" applyBorder="1" applyAlignment="1">
      <x:alignment horizontal="right"/>
    </x:xf>
    <x:xf numFmtId="184" fontId="22" fillId="0" borderId="11" xfId="1" applyNumberFormat="1" applyFont="1" applyBorder="1" applyAlignment="1">
      <x:alignment horizontal="right"/>
    </x:xf>
    <x:xf numFmtId="184" fontId="22" fillId="0" borderId="43" xfId="1" applyNumberFormat="1" applyFont="1" applyBorder="1" applyAlignment="1">
      <x:alignment horizontal="right"/>
    </x:xf>
    <x:xf numFmtId="184" fontId="22" fillId="0" borderId="28" xfId="1" applyNumberFormat="1" applyFont="1" applyBorder="1" applyAlignment="1">
      <x:alignment horizontal="right"/>
    </x:xf>
    <x:xf numFmtId="184" fontId="22" fillId="0" borderId="27" xfId="1" applyNumberFormat="1" applyFont="1" applyBorder="1" applyAlignment="1">
      <x:alignment horizontal="right"/>
    </x:xf>
    <x:xf numFmtId="0" fontId="22" fillId="0" borderId="35" xfId="1" applyFont="1" applyBorder="1" applyAlignment="1">
      <x:alignment horizontal="center" vertical="center"/>
    </x:xf>
    <x:xf numFmtId="0" fontId="22" fillId="0" borderId="34" xfId="1" applyFont="1" applyBorder="1" applyAlignment="1">
      <x:alignment horizontal="center" vertical="center"/>
    </x:xf>
    <x:xf numFmtId="0" fontId="24" fillId="2" borderId="37" xfId="1" applyFont="1" applyFill="1" applyBorder="1" applyAlignment="1">
      <x:alignment horizontal="center" vertical="center"/>
    </x:xf>
    <x:xf numFmtId="0" fontId="24" fillId="2" borderId="36" xfId="1" applyFont="1" applyFill="1" applyBorder="1" applyAlignment="1">
      <x:alignment horizontal="center" vertical="center"/>
    </x:xf>
    <x:xf numFmtId="0" fontId="24" fillId="2" borderId="35" xfId="1" applyFont="1" applyFill="1" applyBorder="1" applyAlignment="1">
      <x:alignment horizontal="center" vertical="center"/>
    </x:xf>
    <x:xf numFmtId="0" fontId="24" fillId="2" borderId="45" xfId="1" applyFont="1" applyFill="1" applyBorder="1" applyAlignment="1">
      <x:alignment horizontal="center" vertical="center"/>
    </x:xf>
    <x:xf numFmtId="179" fontId="28" fillId="3" borderId="48" xfId="1" applyNumberFormat="1" applyFont="1" applyFill="1" applyBorder="1" applyAlignment="1">
      <x:alignment horizontal="center" vertical="center"/>
    </x:xf>
    <x:xf numFmtId="179" fontId="28" fillId="3" borderId="36" xfId="1" applyNumberFormat="1" applyFont="1" applyFill="1" applyBorder="1" applyAlignment="1">
      <x:alignment horizontal="center" vertical="center"/>
    </x:xf>
    <x:xf numFmtId="179" fontId="28" fillId="3" borderId="35" xfId="1" applyNumberFormat="1" applyFont="1" applyFill="1" applyBorder="1" applyAlignment="1">
      <x:alignment horizontal="center" vertical="center"/>
    </x:xf>
    <x:xf numFmtId="179" fontId="28" fillId="3" borderId="44" xfId="1" applyNumberFormat="1" applyFont="1" applyFill="1" applyBorder="1" applyAlignment="1">
      <x:alignment horizontal="center" vertical="center"/>
    </x:xf>
    <x:xf numFmtId="179" fontId="28" fillId="3" borderId="0" xfId="1" applyNumberFormat="1" applyFont="1" applyFill="1" applyBorder="1" applyAlignment="1">
      <x:alignment horizontal="center" vertical="center"/>
    </x:xf>
    <x:xf numFmtId="179" fontId="28" fillId="3" borderId="34" xfId="1" applyNumberFormat="1" applyFont="1" applyFill="1" applyBorder="1" applyAlignment="1">
      <x:alignment horizontal="center" vertical="center"/>
    </x:xf>
    <x:xf numFmtId="0" fontId="14" fillId="3" borderId="48" xfId="1" applyFill="1" applyBorder="1" applyAlignment="1">
      <x:alignment horizontal="center" vertical="center"/>
    </x:xf>
    <x:xf numFmtId="0" fontId="14" fillId="3" borderId="35" xfId="1" applyFill="1" applyBorder="1" applyAlignment="1">
      <x:alignment horizontal="center" vertical="center"/>
    </x:xf>
    <x:xf numFmtId="0" fontId="14" fillId="3" borderId="44" xfId="1" applyFill="1" applyBorder="1" applyAlignment="1">
      <x:alignment horizontal="center" vertical="center"/>
    </x:xf>
    <x:xf numFmtId="0" fontId="14" fillId="3" borderId="34" xfId="1" applyFill="1" applyBorder="1" applyAlignment="1">
      <x:alignment horizontal="center" vertical="center"/>
    </x:xf>
    <x:xf numFmtId="0" fontId="22" fillId="0" borderId="42" xfId="1" applyFont="1" applyBorder="1" applyAlignment="1">
      <x:alignment horizontal="center" vertical="center"/>
    </x:xf>
    <x:xf numFmtId="0" fontId="22" fillId="0" borderId="44" xfId="1" applyFont="1" applyBorder="1" applyAlignment="1">
      <x:alignment horizontal="center" vertical="center"/>
    </x:xf>
    <x:xf numFmtId="0" fontId="22" fillId="0" borderId="43" xfId="1" applyFont="1" applyBorder="1" applyAlignment="1">
      <x:alignment horizontal="center" vertical="center"/>
    </x:xf>
    <x:xf numFmtId="0" fontId="22" fillId="0" borderId="27" xfId="1" applyFont="1" applyBorder="1" applyAlignment="1">
      <x:alignment horizontal="center" vertical="center"/>
    </x:xf>
    <x:xf numFmtId="0" fontId="52" fillId="5" borderId="37" xfId="1" applyFont="1" applyFill="1" applyBorder="1" applyAlignment="1">
      <x:alignment horizontal="left" vertical="center"/>
    </x:xf>
    <x:xf numFmtId="0" fontId="52" fillId="5" borderId="36" xfId="1" applyFont="1" applyFill="1" applyBorder="1" applyAlignment="1">
      <x:alignment horizontal="left" vertical="center"/>
    </x:xf>
    <x:xf numFmtId="0" fontId="52" fillId="5" borderId="47" xfId="1" applyFont="1" applyFill="1" applyBorder="1" applyAlignment="1">
      <x:alignment horizontal="left" vertical="center"/>
    </x:xf>
    <x:xf numFmtId="0" fontId="52" fillId="5" borderId="2" xfId="1" applyFont="1" applyFill="1" applyBorder="1" applyAlignment="1">
      <x:alignment horizontal="left" vertical="center"/>
    </x:xf>
    <x:xf numFmtId="0" fontId="52" fillId="5" borderId="0" xfId="1" applyFont="1" applyFill="1" applyBorder="1" applyAlignment="1">
      <x:alignment horizontal="left" vertical="center"/>
    </x:xf>
    <x:xf numFmtId="0" fontId="52" fillId="5" borderId="11" xfId="1" applyFont="1" applyFill="1" applyBorder="1" applyAlignment="1">
      <x:alignment horizontal="left" vertical="center"/>
    </x:xf>
    <x:xf numFmtId="0" fontId="52" fillId="5" borderId="5" xfId="1" applyFont="1" applyFill="1" applyBorder="1" applyAlignment="1">
      <x:alignment horizontal="left" vertical="center"/>
    </x:xf>
    <x:xf numFmtId="0" fontId="52" fillId="5" borderId="1" xfId="1" applyFont="1" applyFill="1" applyBorder="1" applyAlignment="1">
      <x:alignment horizontal="left" vertical="center"/>
    </x:xf>
    <x:xf numFmtId="0" fontId="52" fillId="5" borderId="4" xfId="1" applyFont="1" applyFill="1" applyBorder="1" applyAlignment="1">
      <x:alignment horizontal="left" vertical="center"/>
    </x:xf>
    <x:xf numFmtId="0" fontId="24" fillId="2" borderId="37" xfId="1" applyFont="1" applyFill="1" applyBorder="1" applyAlignment="1">
      <x:alignment horizontal="right" vertical="center"/>
    </x:xf>
    <x:xf numFmtId="0" fontId="24" fillId="2" borderId="36" xfId="1" applyFont="1" applyFill="1" applyBorder="1" applyAlignment="1">
      <x:alignment horizontal="right" vertical="center"/>
    </x:xf>
    <x:xf numFmtId="0" fontId="24" fillId="2" borderId="35" xfId="1" applyFont="1" applyFill="1" applyBorder="1" applyAlignment="1">
      <x:alignment horizontal="right" vertical="center"/>
    </x:xf>
    <x:xf numFmtId="184" fontId="22" fillId="0" borderId="22" xfId="1" applyNumberFormat="1" applyFont="1" applyBorder="1" applyAlignment="1">
      <x:alignment horizontal="right" vertical="center"/>
    </x:xf>
    <x:xf numFmtId="184" fontId="22" fillId="0" borderId="21" xfId="1" applyNumberFormat="1" applyFont="1" applyBorder="1" applyAlignment="1">
      <x:alignment horizontal="right" vertical="center"/>
    </x:xf>
    <x:xf numFmtId="190" fontId="22" fillId="0" borderId="48" xfId="1" applyNumberFormat="1" applyFont="1" applyBorder="1" applyAlignment="1">
      <x:alignment horizontal="right" vertical="center"/>
    </x:xf>
    <x:xf numFmtId="190" fontId="22" fillId="0" borderId="36" xfId="1" applyNumberFormat="1" applyFont="1" applyBorder="1" applyAlignment="1">
      <x:alignment horizontal="right" vertical="center"/>
    </x:xf>
    <x:xf numFmtId="190" fontId="22" fillId="0" borderId="47" xfId="1" applyNumberFormat="1" applyFont="1" applyBorder="1" applyAlignment="1">
      <x:alignment horizontal="right" vertical="center"/>
    </x:xf>
    <x:xf numFmtId="190" fontId="22" fillId="0" borderId="43" xfId="1" applyNumberFormat="1" applyFont="1" applyBorder="1" applyAlignment="1">
      <x:alignment horizontal="right" vertical="center"/>
    </x:xf>
    <x:xf numFmtId="190" fontId="22" fillId="0" borderId="28" xfId="1" applyNumberFormat="1" applyFont="1" applyBorder="1" applyAlignment="1">
      <x:alignment horizontal="right" vertical="center"/>
    </x:xf>
    <x:xf numFmtId="190" fontId="22" fillId="0" borderId="27" xfId="1" applyNumberFormat="1" applyFont="1" applyBorder="1" applyAlignment="1">
      <x:alignment horizontal="right" vertical="center"/>
    </x:xf>
    <x:xf numFmtId="0" fontId="31" fillId="0" borderId="35" xfId="1" applyFont="1" applyBorder="1" applyAlignment="1">
      <x:alignment horizontal="center" vertical="center"/>
    </x:xf>
    <x:xf numFmtId="0" fontId="31" fillId="0" borderId="33" xfId="1" applyFont="1" applyBorder="1" applyAlignment="1">
      <x:alignment horizontal="center" vertical="center"/>
    </x:xf>
    <x:xf numFmtId="0" fontId="41" fillId="0" borderId="37" xfId="1" applyFont="1" applyBorder="1" applyAlignment="1">
      <x:alignment horizontal="center" vertical="center"/>
    </x:xf>
    <x:xf numFmtId="0" fontId="41" fillId="0" borderId="29" xfId="1" applyFont="1" applyBorder="1" applyAlignment="1">
      <x:alignment horizontal="center" vertical="center"/>
    </x:xf>
    <x:xf numFmtId="0" fontId="25" fillId="0" borderId="26" xfId="1" applyFont="1" applyBorder="1" applyAlignment="1">
      <x:alignment horizontal="left" vertical="center"/>
    </x:xf>
    <x:xf numFmtId="0" fontId="22" fillId="0" borderId="32" xfId="1" applyFont="1" applyBorder="1" applyAlignment="1">
      <x:alignment horizontal="left" vertical="center"/>
    </x:xf>
    <x:xf numFmtId="0" fontId="22" fillId="0" borderId="31" xfId="1" applyFont="1" applyBorder="1" applyAlignment="1">
      <x:alignment horizontal="left" vertical="center"/>
    </x:xf>
    <x:xf numFmtId="0" fontId="22" fillId="0" borderId="24" xfId="1" applyFont="1" applyBorder="1" applyAlignment="1">
      <x:alignment horizontal="left" vertical="center"/>
    </x:xf>
    <x:xf numFmtId="0" fontId="22" fillId="0" borderId="30" xfId="1" applyFont="1" applyBorder="1" applyAlignment="1">
      <x:alignment horizontal="left" vertical="center"/>
    </x:xf>
    <x:xf numFmtId="0" fontId="22" fillId="0" borderId="26" xfId="1" applyFont="1" applyBorder="1" applyAlignment="1">
      <x:alignment horizontal="left" vertical="center" wrapText="1"/>
    </x:xf>
    <x:xf numFmtId="0" fontId="22" fillId="0" borderId="25" xfId="1" applyFont="1" applyBorder="1" applyAlignment="1">
      <x:alignment horizontal="left" vertical="center" wrapText="1"/>
    </x:xf>
    <x:xf numFmtId="0" fontId="22" fillId="0" borderId="32" xfId="1" applyFont="1" applyBorder="1" applyAlignment="1">
      <x:alignment horizontal="left" vertical="center" wrapText="1"/>
    </x:xf>
    <x:xf numFmtId="0" fontId="22" fillId="0" borderId="31" xfId="1" applyFont="1" applyBorder="1" applyAlignment="1">
      <x:alignment horizontal="left" vertical="center" wrapText="1"/>
    </x:xf>
    <x:xf numFmtId="0" fontId="25" fillId="0" borderId="25" xfId="1" applyFont="1" applyBorder="1" applyAlignment="1">
      <x:alignment horizontal="center" vertical="center"/>
    </x:xf>
    <x:xf numFmtId="0" fontId="14" fillId="2" borderId="25" xfId="1" applyFill="1" applyBorder="1" applyAlignment="1">
      <x:alignment horizontal="center" vertical="center"/>
    </x:xf>
    <x:xf numFmtId="0" fontId="14" fillId="2" borderId="24" xfId="1" applyFill="1" applyBorder="1" applyAlignment="1">
      <x:alignment horizontal="center" vertical="center"/>
    </x:xf>
    <x:xf numFmtId="0" fontId="14" fillId="2" borderId="31" xfId="1" applyFill="1" applyBorder="1" applyAlignment="1">
      <x:alignment horizontal="center" vertical="center"/>
    </x:xf>
    <x:xf numFmtId="0" fontId="14" fillId="2" borderId="30" xfId="1" applyFill="1" applyBorder="1" applyAlignment="1">
      <x:alignment horizontal="center" vertical="center"/>
    </x:xf>
    <x:xf numFmtId="0" fontId="25" fillId="2" borderId="40" xfId="1" applyFont="1" applyFill="1" applyBorder="1" applyAlignment="1">
      <x:alignment horizontal="center" vertical="center"/>
    </x:xf>
    <x:xf numFmtId="0" fontId="22" fillId="2" borderId="39" xfId="1" applyFont="1" applyFill="1" applyBorder="1" applyAlignment="1">
      <x:alignment horizontal="center" vertical="center"/>
    </x:xf>
    <x:xf numFmtId="0" fontId="22" fillId="2" borderId="26" xfId="1" applyFont="1" applyFill="1" applyBorder="1" applyAlignment="1">
      <x:alignment horizontal="center" vertical="center"/>
    </x:xf>
    <x:xf numFmtId="0" fontId="22" fillId="2" borderId="25" xfId="1" applyFont="1" applyFill="1" applyBorder="1" applyAlignment="1">
      <x:alignment horizontal="center" vertical="center"/>
    </x:xf>
    <x:xf numFmtId="0" fontId="22" fillId="2" borderId="38" xfId="1" applyFont="1" applyFill="1" applyBorder="1" applyAlignment="1">
      <x:alignment horizontal="center" vertical="center"/>
    </x:xf>
    <x:xf numFmtId="0" fontId="22" fillId="2" borderId="24" xfId="1" applyFont="1" applyFill="1" applyBorder="1" applyAlignment="1">
      <x:alignment horizontal="center" vertical="center"/>
    </x:xf>
    <x:xf numFmtId="0" fontId="22" fillId="0" borderId="51" xfId="1" applyFont="1" applyBorder="1" applyAlignment="1">
      <x:alignment horizontal="left" vertical="center"/>
    </x:xf>
    <x:xf numFmtId="0" fontId="25" fillId="0" borderId="10" xfId="1" applyFont="1" applyBorder="1" applyAlignment="1">
      <x:alignment horizontal="left" vertical="center"/>
    </x:xf>
    <x:xf numFmtId="0" fontId="25" fillId="0" borderId="9" xfId="1" applyFont="1" applyBorder="1" applyAlignment="1">
      <x:alignment horizontal="left" vertical="center"/>
    </x:xf>
    <x:xf numFmtId="0" fontId="25" fillId="0" borderId="46" xfId="1" applyFont="1" applyBorder="1" applyAlignment="1">
      <x:alignment horizontal="left" vertical="center"/>
    </x:xf>
    <x:xf numFmtId="190" fontId="25" fillId="0" borderId="42" xfId="1" applyNumberFormat="1" applyFont="1" applyBorder="1" applyAlignment="1">
      <x:alignment horizontal="right" vertical="center"/>
    </x:xf>
    <x:xf numFmtId="190" fontId="25" fillId="0" borderId="9" xfId="1" applyNumberFormat="1" applyFont="1" applyBorder="1" applyAlignment="1">
      <x:alignment horizontal="right" vertical="center"/>
    </x:xf>
    <x:xf numFmtId="190" fontId="25" fillId="0" borderId="12" xfId="1" applyNumberFormat="1" applyFont="1" applyBorder="1" applyAlignment="1">
      <x:alignment horizontal="right" vertical="center"/>
    </x:xf>
    <x:xf numFmtId="190" fontId="25" fillId="0" borderId="43" xfId="1" applyNumberFormat="1" applyFont="1" applyBorder="1" applyAlignment="1">
      <x:alignment horizontal="right" vertical="center"/>
    </x:xf>
    <x:xf numFmtId="190" fontId="25" fillId="0" borderId="28" xfId="1" applyNumberFormat="1" applyFont="1" applyBorder="1" applyAlignment="1">
      <x:alignment horizontal="right" vertical="center"/>
    </x:xf>
    <x:xf numFmtId="190" fontId="25" fillId="0" borderId="27" xfId="1" applyNumberFormat="1" applyFont="1" applyBorder="1" applyAlignment="1">
      <x:alignment horizontal="right" vertical="center"/>
    </x:xf>
    <x:xf numFmtId="0" fontId="22" fillId="0" borderId="6" xfId="1" applyFont="1" applyBorder="1" applyAlignment="1">
      <x:alignment horizontal="left" vertical="center" wrapText="1"/>
    </x:xf>
    <x:xf numFmtId="0" fontId="26" fillId="0" borderId="0" xfId="1" applyFont="1" applyBorder="1" applyAlignment="1">
      <x:alignment horizontal="left" vertical="center"/>
    </x:xf>
    <x:xf numFmtId="0" fontId="32" fillId="2" borderId="10" xfId="1" applyFont="1" applyFill="1" applyBorder="1" applyAlignment="1">
      <x:alignment horizontal="center" vertical="center"/>
    </x:xf>
    <x:xf numFmtId="0" fontId="49" fillId="2" borderId="9" xfId="1" applyFont="1" applyFill="1" applyBorder="1" applyAlignment="1">
      <x:alignment horizontal="center" vertical="center"/>
    </x:xf>
    <x:xf numFmtId="0" fontId="49" fillId="2" borderId="12" xfId="1" applyFont="1" applyFill="1" applyBorder="1" applyAlignment="1">
      <x:alignment horizontal="center" vertical="center"/>
    </x:xf>
    <x:xf numFmtId="0" fontId="49" fillId="2" borderId="5" xfId="1" applyFont="1" applyFill="1" applyBorder="1" applyAlignment="1">
      <x:alignment horizontal="center" vertical="center"/>
    </x:xf>
    <x:xf numFmtId="0" fontId="49" fillId="2" borderId="1" xfId="1" applyFont="1" applyFill="1" applyBorder="1" applyAlignment="1">
      <x:alignment horizontal="center" vertical="center"/>
    </x:xf>
    <x:xf numFmtId="0" fontId="49" fillId="2" borderId="4" xfId="1" applyFont="1" applyFill="1" applyBorder="1" applyAlignment="1">
      <x:alignment horizontal="center" vertical="center"/>
    </x:xf>
    <x:xf numFmtId="0" fontId="31" fillId="5" borderId="52" xfId="1" applyFont="1" applyFill="1" applyBorder="1" applyAlignment="1">
      <x:alignment horizontal="right" vertical="center"/>
    </x:xf>
    <x:xf numFmtId="0" fontId="31" fillId="5" borderId="25" xfId="1" applyFont="1" applyFill="1" applyBorder="1" applyAlignment="1">
      <x:alignment horizontal="right" vertical="center"/>
    </x:xf>
    <x:xf numFmtId="0" fontId="31" fillId="0" borderId="42" xfId="1" applyFont="1" applyBorder="1" applyAlignment="1">
      <x:alignment horizontal="center" vertical="center"/>
    </x:xf>
    <x:xf numFmtId="0" fontId="31" fillId="0" borderId="9" xfId="1" applyFont="1" applyBorder="1" applyAlignment="1">
      <x:alignment horizontal="center" vertical="center"/>
    </x:xf>
    <x:xf numFmtId="0" fontId="22" fillId="2" borderId="23" xfId="1" applyFont="1" applyFill="1" applyBorder="1" applyAlignment="1">
      <x:alignment horizontal="center" vertical="center"/>
    </x:xf>
    <x:xf numFmtId="0" fontId="22" fillId="2" borderId="22" xfId="1" applyFont="1" applyFill="1" applyBorder="1" applyAlignment="1">
      <x:alignment horizontal="center" vertical="center"/>
    </x:xf>
    <x:xf numFmtId="0" fontId="22" fillId="2" borderId="21" xfId="1" applyFont="1" applyFill="1" applyBorder="1" applyAlignment="1">
      <x:alignment horizontal="center" vertical="center"/>
    </x:xf>
    <x:xf numFmtId="0" fontId="31" fillId="2" borderId="26" xfId="1" applyFont="1" applyFill="1" applyBorder="1" applyAlignment="1">
      <x:alignment horizontal="center" vertical="center"/>
    </x:xf>
    <x:xf numFmtId="0" fontId="31" fillId="2" borderId="24" xfId="1" applyFont="1" applyFill="1" applyBorder="1" applyAlignment="1">
      <x:alignment horizontal="center" vertical="center"/>
    </x:xf>
    <x:xf numFmtId="0" fontId="31" fillId="2" borderId="23" xfId="1" applyFont="1" applyFill="1" applyBorder="1" applyAlignment="1">
      <x:alignment horizontal="center" vertical="center"/>
    </x:xf>
    <x:xf numFmtId="0" fontId="31" fillId="2" borderId="21" xfId="1" applyFont="1" applyFill="1" applyBorder="1" applyAlignment="1">
      <x:alignment horizontal="center" vertical="center"/>
    </x:xf>
    <x:xf numFmtId="0" fontId="24" fillId="0" borderId="36" xfId="1" applyFont="1" applyBorder="1" applyAlignment="1">
      <x:alignment horizontal="center" vertical="center"/>
    </x:xf>
    <x:xf numFmtId="0" fontId="14" fillId="0" borderId="0" xfId="1" applyBorder="1" applyAlignment="1">
      <x:alignment horizontal="center" vertical="center"/>
    </x:xf>
    <x:xf numFmtId="0" fontId="25" fillId="0" borderId="10" xfId="1" applyFont="1" applyBorder="1" applyAlignment="1">
      <x:alignment horizontal="center" vertical="center"/>
    </x:xf>
    <x:xf numFmtId="0" fontId="25" fillId="0" borderId="11" xfId="1" applyFont="1" applyBorder="1" applyAlignment="1">
      <x:alignment horizontal="center" vertical="center"/>
    </x:xf>
    <x:xf numFmtId="0" fontId="31" fillId="0" borderId="10" xfId="1" applyFont="1" applyBorder="1" applyAlignment="1">
      <x:alignment horizontal="center" vertical="center"/>
    </x:xf>
    <x:xf numFmtId="0" fontId="31" fillId="0" borderId="12" xfId="1" applyFont="1" applyBorder="1" applyAlignment="1">
      <x:alignment horizontal="center" vertical="center"/>
    </x:xf>
    <x:xf numFmtId="0" fontId="31" fillId="0" borderId="5" xfId="1" applyFont="1" applyBorder="1" applyAlignment="1">
      <x:alignment horizontal="center" vertical="center"/>
    </x:xf>
    <x:xf numFmtId="0" fontId="31" fillId="0" borderId="1" xfId="1" applyFont="1" applyBorder="1" applyAlignment="1">
      <x:alignment horizontal="center" vertical="center"/>
    </x:xf>
    <x:xf numFmtId="0" fontId="31" fillId="0" borderId="4" xfId="1" applyFont="1" applyBorder="1" applyAlignment="1">
      <x:alignment horizontal="center" vertical="center"/>
    </x:xf>
    <x:xf numFmtId="0" fontId="31" fillId="0" borderId="0" xfId="1" applyFont="1" applyBorder="1" applyAlignment="1">
      <x:alignment horizontal="center" vertical="center"/>
    </x:xf>
    <x:xf numFmtId="0" fontId="31" fillId="0" borderId="11" xfId="1" applyFont="1" applyBorder="1" applyAlignment="1">
      <x:alignment horizontal="center" vertical="center"/>
    </x:xf>
    <x:xf numFmtId="0" fontId="30" fillId="2" borderId="40" xfId="1" applyFont="1" applyFill="1" applyBorder="1" applyAlignment="1">
      <x:alignment horizontal="center" vertical="center"/>
    </x:xf>
    <x:xf numFmtId="0" fontId="30" fillId="2" borderId="38" xfId="1" applyFont="1" applyFill="1" applyBorder="1" applyAlignment="1">
      <x:alignment horizontal="center" vertical="center"/>
    </x:xf>
    <x:xf numFmtId="0" fontId="30" fillId="2" borderId="26" xfId="1" applyFont="1" applyFill="1" applyBorder="1" applyAlignment="1">
      <x:alignment horizontal="center" vertical="center"/>
    </x:xf>
    <x:xf numFmtId="0" fontId="30" fillId="2" borderId="24" xfId="1" applyFont="1" applyFill="1" applyBorder="1" applyAlignment="1">
      <x:alignment horizontal="center" vertical="center"/>
    </x:xf>
    <x:xf numFmtId="0" fontId="27" fillId="0" borderId="35" xfId="1" applyFont="1" applyBorder="1" applyAlignment="1">
      <x:alignment horizontal="center" vertical="center"/>
    </x:xf>
    <x:xf numFmtId="0" fontId="27" fillId="0" borderId="34" xfId="1" applyFont="1" applyBorder="1" applyAlignment="1">
      <x:alignment horizontal="center" vertical="center"/>
    </x:xf>
    <x:xf numFmtId="0" fontId="27" fillId="0" borderId="43" xfId="1" applyFont="1" applyBorder="1" applyAlignment="1">
      <x:alignment horizontal="center" vertical="center"/>
    </x:xf>
    <x:xf numFmtId="0" fontId="27" fillId="0" borderId="33" xfId="1" applyFont="1" applyBorder="1" applyAlignment="1">
      <x:alignment horizontal="center" vertical="center"/>
    </x:xf>
    <x:xf numFmtId="0" fontId="27" fillId="0" borderId="45" xfId="1" applyFont="1" applyBorder="1" applyAlignment="1">
      <x:alignment horizontal="center" vertical="center"/>
    </x:xf>
    <x:xf numFmtId="190" fontId="22" fillId="0" borderId="41" xfId="1" applyNumberFormat="1" applyFont="1" applyBorder="1" applyAlignment="1">
      <x:alignment horizontal="right" vertical="center"/>
    </x:xf>
    <x:xf numFmtId="190" fontId="22" fillId="0" borderId="1" xfId="1" applyNumberFormat="1" applyFont="1" applyBorder="1" applyAlignment="1">
      <x:alignment horizontal="right" vertical="center"/>
    </x:xf>
    <x:xf numFmtId="190" fontId="22" fillId="0" borderId="4" xfId="1" applyNumberFormat="1" applyFont="1" applyBorder="1" applyAlignment="1">
      <x:alignment horizontal="right" vertical="center"/>
    </x:xf>
    <x:xf numFmtId="0" fontId="25" fillId="0" borderId="31" xfId="1" applyFont="1" applyBorder="1" applyAlignment="1">
      <x:alignment horizontal="left" vertical="center"/>
    </x:xf>
    <x:xf numFmtId="0" fontId="22" fillId="0" borderId="90" xfId="1" applyFont="1" applyBorder="1" applyAlignment="1">
      <x:alignment horizontal="left" vertical="center"/>
    </x:xf>
    <x:xf numFmtId="0" fontId="22" fillId="0" borderId="91" xfId="1" applyFont="1" applyBorder="1" applyAlignment="1">
      <x:alignment horizontal="left" vertical="center"/>
    </x:xf>
    <x:xf numFmtId="0" fontId="14" fillId="0" borderId="32" xfId="1" applyBorder="1" applyAlignment="1">
      <x:alignment horizontal="center" vertical="center"/>
    </x:xf>
    <x:xf numFmtId="0" fontId="14" fillId="0" borderId="31" xfId="1" applyBorder="1" applyAlignment="1">
      <x:alignment horizontal="center" vertical="center"/>
    </x:xf>
    <x:xf numFmtId="0" fontId="14" fillId="0" borderId="89" xfId="1" applyBorder="1" applyAlignment="1">
      <x:alignment horizontal="center" vertical="center"/>
    </x:xf>
    <x:xf numFmtId="0" fontId="14" fillId="0" borderId="90" xfId="1" applyBorder="1" applyAlignment="1">
      <x:alignment horizontal="center" vertical="center"/>
    </x:xf>
    <x:xf numFmtId="0" fontId="29" fillId="2" borderId="10" xfId="1" applyFont="1" applyFill="1" applyBorder="1" applyAlignment="1">
      <x:alignment horizontal="right" vertical="center"/>
    </x:xf>
    <x:xf numFmtId="0" fontId="29" fillId="2" borderId="9" xfId="1" applyFont="1" applyFill="1" applyBorder="1" applyAlignment="1">
      <x:alignment horizontal="right" vertical="center"/>
    </x:xf>
    <x:xf numFmtId="0" fontId="29" fillId="2" borderId="5" xfId="1" applyFont="1" applyFill="1" applyBorder="1" applyAlignment="1">
      <x:alignment horizontal="right" vertical="center"/>
    </x:xf>
    <x:xf numFmtId="0" fontId="29" fillId="2" borderId="1" xfId="1" applyFont="1" applyFill="1" applyBorder="1" applyAlignment="1">
      <x:alignment horizontal="right" vertical="center"/>
    </x:xf>
    <x:xf numFmtId="0" fontId="24" fillId="2" borderId="9" xfId="1" applyFont="1" applyFill="1" applyBorder="1" applyAlignment="1">
      <x:alignment horizontal="right" vertical="center"/>
    </x:xf>
    <x:xf numFmtId="0" fontId="24" fillId="2" borderId="46" xfId="1" applyFont="1" applyFill="1" applyBorder="1" applyAlignment="1">
      <x:alignment horizontal="right" vertical="center"/>
    </x:xf>
    <x:xf numFmtId="184" fontId="25" fillId="0" borderId="42" xfId="1" applyNumberFormat="1" applyFont="1" applyBorder="1" applyAlignment="1">
      <x:alignment horizontal="right" vertical="center"/>
    </x:xf>
    <x:xf numFmtId="184" fontId="22" fillId="0" borderId="41" xfId="1" applyNumberFormat="1" applyFont="1" applyBorder="1" applyAlignment="1">
      <x:alignment horizontal="right" vertical="center"/>
    </x:xf>
    <x:xf numFmtId="0" fontId="29" fillId="2" borderId="12" xfId="1" applyFont="1" applyFill="1" applyBorder="1" applyAlignment="1">
      <x:alignment horizontal="right" vertical="center"/>
    </x:xf>
    <x:xf numFmtId="0" fontId="29" fillId="2" borderId="4" xfId="1" applyFont="1" applyFill="1" applyBorder="1" applyAlignment="1">
      <x:alignment horizontal="right" vertical="center"/>
    </x:xf>
    <x:xf numFmtId="184" fontId="3" fillId="0" borderId="10" xfId="1" applyNumberFormat="1" applyFont="1" applyBorder="1" applyAlignment="1">
      <x:alignment horizontal="right" vertical="center"/>
    </x:xf>
    <x:xf numFmtId="184" fontId="5" fillId="0" borderId="9" xfId="1" applyNumberFormat="1" applyFont="1" applyBorder="1" applyAlignment="1">
      <x:alignment horizontal="right" vertical="center"/>
    </x:xf>
    <x:xf numFmtId="184" fontId="5" fillId="0" borderId="12" xfId="1" applyNumberFormat="1" applyFont="1" applyBorder="1" applyAlignment="1">
      <x:alignment horizontal="right" vertical="center"/>
    </x:xf>
    <x:xf numFmtId="184" fontId="5" fillId="0" borderId="5" xfId="1" applyNumberFormat="1" applyFont="1" applyBorder="1" applyAlignment="1">
      <x:alignment horizontal="right" vertical="center"/>
    </x:xf>
    <x:xf numFmtId="184" fontId="5" fillId="0" borderId="1" xfId="1" applyNumberFormat="1" applyFont="1" applyBorder="1" applyAlignment="1">
      <x:alignment horizontal="right" vertical="center"/>
    </x:xf>
    <x:xf numFmtId="184" fontId="5" fillId="0" borderId="4" xfId="1" applyNumberFormat="1" applyFont="1" applyBorder="1" applyAlignment="1">
      <x:alignment horizontal="right" vertical="center"/>
    </x:xf>
    <x:xf numFmtId="0" fontId="31" fillId="0" borderId="44" xfId="1" applyFont="1" applyBorder="1" applyAlignment="1">
      <x:alignment horizontal="center" vertical="center"/>
    </x:xf>
    <x:xf numFmtId="0" fontId="31" fillId="0" borderId="41" xfId="1" applyFont="1" applyBorder="1" applyAlignment="1">
      <x:alignment horizontal="center" vertical="center"/>
    </x:xf>
    <x:xf numFmtId="0" fontId="22" fillId="0" borderId="53" xfId="1" applyFont="1" applyBorder="1" applyAlignment="1">
      <x:alignment horizontal="left" vertical="center"/>
    </x:xf>
    <x:xf numFmtId="0" fontId="22" fillId="0" borderId="23" xfId="1" applyFont="1" applyBorder="1" applyAlignment="1">
      <x:alignment horizontal="left" vertical="center"/>
    </x:xf>
    <x:xf numFmtId="0" fontId="22" fillId="0" borderId="22" xfId="1" applyFont="1" applyBorder="1" applyAlignment="1">
      <x:alignment horizontal="left" vertical="center"/>
    </x:xf>
    <x:xf numFmtId="0" fontId="31" fillId="0" borderId="34" xfId="1" applyFont="1" applyBorder="1" applyAlignment="1">
      <x:alignment horizontal="center" vertical="center"/>
    </x:xf>
    <x:xf numFmtId="0" fontId="31" fillId="0" borderId="45" xfId="1" applyFont="1" applyBorder="1" applyAlignment="1">
      <x:alignment horizontal="center" vertical="center"/>
    </x:xf>
    <x:xf numFmtId="0" fontId="25" fillId="0" borderId="44" xfId="1" applyFont="1" applyBorder="1" applyAlignment="1">
      <x:alignment horizontal="left" vertical="center"/>
    </x:xf>
    <x:xf numFmtId="0" fontId="25" fillId="0" borderId="41" xfId="1" applyFont="1" applyBorder="1" applyAlignment="1">
      <x:alignment horizontal="left" vertical="center"/>
    </x:xf>
    <x:xf numFmtId="0" fontId="25" fillId="0" borderId="1" xfId="1" applyFont="1" applyBorder="1" applyAlignment="1">
      <x:alignment horizontal="left" vertical="center"/>
    </x:xf>
    <x:xf numFmtId="0" fontId="25" fillId="0" borderId="45" xfId="1" applyFont="1" applyBorder="1" applyAlignment="1">
      <x:alignment horizontal="left" vertical="center"/>
    </x:xf>
    <x:xf numFmtId="0" fontId="26" fillId="4" borderId="37" xfId="1" applyFont="1" applyFill="1" applyBorder="1" applyAlignment="1">
      <x:alignment horizontal="left" vertical="center"/>
    </x:xf>
    <x:xf numFmtId="0" fontId="26" fillId="4" borderId="36" xfId="1" applyFont="1" applyFill="1" applyBorder="1" applyAlignment="1">
      <x:alignment horizontal="left" vertical="center"/>
    </x:xf>
    <x:xf numFmtId="0" fontId="26" fillId="4" borderId="35" xfId="1" applyFont="1" applyFill="1" applyBorder="1" applyAlignment="1">
      <x:alignment horizontal="left" vertical="center"/>
    </x:xf>
    <x:xf numFmtId="0" fontId="26" fillId="4" borderId="29" xfId="1" applyFont="1" applyFill="1" applyBorder="1" applyAlignment="1">
      <x:alignment horizontal="left" vertical="center"/>
    </x:xf>
    <x:xf numFmtId="0" fontId="26" fillId="4" borderId="28" xfId="1" applyFont="1" applyFill="1" applyBorder="1" applyAlignment="1">
      <x:alignment horizontal="left" vertical="center"/>
    </x:xf>
    <x:xf numFmtId="0" fontId="26" fillId="4" borderId="33" xfId="1" applyFont="1" applyFill="1" applyBorder="1" applyAlignment="1">
      <x:alignment horizontal="left" vertical="center"/>
    </x:xf>
    <x:xf numFmtId="0" fontId="25" fillId="4" borderId="37" xfId="1" applyFont="1" applyFill="1" applyBorder="1" applyAlignment="1">
      <x:alignment horizontal="left" vertical="center"/>
    </x:xf>
    <x:xf numFmtId="0" fontId="25" fillId="4" borderId="36" xfId="1" applyFont="1" applyFill="1" applyBorder="1" applyAlignment="1">
      <x:alignment horizontal="left" vertical="center"/>
    </x:xf>
    <x:xf numFmtId="0" fontId="25" fillId="4" borderId="35" xfId="1" applyFont="1" applyFill="1" applyBorder="1" applyAlignment="1">
      <x:alignment horizontal="left" vertical="center"/>
    </x:xf>
    <x:xf numFmtId="0" fontId="25" fillId="4" borderId="29" xfId="1" applyFont="1" applyFill="1" applyBorder="1" applyAlignment="1">
      <x:alignment horizontal="left" vertical="center"/>
    </x:xf>
    <x:xf numFmtId="0" fontId="25" fillId="4" borderId="28" xfId="1" applyFont="1" applyFill="1" applyBorder="1" applyAlignment="1">
      <x:alignment horizontal="left" vertical="center"/>
    </x:xf>
    <x:xf numFmtId="0" fontId="25" fillId="4" borderId="33" xfId="1" applyFont="1" applyFill="1" applyBorder="1" applyAlignment="1">
      <x:alignment horizontal="left" vertical="center"/>
    </x:xf>
    <x:xf numFmtId="0" fontId="22" fillId="0" borderId="0" xfId="1" applyFont="1" applyAlignment="1">
      <x:alignment horizontal="center" vertical="center"/>
    </x:xf>
    <x:xf numFmtId="0" fontId="14" fillId="7" borderId="37" xfId="1" applyFill="1" applyBorder="1" applyAlignment="1">
      <x:alignment horizontal="center" vertical="center"/>
    </x:xf>
    <x:xf numFmtId="0" fontId="14" fillId="7" borderId="36" xfId="1" applyFill="1" applyBorder="1" applyAlignment="1">
      <x:alignment horizontal="center" vertical="center"/>
    </x:xf>
    <x:xf numFmtId="0" fontId="14" fillId="7" borderId="35" xfId="1" applyFill="1" applyBorder="1" applyAlignment="1">
      <x:alignment horizontal="center" vertical="center"/>
    </x:xf>
    <x:xf numFmtId="0" fontId="14" fillId="7" borderId="5" xfId="1" applyFill="1" applyBorder="1" applyAlignment="1">
      <x:alignment horizontal="center" vertical="center"/>
    </x:xf>
    <x:xf numFmtId="0" fontId="14" fillId="7" borderId="1" xfId="1" applyFill="1" applyBorder="1" applyAlignment="1">
      <x:alignment horizontal="center" vertical="center"/>
    </x:xf>
    <x:xf numFmtId="0" fontId="14" fillId="7" borderId="45" xfId="1" applyFill="1" applyBorder="1" applyAlignment="1">
      <x:alignment horizontal="center" vertical="center"/>
    </x:xf>
    <x:xf numFmtId="0" fontId="35" fillId="7" borderId="48" xfId="1" applyFont="1" applyFill="1" applyBorder="1" applyAlignment="1">
      <x:alignment horizontal="center" vertical="center"/>
    </x:xf>
    <x:xf numFmtId="0" fontId="35" fillId="7" borderId="36" xfId="1" applyFont="1" applyFill="1" applyBorder="1" applyAlignment="1">
      <x:alignment horizontal="center" vertical="center"/>
    </x:xf>
    <x:xf numFmtId="0" fontId="35" fillId="7" borderId="35" xfId="1" applyFont="1" applyFill="1" applyBorder="1" applyAlignment="1">
      <x:alignment horizontal="center" vertical="center"/>
    </x:xf>
    <x:xf numFmtId="0" fontId="35" fillId="7" borderId="44" xfId="1" applyFont="1" applyFill="1" applyBorder="1" applyAlignment="1">
      <x:alignment horizontal="center" vertical="center"/>
    </x:xf>
    <x:xf numFmtId="0" fontId="35" fillId="7" borderId="0" xfId="1" applyFont="1" applyFill="1" applyBorder="1" applyAlignment="1">
      <x:alignment horizontal="center" vertical="center"/>
    </x:xf>
    <x:xf numFmtId="0" fontId="35" fillId="7" borderId="34" xfId="1" applyFont="1" applyFill="1" applyBorder="1" applyAlignment="1">
      <x:alignment horizontal="center" vertical="center"/>
    </x:xf>
    <x:xf numFmtId="0" fontId="14" fillId="7" borderId="48" xfId="1" applyFill="1" applyBorder="1" applyAlignment="1">
      <x:alignment horizontal="center" vertical="center"/>
    </x:xf>
    <x:xf numFmtId="0" fontId="14" fillId="7" borderId="47" xfId="1" applyFill="1" applyBorder="1" applyAlignment="1">
      <x:alignment horizontal="center" vertical="center"/>
    </x:xf>
    <x:xf numFmtId="0" fontId="14" fillId="7" borderId="44" xfId="1" applyFill="1" applyBorder="1" applyAlignment="1">
      <x:alignment horizontal="center" vertical="center"/>
    </x:xf>
    <x:xf numFmtId="0" fontId="14" fillId="7" borderId="0" xfId="1" applyFill="1" applyBorder="1" applyAlignment="1">
      <x:alignment horizontal="center" vertical="center"/>
    </x:xf>
    <x:xf numFmtId="0" fontId="14" fillId="7" borderId="11" xfId="1" applyFill="1" applyBorder="1" applyAlignment="1">
      <x:alignment horizontal="center" vertical="center"/>
    </x:xf>
    <x:xf numFmtId="0" fontId="60" fillId="0" borderId="0" xfId="0" applyFont="1" applyFill="1" applyBorder="1" applyAlignment="1">
      <x:alignment vertical="center"/>
    </x:xf>
    <x:xf numFmtId="0" fontId="0" fillId="0" borderId="0" xfId="0" applyAlignment="1">
      <x:alignment vertical="center"/>
    </x:xf>
    <x:xf numFmtId="0" fontId="60" fillId="0" borderId="0" xfId="0" applyFont="1" applyFill="1" applyBorder="1" applyAlignment="1">
      <x:alignment horizontal="left" vertical="center"/>
    </x:xf>
    <x:xf numFmtId="0" fontId="36" fillId="0" borderId="0" xfId="0" applyFont="1" applyAlignment="1">
      <x:alignment horizontal="center"/>
    </x:xf>
    <x:xf numFmtId="0" fontId="60" fillId="0" borderId="0" xfId="0" applyFont="1" applyAlignment="1">
      <x:alignment horizontal="left" vertical="center"/>
    </x:xf>
    <x:xf numFmtId="0" fontId="60" fillId="0" borderId="0" xfId="0" applyFont="1" applyAlignment="1">
      <x:alignment vertical="center"/>
    </x:xf>
    <x:xf numFmtId="0" fontId="37" fillId="0" borderId="0" xfId="0" applyFont="1" applyAlignment="1">
      <x:alignment horizontal="left" vertical="center"/>
    </x:xf>
    <x:xf numFmtId="0" fontId="0" fillId="0" borderId="8" xfId="0" applyBorder="1" applyAlignment="1">
      <x:alignment horizontal="center" vertical="center"/>
    </x:xf>
    <x:xf numFmtId="0" fontId="0" fillId="0" borderId="14" xfId="0" applyBorder="1" applyAlignment="1">
      <x:alignment horizontal="center" vertical="center"/>
    </x:xf>
    <x:xf numFmtId="0" fontId="0" fillId="0" borderId="13" xfId="0" applyBorder="1" applyAlignment="1">
      <x:alignment horizontal="center" vertical="center"/>
    </x:xf>
    <x:xf numFmtId="0" fontId="55" fillId="0" borderId="8" xfId="0" applyFont="1" applyBorder="1" applyAlignment="1">
      <x:alignment horizontal="center" vertical="center"/>
    </x:xf>
    <x:xf numFmtId="0" fontId="55" fillId="0" borderId="14" xfId="0" applyFont="1" applyBorder="1" applyAlignment="1">
      <x:alignment horizontal="center" vertical="center"/>
    </x:xf>
    <x:xf numFmtId="0" fontId="46" fillId="0" borderId="8" xfId="0" applyFont="1" applyBorder="1" applyAlignment="1">
      <x:alignment horizontal="center" vertical="center"/>
    </x:xf>
    <x:xf numFmtId="0" fontId="46" fillId="0" borderId="14" xfId="0" applyFont="1" applyBorder="1" applyAlignment="1">
      <x:alignment horizontal="center" vertical="center"/>
    </x:xf>
    <x:xf numFmtId="0" fontId="0" fillId="0" borderId="0" xfId="0" applyAlignment="1">
      <x:alignment horizontal="center"/>
    </x:xf>
    <x:xf numFmtId="0" fontId="0" fillId="0" borderId="6" xfId="0" applyBorder="1" applyAlignment="1">
      <x:alignment horizontal="center" vertical="center"/>
    </x:xf>
  </x:cellXfs>
  <x:cellStyles count="2">
    <x:cellStyle name="標準" xfId="0"/>
    <x:cellStyle name="標準 2" xfId="1"/>
  </x:cellStyles>
  <x:dxfs count="28">
    <x:dxf>
      <x:fill>
        <x:patternFill patternType="solid">
          <x:bgColor indexed="65"/>
        </x:patternFill>
      </x:fill>
      <x:border>
        <x:left/>
        <x:right/>
        <x:top style="thin">
          <x:color theme="4" tint="0.39998"/>
        </x:top>
        <x:bottom/>
      </x:border>
    </x:dxf>
    <x:dxf>
      <x:fill>
        <x:patternFill patternType="solid">
          <x:bgColor indexed="65"/>
        </x:patternFill>
      </x:fill>
    </x:dxf>
    <x:dxf>
      <x:font>
        <x:u val="none"/>
        <x:sz val="20"/>
        <x:color indexed="8"/>
        <x:name val="HG丸ｺﾞｼｯｸM-PRO"/>
        <x:scheme val="none"/>
      </x:font>
      <x:numFmt numFmtId="2" formatCode="0.00"/>
      <x:fill>
        <x:patternFill patternType="solid">
          <x:bgColor indexed="65"/>
        </x:patternFill>
      </x:fill>
      <x:border>
        <x:left style="thick">
          <x:color indexed="64"/>
        </x:left>
        <x:right style="thin">
          <x:color indexed="64"/>
        </x:right>
        <x:top style="double">
          <x:color auto="1"/>
        </x:top>
        <x:bottom style="double">
          <x:color auto="1"/>
        </x:bottom>
      </x:border>
    </x:dxf>
    <x:dxf>
      <x:font>
        <x:u val="none"/>
        <x:sz val="20"/>
        <x:color indexed="8"/>
        <x:name val="HG丸ｺﾞｼｯｸM-PRO"/>
        <x:scheme val="none"/>
      </x:font>
      <x:numFmt numFmtId="178" formatCode="#,##0.00&quot;台&quot;"/>
      <x:fill>
        <x:patternFill patternType="solid">
          <x:bgColor indexed="65"/>
        </x:patternFill>
      </x:fill>
      <x:border>
        <x:left style="thick">
          <x:color indexed="64"/>
        </x:left>
        <x:right style="thick">
          <x:color indexed="64"/>
        </x:right>
        <x:top style="thin">
          <x:color auto="1"/>
        </x:top>
        <x:bottom style="thin">
          <x:color auto="1"/>
        </x:bottom>
      </x:border>
    </x:dxf>
    <x:dxf>
      <x:font>
        <x:u val="none"/>
        <x:sz val="20"/>
        <x:color indexed="8"/>
        <x:name val="HG丸ｺﾞｼｯｸM-PRO"/>
        <x:scheme val="none"/>
      </x:font>
      <x:numFmt numFmtId="178" formatCode="#,##0.00&quot;台&quot;"/>
      <x:fill>
        <x:patternFill patternType="solid">
          <x:bgColor indexed="65"/>
        </x:patternFill>
      </x:fill>
      <x:border>
        <x:left/>
        <x:right style="thick">
          <x:color indexed="64"/>
        </x:right>
        <x:top style="double">
          <x:color auto="1"/>
        </x:top>
        <x:bottom style="double">
          <x:color auto="1"/>
        </x:bottom>
      </x:border>
    </x:dxf>
    <x:dxf>
      <x:font>
        <x:u val="none"/>
        <x:sz val="20"/>
        <x:color indexed="8"/>
        <x:name val="HG丸ｺﾞｼｯｸM-PRO"/>
        <x:scheme val="none"/>
      </x:font>
      <x:numFmt numFmtId="178" formatCode="#,##0.00&quot;台&quot;"/>
      <x:fill>
        <x:patternFill patternType="solid">
          <x:bgColor indexed="65"/>
        </x:patternFill>
      </x:fill>
      <x:border>
        <x:left style="thin">
          <x:color indexed="64"/>
        </x:left>
        <x:right style="thin">
          <x:color indexed="64"/>
        </x:right>
        <x:top style="thin">
          <x:color auto="1"/>
        </x:top>
        <x:bottom style="thin">
          <x:color auto="1"/>
        </x:bottom>
      </x:border>
    </x:dxf>
    <x:dxf>
      <x:font>
        <x:u val="none"/>
        <x:sz val="20"/>
        <x:color indexed="8"/>
        <x:name val="HG丸ｺﾞｼｯｸM-PRO"/>
        <x:scheme val="none"/>
      </x:font>
      <x:numFmt numFmtId="178" formatCode="#,##0.00&quot;台&quot;"/>
      <x:fill>
        <x:patternFill patternType="solid">
          <x:bgColor indexed="65"/>
        </x:patternFill>
      </x:fill>
      <x:border>
        <x:left style="thin">
          <x:color indexed="64"/>
        </x:left>
        <x:right style="thin">
          <x:color indexed="64"/>
        </x:right>
        <x:top style="thin">
          <x:color auto="1"/>
        </x:top>
        <x:bottom style="thin">
          <x:color auto="1"/>
        </x:bottom>
      </x:border>
    </x:dxf>
    <x:dxf>
      <x:font>
        <x:u val="none"/>
        <x:sz val="24"/>
        <x:color auto="1"/>
        <x:name val="HG丸ｺﾞｼｯｸM-PRO"/>
        <x:scheme val="none"/>
      </x:font>
      <x:numFmt numFmtId="0" formatCode="General"/>
      <x:fill>
        <x:patternFill patternType="lightGray">
          <x:fgColor rgb="FFFFFF99"/>
          <x:bgColor indexed="65"/>
        </x:patternFill>
      </x:fill>
      <x:border>
        <x:left/>
        <x:right/>
        <x:top style="thin">
          <x:color indexed="64"/>
        </x:top>
        <x:bottom style="thin">
          <x:color indexed="64"/>
        </x:bottom>
      </x:border>
    </x:dxf>
    <x:dxf>
      <x:font>
        <x:u val="none"/>
        <x:sz val="24"/>
        <x:color auto="1"/>
        <x:name val="HG丸ｺﾞｼｯｸM-PRO"/>
        <x:scheme val="none"/>
      </x:font>
      <x:fill>
        <x:patternFill patternType="lightGray">
          <x:fgColor rgb="FFFFFF99"/>
          <x:bgColor indexed="65"/>
        </x:patternFill>
      </x:fill>
      <x:border>
        <x:left/>
        <x:right style="thick">
          <x:color indexed="64"/>
        </x:right>
        <x:top/>
        <x:bottom/>
      </x:border>
    </x:dxf>
    <x:dxf>
      <x:font>
        <x:u val="none"/>
        <x:sz val="24"/>
        <x:color indexed="8"/>
        <x:name val="HG丸ｺﾞｼｯｸM-PRO"/>
        <x:scheme val="none"/>
      </x:font>
      <x:numFmt numFmtId="176" formatCode="0.00_);[Red]\(0.00\)"/>
      <x:fill>
        <x:patternFill patternType="solid">
          <x:bgColor indexed="65"/>
        </x:patternFill>
      </x:fill>
      <x:border>
        <x:left/>
        <x:right/>
        <x:top style="thin">
          <x:color indexed="64"/>
        </x:top>
        <x:bottom style="thin">
          <x:color indexed="64"/>
        </x:bottom>
      </x:border>
    </x:dxf>
    <x:dxf>
      <x:font>
        <x:u val="none"/>
        <x:sz val="24"/>
        <x:color indexed="8"/>
        <x:name val="HG丸ｺﾞｼｯｸM-PRO"/>
        <x:scheme val="none"/>
      </x:font>
      <x:numFmt numFmtId="0" formatCode="General"/>
      <x:fill>
        <x:patternFill patternType="solid">
          <x:bgColor indexed="65"/>
        </x:patternFill>
      </x:fill>
      <x:border>
        <x:left/>
        <x:right/>
        <x:top style="thin">
          <x:color indexed="64"/>
        </x:top>
        <x:bottom style="thin">
          <x:color indexed="64"/>
        </x:bottom>
      </x:border>
    </x:dxf>
    <x:dxf>
      <x:font>
        <x:u val="none"/>
        <x:sz val="24"/>
        <x:color indexed="8"/>
        <x:name val="HG丸ｺﾞｼｯｸM-PRO"/>
        <x:scheme val="none"/>
      </x:font>
      <x:numFmt numFmtId="176" formatCode="0.00_);[Red]\(0.00\)"/>
      <x:fill>
        <x:patternFill patternType="solid">
          <x:bgColor indexed="65"/>
        </x:patternFill>
      </x:fill>
      <x:border>
        <x:left style="dotted">
          <x:color indexed="64"/>
        </x:left>
        <x:right style="double">
          <x:color indexed="64"/>
        </x:right>
        <x:top style="thin">
          <x:color indexed="64"/>
        </x:top>
        <x:bottom style="thin">
          <x:color indexed="64"/>
        </x:bottom>
      </x:border>
    </x:dxf>
    <x:dxf>
      <x:font>
        <x:u val="none"/>
        <x:sz val="24"/>
        <x:color indexed="8"/>
        <x:name val="HG丸ｺﾞｼｯｸM-PRO"/>
        <x:scheme val="none"/>
      </x:font>
      <x:fill>
        <x:patternFill patternType="lightGray">
          <x:fgColor rgb="FFFFFF99"/>
          <x:bgColor indexed="65"/>
        </x:patternFill>
      </x:fill>
      <x:border>
        <x:left style="dotted">
          <x:color indexed="64"/>
        </x:left>
        <x:right style="dotted">
          <x:color indexed="64"/>
        </x:right>
        <x:top style="thin">
          <x:color indexed="64"/>
        </x:top>
        <x:bottom style="thin">
          <x:color indexed="64"/>
        </x:bottom>
      </x:border>
    </x:dxf>
    <x:dxf>
      <x:font>
        <x:u val="none"/>
        <x:sz val="24"/>
        <x:color indexed="8"/>
        <x:name val="HG丸ｺﾞｼｯｸM-PRO"/>
        <x:scheme val="none"/>
      </x:font>
      <x:fill>
        <x:patternFill patternType="lightGray">
          <x:fgColor rgb="FFFFFF99"/>
          <x:bgColor indexed="65"/>
        </x:patternFill>
      </x:fill>
      <x:border>
        <x:left style="dotted">
          <x:color indexed="64"/>
        </x:left>
        <x:right style="dotted">
          <x:color indexed="64"/>
        </x:right>
        <x:top style="thin">
          <x:color indexed="64"/>
        </x:top>
        <x:bottom style="thin">
          <x:color indexed="64"/>
        </x:bottom>
      </x:border>
    </x:dxf>
    <x:dxf>
      <x:font>
        <x:u val="none"/>
        <x:sz val="24"/>
        <x:color indexed="8"/>
        <x:name val="HG丸ｺﾞｼｯｸM-PRO"/>
        <x:scheme val="none"/>
      </x:font>
      <x:fill>
        <x:patternFill patternType="lightGray">
          <x:fgColor rgb="FFFFFF99"/>
          <x:bgColor indexed="65"/>
        </x:patternFill>
      </x:fill>
      <x:border>
        <x:left style="dotted">
          <x:color indexed="64"/>
        </x:left>
        <x:right style="dotted">
          <x:color indexed="64"/>
        </x:right>
        <x:top style="thin">
          <x:color indexed="64"/>
        </x:top>
        <x:bottom style="thin">
          <x:color indexed="64"/>
        </x:bottom>
      </x:border>
    </x:dxf>
    <x:dxf>
      <x:font>
        <x:u val="none"/>
        <x:sz val="24"/>
        <x:color indexed="8"/>
        <x:name val="HG丸ｺﾞｼｯｸM-PRO"/>
        <x:scheme val="none"/>
      </x:font>
      <x:fill>
        <x:patternFill patternType="solid">
          <x:bgColor indexed="65"/>
        </x:patternFill>
      </x:fill>
      <x:border>
        <x:left style="thin">
          <x:color indexed="64"/>
        </x:left>
        <x:right style="dotted">
          <x:color indexed="64"/>
        </x:right>
        <x:top style="thin">
          <x:color indexed="64"/>
        </x:top>
        <x:bottom style="thin">
          <x:color indexed="64"/>
        </x:bottom>
      </x:border>
    </x:dxf>
    <x:dxf>
      <x:font>
        <x:u val="none"/>
        <x:sz val="24"/>
        <x:color indexed="8"/>
        <x:name val="HG丸ｺﾞｼｯｸM-PRO"/>
        <x:scheme val="none"/>
      </x:font>
      <x:fill>
        <x:patternFill patternType="solid">
          <x:bgColor indexed="65"/>
        </x:patternFill>
      </x:fill>
      <x:border>
        <x:left/>
        <x:right/>
        <x:top style="thin">
          <x:color indexed="64"/>
        </x:top>
        <x:bottom style="thin">
          <x:color indexed="64"/>
        </x:bottom>
      </x:border>
    </x:dxf>
    <x:dxf>
      <x:font>
        <x:u val="none"/>
        <x:sz val="24"/>
        <x:color indexed="8"/>
        <x:name val="HG丸ｺﾞｼｯｸM-PRO"/>
        <x:scheme val="none"/>
      </x:font>
      <x:fill>
        <x:patternFill patternType="solid">
          <x:bgColor indexed="65"/>
        </x:patternFill>
      </x:fill>
      <x:border>
        <x:left/>
        <x:right/>
        <x:top style="thin">
          <x:color indexed="64"/>
        </x:top>
        <x:bottom style="thin">
          <x:color indexed="64"/>
        </x:bottom>
      </x:border>
    </x:dxf>
    <x:dxf>
      <x:font>
        <x:u val="none"/>
        <x:sz val="24"/>
        <x:color indexed="8"/>
        <x:name val="HG丸ｺﾞｼｯｸM-PRO"/>
        <x:scheme val="none"/>
      </x:font>
      <x:fill>
        <x:patternFill patternType="solid">
          <x:bgColor indexed="65"/>
        </x:patternFill>
      </x:fill>
      <x:border>
        <x:left/>
        <x:right/>
        <x:top style="thin">
          <x:color indexed="64"/>
        </x:top>
        <x:bottom style="thin">
          <x:color indexed="64"/>
        </x:bottom>
      </x:border>
    </x:dxf>
    <x:dxf>
      <x:font>
        <x:u val="none"/>
        <x:sz val="24"/>
        <x:color indexed="8"/>
        <x:name val="HG丸ｺﾞｼｯｸM-PRO"/>
        <x:scheme val="none"/>
      </x:font>
      <x:fill>
        <x:patternFill patternType="solid">
          <x:bgColor indexed="65"/>
        </x:patternFill>
      </x:fill>
      <x:border>
        <x:left style="thick">
          <x:color indexed="64"/>
        </x:left>
        <x:right style="thin">
          <x:color indexed="64"/>
        </x:right>
        <x:top style="thin">
          <x:color indexed="64"/>
        </x:top>
        <x:bottom style="double">
          <x:color indexed="64"/>
        </x:bottom>
      </x:border>
    </x:dxf>
    <x:dxf>
      <x:border>
        <x:right style="thick">
          <x:color indexed="64"/>
        </x:right>
        <x:top style="thick">
          <x:color indexed="64"/>
        </x:top>
        <x:bottom style="thick">
          <x:color indexed="64"/>
        </x:bottom>
      </x:border>
    </x:dxf>
    <x:dxf>
      <x:font>
        <x:u val="none"/>
        <x:sz val="18"/>
        <x:color indexed="8"/>
        <x:name val="HG丸ｺﾞｼｯｸM-PRO"/>
        <x:scheme val="none"/>
      </x:font>
      <x:numFmt numFmtId="176" formatCode="0.00_);[Red]\(0.00\)"/>
      <x:fill>
        <x:patternFill patternType="solid">
          <x:bgColor indexed="65"/>
        </x:patternFill>
      </x:fill>
    </x:dxf>
    <x:dxf>
      <x:font>
        <x:sz val="28"/>
      </x:font>
    </x:dxf>
    <x:dxf>
      <x:font>
        <x:sz val="18"/>
      </x:font>
      <x:fill>
        <x:patternFill>
          <x:bgColor auto="1"/>
        </x:patternFill>
      </x:fill>
    </x:dxf>
    <x:dxf>
      <x:font>
        <x:b/>
        <x:color theme="1"/>
      </x:font>
      <x:border>
        <x:bottom style="thin">
          <x:color theme="4"/>
        </x:bottom>
      </x:border>
    </x:dxf>
    <x:dxf>
      <x:font>
        <x:sz val="48"/>
        <x:color theme="1"/>
      </x:font>
      <x:border>
        <x:left style="thin">
          <x:color theme="4"/>
        </x:left>
        <x:right style="thin">
          <x:color theme="4"/>
        </x:right>
        <x:top style="thin">
          <x:color theme="4"/>
        </x:top>
        <x:bottom style="thin">
          <x:color theme="4"/>
        </x:bottom>
      </x:border>
    </x:dxf>
    <x:dxf>
      <x:font>
        <x:b/>
        <x:color theme="1"/>
      </x:font>
      <x:border>
        <x:bottom style="thin">
          <x:color theme="4"/>
        </x:bottom>
      </x:border>
    </x:dxf>
    <x:dxf>
      <x:font>
        <x:sz val="22"/>
        <x:color theme="1"/>
      </x:font>
      <x:border>
        <x:left style="thin">
          <x:color theme="4"/>
        </x:left>
        <x:right style="thin">
          <x:color theme="4"/>
        </x:right>
        <x:top style="thin">
          <x:color theme="4"/>
        </x:top>
        <x:bottom style="thin">
          <x:color theme="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36f6165840c74a92" /><Relationship Type="http://schemas.openxmlformats.org/officeDocument/2006/relationships/theme" Target="/xl/theme/theme1.xml" Id="R04d2c50936e6469d" /><Relationship Type="http://schemas.openxmlformats.org/officeDocument/2006/relationships/sharedStrings" Target="/xl/sharedStrings.xml" Id="Rf317fd0a90e742fa" /><Relationship Type="http://schemas.openxmlformats.org/officeDocument/2006/relationships/worksheet" Target="/xl/worksheets/sheet1.xml" Id="R72d2baa0f5aa40c4" /><Relationship Type="http://schemas.openxmlformats.org/officeDocument/2006/relationships/worksheet" Target="/xl/worksheets/sheet2.xml" Id="Rb530af4006094393" /><Relationship Type="http://schemas.openxmlformats.org/officeDocument/2006/relationships/worksheet" Target="/xl/worksheets/sheet3.xml" Id="R4b0b238267884e1e" /><Relationship Type="http://schemas.openxmlformats.org/officeDocument/2006/relationships/worksheet" Target="/xl/worksheets/sheet4.xml" Id="R710be938e39c4e2f" /><Relationship Type="http://schemas.openxmlformats.org/officeDocument/2006/relationships/worksheet" Target="/xl/worksheets/sheet5.xml" Id="Rd31f3e7450714304" /><Relationship Type="http://schemas.openxmlformats.org/officeDocument/2006/relationships/worksheet" Target="/xl/worksheets/sheet6.xml" Id="R109e7dc4afba4a21" /><Relationship Type="http://schemas.openxmlformats.org/officeDocument/2006/relationships/worksheet" Target="/xl/worksheets/sheet7.xml" Id="R6d5b45316d594323" /><Relationship Type="http://schemas.openxmlformats.org/officeDocument/2006/relationships/worksheet" Target="/xl/worksheets/sheet8.xml" Id="Rae76f268b9bc4ba5" /></Relationships>
</file>

<file path=xl/drawings/_rels/drawing1.xml.rels>&#65279;<?xml version="1.0" encoding="utf-8"?><Relationships xmlns="http://schemas.openxmlformats.org/package/2006/relationships"><Relationship Type="http://schemas.openxmlformats.org/officeDocument/2006/relationships/image" Target="/xl/media/image.png" Id="Ra1e57e8caeef4b48" /><Relationship Type="http://schemas.openxmlformats.org/officeDocument/2006/relationships/image" Target="/xl/media/image.emf" Id="Ra8c3dfc660ce45e9" /></Relationships>
</file>

<file path=xl/drawings/drawing1.xml><?xml version="1.0" encoding="utf-8"?>
<xdr:wsDr xmlns:xdr="http://schemas.openxmlformats.org/drawingml/2006/spreadsheetDrawing">
  <xdr:twoCellAnchor editAs="oneCell">
    <xdr:from>
      <xdr:col>0</xdr:col>
      <xdr:colOff>85726</xdr:colOff>
      <xdr:row>122</xdr:row>
      <xdr:rowOff>66674</xdr:rowOff>
    </xdr:from>
    <xdr:to>
      <xdr:col>16</xdr:col>
      <xdr:colOff>114300</xdr:colOff>
      <xdr:row>132</xdr:row>
      <xdr:rowOff>76199</xdr:rowOff>
    </xdr:to>
    <xdr:sp>
      <xdr:nvSpPr>
        <xdr:cNvPr id="1" name="楕円 1"/>
        <xdr:cNvSpPr>
          <a:spLocks xmlns:a="http://schemas.openxmlformats.org/drawingml/2006/main" noGrp="1"/>
        </xdr:cNvSpPr>
      </xdr:nvSpPr>
      <xdr:spPr>
        <a:xfrm xmlns:a="http://schemas.openxmlformats.org/drawingml/2006/main">
          <a:off x="85726" y="9363074"/>
          <a:ext cx="2009774" cy="771525"/>
        </a:xfrm>
        <a:prstGeom xmlns:a="http://schemas.openxmlformats.org/drawingml/2006/main" prst="ellipse">
          <a:avLst/>
        </a:prstGeom>
        <a:solidFill xmlns:a="http://schemas.openxmlformats.org/drawingml/2006/main">
          <a:schemeClr val="bg1">
            <a:lumMod val="65000"/>
          </a:schemeClr>
        </a:solidFill>
        <a:ln xmlns:a="http://schemas.openxmlformats.org/drawingml/2006/main">
          <a:noFill/>
        </a:ln>
      </xdr:spPr>
      <x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a:bodyPr xmlns:a="http://schemas.openxmlformats.org/drawingml/2006/main" anchor="ctr"/>
        <a:lstStyle xmlns:a="http://schemas.openxmlformats.org/drawingml/2006/main"/>
        <a:p xmlns:a="http://schemas.openxmlformats.org/drawingml/2006/main">
          <a:pPr algn="ctr">
            <a:buNone/>
          </a:pPr>
          <a:r>
            <a:rPr sz="1600" b="0">
              <a:latin typeface="HG創英角ﾎﾟｯﾌﾟ体"/>
              <a:ea typeface="HG創英角ﾎﾟｯﾌﾟ体"/>
              <a:cs typeface="HG創英角ﾎﾟｯﾌﾟ体"/>
            </a:rPr>
            <a:t>京王の引越</a:t>
          </a:r>
          <a:endParaRPr/>
        </a:p>
      </xdr:txBody>
    </xdr:sp>
    <xdr:clientData/>
  </xdr:twoCellAnchor>
  <xdr:twoCellAnchor editAs="oneCell">
    <xdr:from>
      <xdr:col>15</xdr:col>
      <xdr:colOff>28574</xdr:colOff>
      <xdr:row>121</xdr:row>
      <xdr:rowOff>38100</xdr:rowOff>
    </xdr:from>
    <xdr:to>
      <xdr:col>17</xdr:col>
      <xdr:colOff>38099</xdr:colOff>
      <xdr:row>123</xdr:row>
      <xdr:rowOff>28575</xdr:rowOff>
    </xdr:to>
    <xdr:sp>
      <xdr:nvSpPr>
        <xdr:cNvPr id="2" name="屈折矢印 6"/>
        <xdr:cNvSpPr>
          <a:spLocks xmlns:a="http://schemas.openxmlformats.org/drawingml/2006/main" noGrp="1"/>
        </xdr:cNvSpPr>
      </xdr:nvSpPr>
      <xdr:spPr>
        <a:xfrm xmlns:a="http://schemas.openxmlformats.org/drawingml/2006/main">
          <a:off x="1943099" y="9201150"/>
          <a:ext cx="142875" cy="257175"/>
        </a:xfrm>
        <a:prstGeom xmlns:a="http://schemas.openxmlformats.org/drawingml/2006/main" prst="bentUpArrow">
          <a:avLst/>
        </a:prstGeom>
        <a:solidFill xmlns:a="http://schemas.openxmlformats.org/drawingml/2006/main">
          <a:schemeClr val="bg1">
            <a:lumMod val="65000"/>
          </a:schemeClr>
        </a:solidFill>
        <a:ln xmlns:a="http://schemas.openxmlformats.org/drawingml/2006/main">
          <a:solidFill>
            <a:schemeClr val="bg1">
              <a:lumMod val="65000"/>
            </a:schemeClr>
          </a:solidFill>
        </a:ln>
      </xdr:spPr>
      <x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a:bodyPr xmlns:a="http://schemas.openxmlformats.org/drawingml/2006/main" anchor="t"/>
        <a:lstStyle xmlns:a="http://schemas.openxmlformats.org/drawingml/2006/main"/>
        <a:p xmlns:a="http://schemas.openxmlformats.org/drawingml/2006/main">
          <a:pPr algn="l">
            <a:buNone/>
          </a:pPr>
          <a:endParaRPr/>
        </a:p>
      </xdr:txBody>
    </xdr:sp>
    <xdr:clientData/>
  </xdr:twoCellAnchor>
  <xdr:oneCellAnchor>
    <xdr:from>
      <xdr:col>29</xdr:col>
      <xdr:colOff>28576</xdr:colOff>
      <xdr:row>6</xdr:row>
      <xdr:rowOff>19049</xdr:rowOff>
    </xdr:from>
    <xdr:ext cx="219074" cy="120771"/>
    <xdr:pic>
      <xdr:nvPicPr>
        <xdr:cNvPr id="3" name="/xl/media/image1.png"/>
        <xdr:cNvPicPr>
          <a:picLocks xmlns:a="http://schemas.openxmlformats.org/drawingml/2006/main" noChangeAspect="1"/>
        </xdr:cNvPicPr>
      </xdr:nvPicPr>
      <xdr:blipFill>
        <a:blip xmlns:r="http://schemas.openxmlformats.org/officeDocument/2006/relationships" xmlns:a="http://schemas.openxmlformats.org/drawingml/2006/main" r:embed="Ra1e57e8caeef4b48"/>
        <a:stretch xmlns:a="http://schemas.openxmlformats.org/drawingml/2006/main">
          <a:fillRect/>
        </a:stretch>
      </xdr:blipFill>
      <xdr:spPr>
        <a:prstGeom xmlns:a="http://schemas.openxmlformats.org/drawingml/2006/main" prst="rect"/>
      </xdr:spPr>
    </xdr:pic>
    <xdr:clientData/>
  </xdr:oneCellAnchor>
  <xdr:oneCellAnchor>
    <xdr:from>
      <xdr:col>27</xdr:col>
      <xdr:colOff>76199</xdr:colOff>
      <xdr:row>0</xdr:row>
      <xdr:rowOff>57151</xdr:rowOff>
    </xdr:from>
    <xdr:ext cx="762001" cy="190831"/>
    <xdr:pic>
      <xdr:nvPicPr>
        <xdr:cNvPr id="4" name="/xl/media/image2.emf"/>
        <xdr:cNvPicPr>
          <a:picLocks xmlns:a="http://schemas.openxmlformats.org/drawingml/2006/main" noChangeAspect="1"/>
        </xdr:cNvPicPr>
      </xdr:nvPicPr>
      <xdr:blipFill>
        <a:blip xmlns:r="http://schemas.openxmlformats.org/officeDocument/2006/relationships" xmlns:a="http://schemas.openxmlformats.org/drawingml/2006/main" r:embed="Ra8c3dfc660ce45e9"/>
        <a:stretch xmlns:a="http://schemas.openxmlformats.org/drawingml/2006/main">
          <a:fillRect/>
        </a:stretch>
      </xdr:blipFill>
      <xdr:spPr>
        <a:prstGeom xmlns:a="http://schemas.openxmlformats.org/drawingml/2006/main" prst="rect"/>
      </xdr:spPr>
    </xdr:pic>
    <xdr:clientData/>
  </xdr:oneCellAnchor>
  <xdr:oneCellAnchor>
    <xdr:from>
      <xdr:col>29</xdr:col>
      <xdr:colOff>28576</xdr:colOff>
      <xdr:row>10</xdr:row>
      <xdr:rowOff>19049</xdr:rowOff>
    </xdr:from>
    <xdr:ext cx="219074" cy="120771"/>
    <xdr:pic>
      <xdr:nvPicPr>
        <xdr:cNvPr id="5" name="/xl/media/image1.png"/>
        <xdr:cNvPicPr>
          <a:picLocks xmlns:a="http://schemas.openxmlformats.org/drawingml/2006/main" noChangeAspect="1"/>
        </xdr:cNvPicPr>
      </xdr:nvPicPr>
      <xdr:blipFill>
        <a:blip xmlns:r="http://schemas.openxmlformats.org/officeDocument/2006/relationships" xmlns:a="http://schemas.openxmlformats.org/drawingml/2006/main" r:embed="Ra1e57e8caeef4b48"/>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twoCellAnchor editAs="oneCell">
    <xdr:from>
      <xdr:col>17</xdr:col>
      <xdr:colOff>536864</xdr:colOff>
      <xdr:row>26</xdr:row>
      <xdr:rowOff>34637</xdr:rowOff>
    </xdr:from>
    <xdr:to>
      <xdr:col>23</xdr:col>
      <xdr:colOff>86592</xdr:colOff>
      <xdr:row>29</xdr:row>
      <xdr:rowOff>155865</xdr:rowOff>
    </xdr:to>
    <xdr:sp>
      <xdr:nvSpPr>
        <xdr:cNvPr id="1" name="楕円 1"/>
        <xdr:cNvSpPr>
          <a:spLocks xmlns:a="http://schemas.openxmlformats.org/drawingml/2006/main" noGrp="1"/>
        </xdr:cNvSpPr>
      </xdr:nvSpPr>
      <xdr:spPr>
        <a:xfrm xmlns:a="http://schemas.openxmlformats.org/drawingml/2006/main">
          <a:off x="12814589" y="9940637"/>
          <a:ext cx="3664528" cy="1264228"/>
        </a:xfrm>
        <a:prstGeom xmlns:a="http://schemas.openxmlformats.org/drawingml/2006/main" prst="ellipse">
          <a:avLst/>
        </a:prstGeom>
        <a:solidFill xmlns:a="http://schemas.openxmlformats.org/drawingml/2006/main">
          <a:srgbClr val="002060"/>
        </a:solidFill>
      </xdr:spPr>
      <xdr:style>
        <a:lnRef xmlns:a="http://schemas.openxmlformats.org/drawingml/2006/main" idx="1">
          <a:schemeClr val="accent5"/>
        </a:lnRef>
        <a:fillRef xmlns:a="http://schemas.openxmlformats.org/drawingml/2006/main" idx="3">
          <a:schemeClr val="accent5"/>
        </a:fillRef>
        <a:effectRef xmlns:a="http://schemas.openxmlformats.org/drawingml/2006/main" idx="2">
          <a:schemeClr val="accent5"/>
        </a:effectRef>
        <a:fontRef xmlns:a="http://schemas.openxmlformats.org/drawingml/2006/main" idx="minor">
          <a:schemeClr val="lt1"/>
        </a:fontRef>
      </xdr:style>
      <xdr:txBody>
        <a:bodyPr xmlns:a="http://schemas.openxmlformats.org/drawingml/2006/main" anchor="ctr"/>
        <a:lstStyle xmlns:a="http://schemas.openxmlformats.org/drawingml/2006/main"/>
        <a:p xmlns:a="http://schemas.openxmlformats.org/drawingml/2006/main">
          <a:pPr algn="ctr">
            <a:buNone/>
          </a:pPr>
          <a:r>
            <a:rPr sz="3200" b="1"/>
            <a:t>京王の引越</a:t>
          </a:r>
          <a:endParaRPr/>
        </a:p>
      </xdr:txBody>
    </xdr:sp>
    <xdr:clientData/>
  </xdr:twoCellAnchor>
</xdr:wsDr>
</file>

<file path=xl/tables/table1.xml><?xml version="1.0" encoding="utf-8"?>
<x:table xmlns:x="http://schemas.openxmlformats.org/spreadsheetml/2006/main" id="2" name="テーブル1" displayName="テーブル1" ref="A1:R127">
  <x:autoFilter ref="A1:R127"/>
  <x:tableColumns count="18">
    <x:tableColumn id="1" name="ＮＯ"/>
    <x:tableColumn id="17" name="区分"/>
    <x:tableColumn id="16" name="種類"/>
    <x:tableColumn id="19" name="よくある"/>
    <x:tableColumn id="2" name="品名"/>
    <x:tableColumn id="3" name="高さ　H"/>
    <x:tableColumn id="4" name="長さ　W"/>
    <x:tableColumn id="5" name="奥行　D"/>
    <x:tableColumn id="7" name="ポイント　P"/>
    <x:tableColumn id="8" name="ダンボール"/>
    <x:tableColumn id="18" name="カウント"/>
    <x:tableColumn id="9" name="数量"/>
    <x:tableColumn id="20" name="ダンボール換算数"/>
    <x:tableColumn id="11" name="2T車"/>
    <x:tableColumn id="14" name="2T車L"/>
    <x:tableColumn id="12" name="3T車"/>
    <x:tableColumn id="10" name="4T車"/>
    <x:tableColumn id="6" name="容量㎥"/>
  </x:tableColumns>
  <x:tableStyleInfo name="TableStyleMedium2" showRowStripes="1"/>
</x:table>
</file>

<file path=xl/tables/table2.xml><?xml version="1.0" encoding="utf-8"?>
<x:table xmlns:x="http://schemas.openxmlformats.org/spreadsheetml/2006/main" id="3" name="テーブル3" displayName="テーブル3" ref="A1:A17">
  <x:autoFilter ref="A1:A17"/>
  <x:tableColumns count="1">
    <x:tableColumn id="1" name="見積り者"/>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b6734c5a034dee" /></Relationships>
</file>

<file path=xl/worksheets/_rels/sheet2.xml.rels>&#65279;<?xml version="1.0" encoding="utf-8"?><Relationships xmlns="http://schemas.openxmlformats.org/package/2006/relationships"><Relationship Type="http://schemas.openxmlformats.org/officeDocument/2006/relationships/drawing" Target="/xl/drawings/drawing1.xml" Id="R2f78dcb383f44c4b" /></Relationships>
</file>

<file path=xl/worksheets/_rels/sheet4.xml.rels>&#65279;<?xml version="1.0" encoding="utf-8"?><Relationships xmlns="http://schemas.openxmlformats.org/package/2006/relationships"><Relationship Type="http://schemas.openxmlformats.org/officeDocument/2006/relationships/drawing" Target="/xl/drawings/drawing2.xml" Id="R214c45796fd545a0" /></Relationships>
</file>

<file path=xl/worksheets/_rels/sheet8.xml.rels>&#65279;<?xml version="1.0" encoding="utf-8"?><Relationships xmlns="http://schemas.openxmlformats.org/package/2006/relationships"><Relationship Type="http://schemas.openxmlformats.org/officeDocument/2006/relationships/table" Target="/xl/tables/table2.xml" Id="R18180c1cf3654ce8" /></Relationships>
</file>

<file path=xl/worksheets/sheet1.xml><?xml version="1.0" encoding="utf-8"?>
<x:worksheet xmlns:x="http://schemas.openxmlformats.org/spreadsheetml/2006/main">
  <x:sheetFormatPr defaultRowHeight="13.5"/>
  <x:cols>
    <x:col min="1" max="1" width="12.5" style="185" customWidth="1"/>
    <x:col min="2" max="2" width="17.5" style="185" hidden="1" customWidth="1"/>
    <x:col min="3" max="4" width="16.375" style="185" hidden="1" customWidth="1"/>
    <x:col min="5" max="5" width="53.5" style="242" customWidth="1"/>
    <x:col min="6" max="8" width="16.625" style="185" customWidth="1"/>
    <x:col min="9" max="9" width="22.875" style="203" customWidth="1"/>
    <x:col min="10" max="10" width="22.875" style="220" hidden="1" customWidth="1"/>
    <x:col min="11" max="11" width="14.875" style="245" customWidth="1"/>
    <x:col min="12" max="12" width="18.625" style="243" customWidth="1"/>
    <x:col min="13" max="13" width="20.625" style="220" customWidth="1"/>
    <x:col min="14" max="15" width="17.375" style="243" customWidth="1"/>
    <x:col min="16" max="16" width="17.5" style="243" customWidth="1"/>
    <x:col min="17" max="17" width="17.5" style="243" hidden="1" customWidth="1"/>
    <x:col min="18" max="18" width="25.125" style="243" hidden="1" customWidth="1"/>
    <x:col min="19" max="19" width="17.5" style="185" customWidth="1"/>
    <x:col min="20" max="22" width="17.5" style="202" customWidth="1"/>
    <x:col min="23" max="25" width="17.5" style="185" customWidth="1"/>
    <x:col min="26" max="26" width="13.625" style="185" customWidth="1"/>
    <x:col min="27" max="27" width="12.25" style="185" customWidth="1"/>
    <x:col min="28" max="28" width="11.625" style="185" customWidth="1"/>
    <x:col min="29" max="29" width="12.125" style="185" customWidth="1"/>
    <x:col min="30" max="30" width="12.5" style="185" customWidth="1"/>
    <x:col min="31" max="31" width="15.625" style="185" customWidth="1"/>
    <x:col min="32" max="34" width="15.625" style="202" customWidth="1"/>
    <x:col min="35" max="35" width="15.625" style="172" customWidth="1"/>
    <x:col min="36" max="37" width="15.625" style="185" customWidth="1"/>
    <x:col min="38" max="38" width="8.125" style="185" customWidth="1"/>
    <x:col min="39" max="39" width="21.625" style="185" customWidth="1"/>
    <x:col min="40" max="40" width="13.875" style="203" customWidth="1"/>
    <x:col min="41" max="41" width="13.375" style="205" customWidth="1"/>
    <x:col min="42" max="42" width="14.75" style="185" customWidth="1"/>
    <x:col min="43" max="43" width="13.875" style="185" customWidth="1"/>
    <x:col min="44" max="44" width="18.75" style="185" customWidth="1"/>
    <x:col min="45" max="46" width="12.125" style="185" customWidth="1"/>
    <x:col min="47" max="47" width="7.5" style="185" customWidth="1"/>
    <x:col min="48" max="49" width="12.5" style="185" customWidth="1"/>
    <x:col min="50" max="52" width="10" style="202" customWidth="1"/>
    <x:col min="53" max="54" width="12.5" style="185" customWidth="1"/>
    <x:col min="55" max="250" width="9" style="185" customWidth="0"/>
    <x:col min="251" max="251" width="7.5" style="185" customWidth="1"/>
    <x:col min="252" max="252" width="21.25" style="185" customWidth="1"/>
    <x:col min="253" max="255" width="6.25" style="185" customWidth="1"/>
    <x:col min="256" max="257" width="10" style="185" customWidth="1"/>
    <x:col min="258" max="263" width="7.5" style="185" customWidth="1"/>
    <x:col min="264" max="265" width="12.5" style="185" customWidth="1"/>
    <x:col min="266" max="268" width="10" style="185" customWidth="1"/>
    <x:col min="269" max="269" width="8.75" style="185" customWidth="1"/>
    <x:col min="270" max="270" width="15" style="185" customWidth="1"/>
    <x:col min="271" max="271" width="7.5" style="185" customWidth="1"/>
    <x:col min="272" max="272" width="21.25" style="185" customWidth="1"/>
    <x:col min="273" max="275" width="6.25" style="185" customWidth="1"/>
    <x:col min="276" max="277" width="10" style="185" customWidth="1"/>
    <x:col min="278" max="283" width="7.5" style="185" customWidth="1"/>
    <x:col min="284" max="285" width="12.5" style="185" customWidth="1"/>
    <x:col min="286" max="288" width="10" style="185" customWidth="1"/>
    <x:col min="289" max="289" width="8.75" style="185" customWidth="1"/>
    <x:col min="290" max="290" width="15" style="185" customWidth="1"/>
    <x:col min="291" max="291" width="7.5" style="185" customWidth="1"/>
    <x:col min="292" max="292" width="22.75" style="185" customWidth="1"/>
    <x:col min="293" max="295" width="6.25" style="185" customWidth="1"/>
    <x:col min="296" max="297" width="10" style="185" customWidth="1"/>
    <x:col min="298" max="303" width="7.5" style="185" customWidth="1"/>
    <x:col min="304" max="305" width="12.5" style="185" customWidth="1"/>
    <x:col min="306" max="308" width="10" style="185" customWidth="1"/>
    <x:col min="309" max="310" width="12.5" style="185" customWidth="1"/>
    <x:col min="311" max="506" width="9" style="185" customWidth="0"/>
    <x:col min="507" max="507" width="7.5" style="185" customWidth="1"/>
    <x:col min="508" max="508" width="21.25" style="185" customWidth="1"/>
    <x:col min="509" max="511" width="6.25" style="185" customWidth="1"/>
    <x:col min="512" max="513" width="10" style="185" customWidth="1"/>
    <x:col min="514" max="519" width="7.5" style="185" customWidth="1"/>
    <x:col min="520" max="521" width="12.5" style="185" customWidth="1"/>
    <x:col min="522" max="524" width="10" style="185" customWidth="1"/>
    <x:col min="525" max="525" width="8.75" style="185" customWidth="1"/>
    <x:col min="526" max="526" width="15" style="185" customWidth="1"/>
    <x:col min="527" max="527" width="7.5" style="185" customWidth="1"/>
    <x:col min="528" max="528" width="21.25" style="185" customWidth="1"/>
    <x:col min="529" max="531" width="6.25" style="185" customWidth="1"/>
    <x:col min="532" max="533" width="10" style="185" customWidth="1"/>
    <x:col min="534" max="539" width="7.5" style="185" customWidth="1"/>
    <x:col min="540" max="541" width="12.5" style="185" customWidth="1"/>
    <x:col min="542" max="544" width="10" style="185" customWidth="1"/>
    <x:col min="545" max="545" width="8.75" style="185" customWidth="1"/>
    <x:col min="546" max="546" width="15" style="185" customWidth="1"/>
    <x:col min="547" max="547" width="7.5" style="185" customWidth="1"/>
    <x:col min="548" max="548" width="22.75" style="185" customWidth="1"/>
    <x:col min="549" max="551" width="6.25" style="185" customWidth="1"/>
    <x:col min="552" max="553" width="10" style="185" customWidth="1"/>
    <x:col min="554" max="559" width="7.5" style="185" customWidth="1"/>
    <x:col min="560" max="561" width="12.5" style="185" customWidth="1"/>
    <x:col min="562" max="564" width="10" style="185" customWidth="1"/>
    <x:col min="565" max="566" width="12.5" style="185" customWidth="1"/>
    <x:col min="567" max="762" width="9" style="185" customWidth="0"/>
    <x:col min="763" max="763" width="7.5" style="185" customWidth="1"/>
    <x:col min="764" max="764" width="21.25" style="185" customWidth="1"/>
    <x:col min="765" max="767" width="6.25" style="185" customWidth="1"/>
    <x:col min="768" max="769" width="10" style="185" customWidth="1"/>
    <x:col min="770" max="775" width="7.5" style="185" customWidth="1"/>
    <x:col min="776" max="777" width="12.5" style="185" customWidth="1"/>
    <x:col min="778" max="780" width="10" style="185" customWidth="1"/>
    <x:col min="781" max="781" width="8.75" style="185" customWidth="1"/>
    <x:col min="782" max="782" width="15" style="185" customWidth="1"/>
    <x:col min="783" max="783" width="7.5" style="185" customWidth="1"/>
    <x:col min="784" max="784" width="21.25" style="185" customWidth="1"/>
    <x:col min="785" max="787" width="6.25" style="185" customWidth="1"/>
    <x:col min="788" max="789" width="10" style="185" customWidth="1"/>
    <x:col min="790" max="795" width="7.5" style="185" customWidth="1"/>
    <x:col min="796" max="797" width="12.5" style="185" customWidth="1"/>
    <x:col min="798" max="800" width="10" style="185" customWidth="1"/>
    <x:col min="801" max="801" width="8.75" style="185" customWidth="1"/>
    <x:col min="802" max="802" width="15" style="185" customWidth="1"/>
    <x:col min="803" max="803" width="7.5" style="185" customWidth="1"/>
    <x:col min="804" max="804" width="22.75" style="185" customWidth="1"/>
    <x:col min="805" max="807" width="6.25" style="185" customWidth="1"/>
    <x:col min="808" max="809" width="10" style="185" customWidth="1"/>
    <x:col min="810" max="815" width="7.5" style="185" customWidth="1"/>
    <x:col min="816" max="817" width="12.5" style="185" customWidth="1"/>
    <x:col min="818" max="820" width="10" style="185" customWidth="1"/>
    <x:col min="821" max="822" width="12.5" style="185" customWidth="1"/>
    <x:col min="823" max="1018" width="9" style="185" customWidth="0"/>
    <x:col min="1019" max="1019" width="7.5" style="185" customWidth="1"/>
    <x:col min="1020" max="1020" width="21.25" style="185" customWidth="1"/>
    <x:col min="1021" max="1023" width="6.25" style="185" customWidth="1"/>
    <x:col min="1024" max="1025" width="10" style="185" customWidth="1"/>
    <x:col min="1026" max="1031" width="7.5" style="185" customWidth="1"/>
    <x:col min="1032" max="1033" width="12.5" style="185" customWidth="1"/>
    <x:col min="1034" max="1036" width="10" style="185" customWidth="1"/>
    <x:col min="1037" max="1037" width="8.75" style="185" customWidth="1"/>
    <x:col min="1038" max="1038" width="15" style="185" customWidth="1"/>
    <x:col min="1039" max="1039" width="7.5" style="185" customWidth="1"/>
    <x:col min="1040" max="1040" width="21.25" style="185" customWidth="1"/>
    <x:col min="1041" max="1043" width="6.25" style="185" customWidth="1"/>
    <x:col min="1044" max="1045" width="10" style="185" customWidth="1"/>
    <x:col min="1046" max="1051" width="7.5" style="185" customWidth="1"/>
    <x:col min="1052" max="1053" width="12.5" style="185" customWidth="1"/>
    <x:col min="1054" max="1056" width="10" style="185" customWidth="1"/>
    <x:col min="1057" max="1057" width="8.75" style="185" customWidth="1"/>
    <x:col min="1058" max="1058" width="15" style="185" customWidth="1"/>
    <x:col min="1059" max="1059" width="7.5" style="185" customWidth="1"/>
    <x:col min="1060" max="1060" width="22.75" style="185" customWidth="1"/>
    <x:col min="1061" max="1063" width="6.25" style="185" customWidth="1"/>
    <x:col min="1064" max="1065" width="10" style="185" customWidth="1"/>
    <x:col min="1066" max="1071" width="7.5" style="185" customWidth="1"/>
    <x:col min="1072" max="1073" width="12.5" style="185" customWidth="1"/>
    <x:col min="1074" max="1076" width="10" style="185" customWidth="1"/>
    <x:col min="1077" max="1078" width="12.5" style="185" customWidth="1"/>
    <x:col min="1079" max="1274" width="9" style="185" customWidth="0"/>
    <x:col min="1275" max="1275" width="7.5" style="185" customWidth="1"/>
    <x:col min="1276" max="1276" width="21.25" style="185" customWidth="1"/>
    <x:col min="1277" max="1279" width="6.25" style="185" customWidth="1"/>
    <x:col min="1280" max="1281" width="10" style="185" customWidth="1"/>
    <x:col min="1282" max="1287" width="7.5" style="185" customWidth="1"/>
    <x:col min="1288" max="1289" width="12.5" style="185" customWidth="1"/>
    <x:col min="1290" max="1292" width="10" style="185" customWidth="1"/>
    <x:col min="1293" max="1293" width="8.75" style="185" customWidth="1"/>
    <x:col min="1294" max="1294" width="15" style="185" customWidth="1"/>
    <x:col min="1295" max="1295" width="7.5" style="185" customWidth="1"/>
    <x:col min="1296" max="1296" width="21.25" style="185" customWidth="1"/>
    <x:col min="1297" max="1299" width="6.25" style="185" customWidth="1"/>
    <x:col min="1300" max="1301" width="10" style="185" customWidth="1"/>
    <x:col min="1302" max="1307" width="7.5" style="185" customWidth="1"/>
    <x:col min="1308" max="1309" width="12.5" style="185" customWidth="1"/>
    <x:col min="1310" max="1312" width="10" style="185" customWidth="1"/>
    <x:col min="1313" max="1313" width="8.75" style="185" customWidth="1"/>
    <x:col min="1314" max="1314" width="15" style="185" customWidth="1"/>
    <x:col min="1315" max="1315" width="7.5" style="185" customWidth="1"/>
    <x:col min="1316" max="1316" width="22.75" style="185" customWidth="1"/>
    <x:col min="1317" max="1319" width="6.25" style="185" customWidth="1"/>
    <x:col min="1320" max="1321" width="10" style="185" customWidth="1"/>
    <x:col min="1322" max="1327" width="7.5" style="185" customWidth="1"/>
    <x:col min="1328" max="1329" width="12.5" style="185" customWidth="1"/>
    <x:col min="1330" max="1332" width="10" style="185" customWidth="1"/>
    <x:col min="1333" max="1334" width="12.5" style="185" customWidth="1"/>
    <x:col min="1335" max="1530" width="9" style="185" customWidth="0"/>
    <x:col min="1531" max="1531" width="7.5" style="185" customWidth="1"/>
    <x:col min="1532" max="1532" width="21.25" style="185" customWidth="1"/>
    <x:col min="1533" max="1535" width="6.25" style="185" customWidth="1"/>
    <x:col min="1536" max="1537" width="10" style="185" customWidth="1"/>
    <x:col min="1538" max="1543" width="7.5" style="185" customWidth="1"/>
    <x:col min="1544" max="1545" width="12.5" style="185" customWidth="1"/>
    <x:col min="1546" max="1548" width="10" style="185" customWidth="1"/>
    <x:col min="1549" max="1549" width="8.75" style="185" customWidth="1"/>
    <x:col min="1550" max="1550" width="15" style="185" customWidth="1"/>
    <x:col min="1551" max="1551" width="7.5" style="185" customWidth="1"/>
    <x:col min="1552" max="1552" width="21.25" style="185" customWidth="1"/>
    <x:col min="1553" max="1555" width="6.25" style="185" customWidth="1"/>
    <x:col min="1556" max="1557" width="10" style="185" customWidth="1"/>
    <x:col min="1558" max="1563" width="7.5" style="185" customWidth="1"/>
    <x:col min="1564" max="1565" width="12.5" style="185" customWidth="1"/>
    <x:col min="1566" max="1568" width="10" style="185" customWidth="1"/>
    <x:col min="1569" max="1569" width="8.75" style="185" customWidth="1"/>
    <x:col min="1570" max="1570" width="15" style="185" customWidth="1"/>
    <x:col min="1571" max="1571" width="7.5" style="185" customWidth="1"/>
    <x:col min="1572" max="1572" width="22.75" style="185" customWidth="1"/>
    <x:col min="1573" max="1575" width="6.25" style="185" customWidth="1"/>
    <x:col min="1576" max="1577" width="10" style="185" customWidth="1"/>
    <x:col min="1578" max="1583" width="7.5" style="185" customWidth="1"/>
    <x:col min="1584" max="1585" width="12.5" style="185" customWidth="1"/>
    <x:col min="1586" max="1588" width="10" style="185" customWidth="1"/>
    <x:col min="1589" max="1590" width="12.5" style="185" customWidth="1"/>
    <x:col min="1591" max="1786" width="9" style="185" customWidth="0"/>
    <x:col min="1787" max="1787" width="7.5" style="185" customWidth="1"/>
    <x:col min="1788" max="1788" width="21.25" style="185" customWidth="1"/>
    <x:col min="1789" max="1791" width="6.25" style="185" customWidth="1"/>
    <x:col min="1792" max="1793" width="10" style="185" customWidth="1"/>
    <x:col min="1794" max="1799" width="7.5" style="185" customWidth="1"/>
    <x:col min="1800" max="1801" width="12.5" style="185" customWidth="1"/>
    <x:col min="1802" max="1804" width="10" style="185" customWidth="1"/>
    <x:col min="1805" max="1805" width="8.75" style="185" customWidth="1"/>
    <x:col min="1806" max="1806" width="15" style="185" customWidth="1"/>
    <x:col min="1807" max="1807" width="7.5" style="185" customWidth="1"/>
    <x:col min="1808" max="1808" width="21.25" style="185" customWidth="1"/>
    <x:col min="1809" max="1811" width="6.25" style="185" customWidth="1"/>
    <x:col min="1812" max="1813" width="10" style="185" customWidth="1"/>
    <x:col min="1814" max="1819" width="7.5" style="185" customWidth="1"/>
    <x:col min="1820" max="1821" width="12.5" style="185" customWidth="1"/>
    <x:col min="1822" max="1824" width="10" style="185" customWidth="1"/>
    <x:col min="1825" max="1825" width="8.75" style="185" customWidth="1"/>
    <x:col min="1826" max="1826" width="15" style="185" customWidth="1"/>
    <x:col min="1827" max="1827" width="7.5" style="185" customWidth="1"/>
    <x:col min="1828" max="1828" width="22.75" style="185" customWidth="1"/>
    <x:col min="1829" max="1831" width="6.25" style="185" customWidth="1"/>
    <x:col min="1832" max="1833" width="10" style="185" customWidth="1"/>
    <x:col min="1834" max="1839" width="7.5" style="185" customWidth="1"/>
    <x:col min="1840" max="1841" width="12.5" style="185" customWidth="1"/>
    <x:col min="1842" max="1844" width="10" style="185" customWidth="1"/>
    <x:col min="1845" max="1846" width="12.5" style="185" customWidth="1"/>
    <x:col min="1847" max="2042" width="9" style="185" customWidth="0"/>
    <x:col min="2043" max="2043" width="7.5" style="185" customWidth="1"/>
    <x:col min="2044" max="2044" width="21.25" style="185" customWidth="1"/>
    <x:col min="2045" max="2047" width="6.25" style="185" customWidth="1"/>
    <x:col min="2048" max="2049" width="10" style="185" customWidth="1"/>
    <x:col min="2050" max="2055" width="7.5" style="185" customWidth="1"/>
    <x:col min="2056" max="2057" width="12.5" style="185" customWidth="1"/>
    <x:col min="2058" max="2060" width="10" style="185" customWidth="1"/>
    <x:col min="2061" max="2061" width="8.75" style="185" customWidth="1"/>
    <x:col min="2062" max="2062" width="15" style="185" customWidth="1"/>
    <x:col min="2063" max="2063" width="7.5" style="185" customWidth="1"/>
    <x:col min="2064" max="2064" width="21.25" style="185" customWidth="1"/>
    <x:col min="2065" max="2067" width="6.25" style="185" customWidth="1"/>
    <x:col min="2068" max="2069" width="10" style="185" customWidth="1"/>
    <x:col min="2070" max="2075" width="7.5" style="185" customWidth="1"/>
    <x:col min="2076" max="2077" width="12.5" style="185" customWidth="1"/>
    <x:col min="2078" max="2080" width="10" style="185" customWidth="1"/>
    <x:col min="2081" max="2081" width="8.75" style="185" customWidth="1"/>
    <x:col min="2082" max="2082" width="15" style="185" customWidth="1"/>
    <x:col min="2083" max="2083" width="7.5" style="185" customWidth="1"/>
    <x:col min="2084" max="2084" width="22.75" style="185" customWidth="1"/>
    <x:col min="2085" max="2087" width="6.25" style="185" customWidth="1"/>
    <x:col min="2088" max="2089" width="10" style="185" customWidth="1"/>
    <x:col min="2090" max="2095" width="7.5" style="185" customWidth="1"/>
    <x:col min="2096" max="2097" width="12.5" style="185" customWidth="1"/>
    <x:col min="2098" max="2100" width="10" style="185" customWidth="1"/>
    <x:col min="2101" max="2102" width="12.5" style="185" customWidth="1"/>
    <x:col min="2103" max="2298" width="9" style="185" customWidth="0"/>
    <x:col min="2299" max="2299" width="7.5" style="185" customWidth="1"/>
    <x:col min="2300" max="2300" width="21.25" style="185" customWidth="1"/>
    <x:col min="2301" max="2303" width="6.25" style="185" customWidth="1"/>
    <x:col min="2304" max="2305" width="10" style="185" customWidth="1"/>
    <x:col min="2306" max="2311" width="7.5" style="185" customWidth="1"/>
    <x:col min="2312" max="2313" width="12.5" style="185" customWidth="1"/>
    <x:col min="2314" max="2316" width="10" style="185" customWidth="1"/>
    <x:col min="2317" max="2317" width="8.75" style="185" customWidth="1"/>
    <x:col min="2318" max="2318" width="15" style="185" customWidth="1"/>
    <x:col min="2319" max="2319" width="7.5" style="185" customWidth="1"/>
    <x:col min="2320" max="2320" width="21.25" style="185" customWidth="1"/>
    <x:col min="2321" max="2323" width="6.25" style="185" customWidth="1"/>
    <x:col min="2324" max="2325" width="10" style="185" customWidth="1"/>
    <x:col min="2326" max="2331" width="7.5" style="185" customWidth="1"/>
    <x:col min="2332" max="2333" width="12.5" style="185" customWidth="1"/>
    <x:col min="2334" max="2336" width="10" style="185" customWidth="1"/>
    <x:col min="2337" max="2337" width="8.75" style="185" customWidth="1"/>
    <x:col min="2338" max="2338" width="15" style="185" customWidth="1"/>
    <x:col min="2339" max="2339" width="7.5" style="185" customWidth="1"/>
    <x:col min="2340" max="2340" width="22.75" style="185" customWidth="1"/>
    <x:col min="2341" max="2343" width="6.25" style="185" customWidth="1"/>
    <x:col min="2344" max="2345" width="10" style="185" customWidth="1"/>
    <x:col min="2346" max="2351" width="7.5" style="185" customWidth="1"/>
    <x:col min="2352" max="2353" width="12.5" style="185" customWidth="1"/>
    <x:col min="2354" max="2356" width="10" style="185" customWidth="1"/>
    <x:col min="2357" max="2358" width="12.5" style="185" customWidth="1"/>
    <x:col min="2359" max="2554" width="9" style="185" customWidth="0"/>
    <x:col min="2555" max="2555" width="7.5" style="185" customWidth="1"/>
    <x:col min="2556" max="2556" width="21.25" style="185" customWidth="1"/>
    <x:col min="2557" max="2559" width="6.25" style="185" customWidth="1"/>
    <x:col min="2560" max="2561" width="10" style="185" customWidth="1"/>
    <x:col min="2562" max="2567" width="7.5" style="185" customWidth="1"/>
    <x:col min="2568" max="2569" width="12.5" style="185" customWidth="1"/>
    <x:col min="2570" max="2572" width="10" style="185" customWidth="1"/>
    <x:col min="2573" max="2573" width="8.75" style="185" customWidth="1"/>
    <x:col min="2574" max="2574" width="15" style="185" customWidth="1"/>
    <x:col min="2575" max="2575" width="7.5" style="185" customWidth="1"/>
    <x:col min="2576" max="2576" width="21.25" style="185" customWidth="1"/>
    <x:col min="2577" max="2579" width="6.25" style="185" customWidth="1"/>
    <x:col min="2580" max="2581" width="10" style="185" customWidth="1"/>
    <x:col min="2582" max="2587" width="7.5" style="185" customWidth="1"/>
    <x:col min="2588" max="2589" width="12.5" style="185" customWidth="1"/>
    <x:col min="2590" max="2592" width="10" style="185" customWidth="1"/>
    <x:col min="2593" max="2593" width="8.75" style="185" customWidth="1"/>
    <x:col min="2594" max="2594" width="15" style="185" customWidth="1"/>
    <x:col min="2595" max="2595" width="7.5" style="185" customWidth="1"/>
    <x:col min="2596" max="2596" width="22.75" style="185" customWidth="1"/>
    <x:col min="2597" max="2599" width="6.25" style="185" customWidth="1"/>
    <x:col min="2600" max="2601" width="10" style="185" customWidth="1"/>
    <x:col min="2602" max="2607" width="7.5" style="185" customWidth="1"/>
    <x:col min="2608" max="2609" width="12.5" style="185" customWidth="1"/>
    <x:col min="2610" max="2612" width="10" style="185" customWidth="1"/>
    <x:col min="2613" max="2614" width="12.5" style="185" customWidth="1"/>
    <x:col min="2615" max="2810" width="9" style="185" customWidth="0"/>
    <x:col min="2811" max="2811" width="7.5" style="185" customWidth="1"/>
    <x:col min="2812" max="2812" width="21.25" style="185" customWidth="1"/>
    <x:col min="2813" max="2815" width="6.25" style="185" customWidth="1"/>
    <x:col min="2816" max="2817" width="10" style="185" customWidth="1"/>
    <x:col min="2818" max="2823" width="7.5" style="185" customWidth="1"/>
    <x:col min="2824" max="2825" width="12.5" style="185" customWidth="1"/>
    <x:col min="2826" max="2828" width="10" style="185" customWidth="1"/>
    <x:col min="2829" max="2829" width="8.75" style="185" customWidth="1"/>
    <x:col min="2830" max="2830" width="15" style="185" customWidth="1"/>
    <x:col min="2831" max="2831" width="7.5" style="185" customWidth="1"/>
    <x:col min="2832" max="2832" width="21.25" style="185" customWidth="1"/>
    <x:col min="2833" max="2835" width="6.25" style="185" customWidth="1"/>
    <x:col min="2836" max="2837" width="10" style="185" customWidth="1"/>
    <x:col min="2838" max="2843" width="7.5" style="185" customWidth="1"/>
    <x:col min="2844" max="2845" width="12.5" style="185" customWidth="1"/>
    <x:col min="2846" max="2848" width="10" style="185" customWidth="1"/>
    <x:col min="2849" max="2849" width="8.75" style="185" customWidth="1"/>
    <x:col min="2850" max="2850" width="15" style="185" customWidth="1"/>
    <x:col min="2851" max="2851" width="7.5" style="185" customWidth="1"/>
    <x:col min="2852" max="2852" width="22.75" style="185" customWidth="1"/>
    <x:col min="2853" max="2855" width="6.25" style="185" customWidth="1"/>
    <x:col min="2856" max="2857" width="10" style="185" customWidth="1"/>
    <x:col min="2858" max="2863" width="7.5" style="185" customWidth="1"/>
    <x:col min="2864" max="2865" width="12.5" style="185" customWidth="1"/>
    <x:col min="2866" max="2868" width="10" style="185" customWidth="1"/>
    <x:col min="2869" max="2870" width="12.5" style="185" customWidth="1"/>
    <x:col min="2871" max="3066" width="9" style="185" customWidth="0"/>
    <x:col min="3067" max="3067" width="7.5" style="185" customWidth="1"/>
    <x:col min="3068" max="3068" width="21.25" style="185" customWidth="1"/>
    <x:col min="3069" max="3071" width="6.25" style="185" customWidth="1"/>
    <x:col min="3072" max="3073" width="10" style="185" customWidth="1"/>
    <x:col min="3074" max="3079" width="7.5" style="185" customWidth="1"/>
    <x:col min="3080" max="3081" width="12.5" style="185" customWidth="1"/>
    <x:col min="3082" max="3084" width="10" style="185" customWidth="1"/>
    <x:col min="3085" max="3085" width="8.75" style="185" customWidth="1"/>
    <x:col min="3086" max="3086" width="15" style="185" customWidth="1"/>
    <x:col min="3087" max="3087" width="7.5" style="185" customWidth="1"/>
    <x:col min="3088" max="3088" width="21.25" style="185" customWidth="1"/>
    <x:col min="3089" max="3091" width="6.25" style="185" customWidth="1"/>
    <x:col min="3092" max="3093" width="10" style="185" customWidth="1"/>
    <x:col min="3094" max="3099" width="7.5" style="185" customWidth="1"/>
    <x:col min="3100" max="3101" width="12.5" style="185" customWidth="1"/>
    <x:col min="3102" max="3104" width="10" style="185" customWidth="1"/>
    <x:col min="3105" max="3105" width="8.75" style="185" customWidth="1"/>
    <x:col min="3106" max="3106" width="15" style="185" customWidth="1"/>
    <x:col min="3107" max="3107" width="7.5" style="185" customWidth="1"/>
    <x:col min="3108" max="3108" width="22.75" style="185" customWidth="1"/>
    <x:col min="3109" max="3111" width="6.25" style="185" customWidth="1"/>
    <x:col min="3112" max="3113" width="10" style="185" customWidth="1"/>
    <x:col min="3114" max="3119" width="7.5" style="185" customWidth="1"/>
    <x:col min="3120" max="3121" width="12.5" style="185" customWidth="1"/>
    <x:col min="3122" max="3124" width="10" style="185" customWidth="1"/>
    <x:col min="3125" max="3126" width="12.5" style="185" customWidth="1"/>
    <x:col min="3127" max="3322" width="9" style="185" customWidth="0"/>
    <x:col min="3323" max="3323" width="7.5" style="185" customWidth="1"/>
    <x:col min="3324" max="3324" width="21.25" style="185" customWidth="1"/>
    <x:col min="3325" max="3327" width="6.25" style="185" customWidth="1"/>
    <x:col min="3328" max="3329" width="10" style="185" customWidth="1"/>
    <x:col min="3330" max="3335" width="7.5" style="185" customWidth="1"/>
    <x:col min="3336" max="3337" width="12.5" style="185" customWidth="1"/>
    <x:col min="3338" max="3340" width="10" style="185" customWidth="1"/>
    <x:col min="3341" max="3341" width="8.75" style="185" customWidth="1"/>
    <x:col min="3342" max="3342" width="15" style="185" customWidth="1"/>
    <x:col min="3343" max="3343" width="7.5" style="185" customWidth="1"/>
    <x:col min="3344" max="3344" width="21.25" style="185" customWidth="1"/>
    <x:col min="3345" max="3347" width="6.25" style="185" customWidth="1"/>
    <x:col min="3348" max="3349" width="10" style="185" customWidth="1"/>
    <x:col min="3350" max="3355" width="7.5" style="185" customWidth="1"/>
    <x:col min="3356" max="3357" width="12.5" style="185" customWidth="1"/>
    <x:col min="3358" max="3360" width="10" style="185" customWidth="1"/>
    <x:col min="3361" max="3361" width="8.75" style="185" customWidth="1"/>
    <x:col min="3362" max="3362" width="15" style="185" customWidth="1"/>
    <x:col min="3363" max="3363" width="7.5" style="185" customWidth="1"/>
    <x:col min="3364" max="3364" width="22.75" style="185" customWidth="1"/>
    <x:col min="3365" max="3367" width="6.25" style="185" customWidth="1"/>
    <x:col min="3368" max="3369" width="10" style="185" customWidth="1"/>
    <x:col min="3370" max="3375" width="7.5" style="185" customWidth="1"/>
    <x:col min="3376" max="3377" width="12.5" style="185" customWidth="1"/>
    <x:col min="3378" max="3380" width="10" style="185" customWidth="1"/>
    <x:col min="3381" max="3382" width="12.5" style="185" customWidth="1"/>
    <x:col min="3383" max="3578" width="9" style="185" customWidth="0"/>
    <x:col min="3579" max="3579" width="7.5" style="185" customWidth="1"/>
    <x:col min="3580" max="3580" width="21.25" style="185" customWidth="1"/>
    <x:col min="3581" max="3583" width="6.25" style="185" customWidth="1"/>
    <x:col min="3584" max="3585" width="10" style="185" customWidth="1"/>
    <x:col min="3586" max="3591" width="7.5" style="185" customWidth="1"/>
    <x:col min="3592" max="3593" width="12.5" style="185" customWidth="1"/>
    <x:col min="3594" max="3596" width="10" style="185" customWidth="1"/>
    <x:col min="3597" max="3597" width="8.75" style="185" customWidth="1"/>
    <x:col min="3598" max="3598" width="15" style="185" customWidth="1"/>
    <x:col min="3599" max="3599" width="7.5" style="185" customWidth="1"/>
    <x:col min="3600" max="3600" width="21.25" style="185" customWidth="1"/>
    <x:col min="3601" max="3603" width="6.25" style="185" customWidth="1"/>
    <x:col min="3604" max="3605" width="10" style="185" customWidth="1"/>
    <x:col min="3606" max="3611" width="7.5" style="185" customWidth="1"/>
    <x:col min="3612" max="3613" width="12.5" style="185" customWidth="1"/>
    <x:col min="3614" max="3616" width="10" style="185" customWidth="1"/>
    <x:col min="3617" max="3617" width="8.75" style="185" customWidth="1"/>
    <x:col min="3618" max="3618" width="15" style="185" customWidth="1"/>
    <x:col min="3619" max="3619" width="7.5" style="185" customWidth="1"/>
    <x:col min="3620" max="3620" width="22.75" style="185" customWidth="1"/>
    <x:col min="3621" max="3623" width="6.25" style="185" customWidth="1"/>
    <x:col min="3624" max="3625" width="10" style="185" customWidth="1"/>
    <x:col min="3626" max="3631" width="7.5" style="185" customWidth="1"/>
    <x:col min="3632" max="3633" width="12.5" style="185" customWidth="1"/>
    <x:col min="3634" max="3636" width="10" style="185" customWidth="1"/>
    <x:col min="3637" max="3638" width="12.5" style="185" customWidth="1"/>
    <x:col min="3639" max="3834" width="9" style="185" customWidth="0"/>
    <x:col min="3835" max="3835" width="7.5" style="185" customWidth="1"/>
    <x:col min="3836" max="3836" width="21.25" style="185" customWidth="1"/>
    <x:col min="3837" max="3839" width="6.25" style="185" customWidth="1"/>
    <x:col min="3840" max="3841" width="10" style="185" customWidth="1"/>
    <x:col min="3842" max="3847" width="7.5" style="185" customWidth="1"/>
    <x:col min="3848" max="3849" width="12.5" style="185" customWidth="1"/>
    <x:col min="3850" max="3852" width="10" style="185" customWidth="1"/>
    <x:col min="3853" max="3853" width="8.75" style="185" customWidth="1"/>
    <x:col min="3854" max="3854" width="15" style="185" customWidth="1"/>
    <x:col min="3855" max="3855" width="7.5" style="185" customWidth="1"/>
    <x:col min="3856" max="3856" width="21.25" style="185" customWidth="1"/>
    <x:col min="3857" max="3859" width="6.25" style="185" customWidth="1"/>
    <x:col min="3860" max="3861" width="10" style="185" customWidth="1"/>
    <x:col min="3862" max="3867" width="7.5" style="185" customWidth="1"/>
    <x:col min="3868" max="3869" width="12.5" style="185" customWidth="1"/>
    <x:col min="3870" max="3872" width="10" style="185" customWidth="1"/>
    <x:col min="3873" max="3873" width="8.75" style="185" customWidth="1"/>
    <x:col min="3874" max="3874" width="15" style="185" customWidth="1"/>
    <x:col min="3875" max="3875" width="7.5" style="185" customWidth="1"/>
    <x:col min="3876" max="3876" width="22.75" style="185" customWidth="1"/>
    <x:col min="3877" max="3879" width="6.25" style="185" customWidth="1"/>
    <x:col min="3880" max="3881" width="10" style="185" customWidth="1"/>
    <x:col min="3882" max="3887" width="7.5" style="185" customWidth="1"/>
    <x:col min="3888" max="3889" width="12.5" style="185" customWidth="1"/>
    <x:col min="3890" max="3892" width="10" style="185" customWidth="1"/>
    <x:col min="3893" max="3894" width="12.5" style="185" customWidth="1"/>
    <x:col min="3895" max="4090" width="9" style="185" customWidth="0"/>
    <x:col min="4091" max="4091" width="7.5" style="185" customWidth="1"/>
    <x:col min="4092" max="4092" width="21.25" style="185" customWidth="1"/>
    <x:col min="4093" max="4095" width="6.25" style="185" customWidth="1"/>
    <x:col min="4096" max="4097" width="10" style="185" customWidth="1"/>
    <x:col min="4098" max="4103" width="7.5" style="185" customWidth="1"/>
    <x:col min="4104" max="4105" width="12.5" style="185" customWidth="1"/>
    <x:col min="4106" max="4108" width="10" style="185" customWidth="1"/>
    <x:col min="4109" max="4109" width="8.75" style="185" customWidth="1"/>
    <x:col min="4110" max="4110" width="15" style="185" customWidth="1"/>
    <x:col min="4111" max="4111" width="7.5" style="185" customWidth="1"/>
    <x:col min="4112" max="4112" width="21.25" style="185" customWidth="1"/>
    <x:col min="4113" max="4115" width="6.25" style="185" customWidth="1"/>
    <x:col min="4116" max="4117" width="10" style="185" customWidth="1"/>
    <x:col min="4118" max="4123" width="7.5" style="185" customWidth="1"/>
    <x:col min="4124" max="4125" width="12.5" style="185" customWidth="1"/>
    <x:col min="4126" max="4128" width="10" style="185" customWidth="1"/>
    <x:col min="4129" max="4129" width="8.75" style="185" customWidth="1"/>
    <x:col min="4130" max="4130" width="15" style="185" customWidth="1"/>
    <x:col min="4131" max="4131" width="7.5" style="185" customWidth="1"/>
    <x:col min="4132" max="4132" width="22.75" style="185" customWidth="1"/>
    <x:col min="4133" max="4135" width="6.25" style="185" customWidth="1"/>
    <x:col min="4136" max="4137" width="10" style="185" customWidth="1"/>
    <x:col min="4138" max="4143" width="7.5" style="185" customWidth="1"/>
    <x:col min="4144" max="4145" width="12.5" style="185" customWidth="1"/>
    <x:col min="4146" max="4148" width="10" style="185" customWidth="1"/>
    <x:col min="4149" max="4150" width="12.5" style="185" customWidth="1"/>
    <x:col min="4151" max="4346" width="9" style="185" customWidth="0"/>
    <x:col min="4347" max="4347" width="7.5" style="185" customWidth="1"/>
    <x:col min="4348" max="4348" width="21.25" style="185" customWidth="1"/>
    <x:col min="4349" max="4351" width="6.25" style="185" customWidth="1"/>
    <x:col min="4352" max="4353" width="10" style="185" customWidth="1"/>
    <x:col min="4354" max="4359" width="7.5" style="185" customWidth="1"/>
    <x:col min="4360" max="4361" width="12.5" style="185" customWidth="1"/>
    <x:col min="4362" max="4364" width="10" style="185" customWidth="1"/>
    <x:col min="4365" max="4365" width="8.75" style="185" customWidth="1"/>
    <x:col min="4366" max="4366" width="15" style="185" customWidth="1"/>
    <x:col min="4367" max="4367" width="7.5" style="185" customWidth="1"/>
    <x:col min="4368" max="4368" width="21.25" style="185" customWidth="1"/>
    <x:col min="4369" max="4371" width="6.25" style="185" customWidth="1"/>
    <x:col min="4372" max="4373" width="10" style="185" customWidth="1"/>
    <x:col min="4374" max="4379" width="7.5" style="185" customWidth="1"/>
    <x:col min="4380" max="4381" width="12.5" style="185" customWidth="1"/>
    <x:col min="4382" max="4384" width="10" style="185" customWidth="1"/>
    <x:col min="4385" max="4385" width="8.75" style="185" customWidth="1"/>
    <x:col min="4386" max="4386" width="15" style="185" customWidth="1"/>
    <x:col min="4387" max="4387" width="7.5" style="185" customWidth="1"/>
    <x:col min="4388" max="4388" width="22.75" style="185" customWidth="1"/>
    <x:col min="4389" max="4391" width="6.25" style="185" customWidth="1"/>
    <x:col min="4392" max="4393" width="10" style="185" customWidth="1"/>
    <x:col min="4394" max="4399" width="7.5" style="185" customWidth="1"/>
    <x:col min="4400" max="4401" width="12.5" style="185" customWidth="1"/>
    <x:col min="4402" max="4404" width="10" style="185" customWidth="1"/>
    <x:col min="4405" max="4406" width="12.5" style="185" customWidth="1"/>
    <x:col min="4407" max="4602" width="9" style="185" customWidth="0"/>
    <x:col min="4603" max="4603" width="7.5" style="185" customWidth="1"/>
    <x:col min="4604" max="4604" width="21.25" style="185" customWidth="1"/>
    <x:col min="4605" max="4607" width="6.25" style="185" customWidth="1"/>
    <x:col min="4608" max="4609" width="10" style="185" customWidth="1"/>
    <x:col min="4610" max="4615" width="7.5" style="185" customWidth="1"/>
    <x:col min="4616" max="4617" width="12.5" style="185" customWidth="1"/>
    <x:col min="4618" max="4620" width="10" style="185" customWidth="1"/>
    <x:col min="4621" max="4621" width="8.75" style="185" customWidth="1"/>
    <x:col min="4622" max="4622" width="15" style="185" customWidth="1"/>
    <x:col min="4623" max="4623" width="7.5" style="185" customWidth="1"/>
    <x:col min="4624" max="4624" width="21.25" style="185" customWidth="1"/>
    <x:col min="4625" max="4627" width="6.25" style="185" customWidth="1"/>
    <x:col min="4628" max="4629" width="10" style="185" customWidth="1"/>
    <x:col min="4630" max="4635" width="7.5" style="185" customWidth="1"/>
    <x:col min="4636" max="4637" width="12.5" style="185" customWidth="1"/>
    <x:col min="4638" max="4640" width="10" style="185" customWidth="1"/>
    <x:col min="4641" max="4641" width="8.75" style="185" customWidth="1"/>
    <x:col min="4642" max="4642" width="15" style="185" customWidth="1"/>
    <x:col min="4643" max="4643" width="7.5" style="185" customWidth="1"/>
    <x:col min="4644" max="4644" width="22.75" style="185" customWidth="1"/>
    <x:col min="4645" max="4647" width="6.25" style="185" customWidth="1"/>
    <x:col min="4648" max="4649" width="10" style="185" customWidth="1"/>
    <x:col min="4650" max="4655" width="7.5" style="185" customWidth="1"/>
    <x:col min="4656" max="4657" width="12.5" style="185" customWidth="1"/>
    <x:col min="4658" max="4660" width="10" style="185" customWidth="1"/>
    <x:col min="4661" max="4662" width="12.5" style="185" customWidth="1"/>
    <x:col min="4663" max="4858" width="9" style="185" customWidth="0"/>
    <x:col min="4859" max="4859" width="7.5" style="185" customWidth="1"/>
    <x:col min="4860" max="4860" width="21.25" style="185" customWidth="1"/>
    <x:col min="4861" max="4863" width="6.25" style="185" customWidth="1"/>
    <x:col min="4864" max="4865" width="10" style="185" customWidth="1"/>
    <x:col min="4866" max="4871" width="7.5" style="185" customWidth="1"/>
    <x:col min="4872" max="4873" width="12.5" style="185" customWidth="1"/>
    <x:col min="4874" max="4876" width="10" style="185" customWidth="1"/>
    <x:col min="4877" max="4877" width="8.75" style="185" customWidth="1"/>
    <x:col min="4878" max="4878" width="15" style="185" customWidth="1"/>
    <x:col min="4879" max="4879" width="7.5" style="185" customWidth="1"/>
    <x:col min="4880" max="4880" width="21.25" style="185" customWidth="1"/>
    <x:col min="4881" max="4883" width="6.25" style="185" customWidth="1"/>
    <x:col min="4884" max="4885" width="10" style="185" customWidth="1"/>
    <x:col min="4886" max="4891" width="7.5" style="185" customWidth="1"/>
    <x:col min="4892" max="4893" width="12.5" style="185" customWidth="1"/>
    <x:col min="4894" max="4896" width="10" style="185" customWidth="1"/>
    <x:col min="4897" max="4897" width="8.75" style="185" customWidth="1"/>
    <x:col min="4898" max="4898" width="15" style="185" customWidth="1"/>
    <x:col min="4899" max="4899" width="7.5" style="185" customWidth="1"/>
    <x:col min="4900" max="4900" width="22.75" style="185" customWidth="1"/>
    <x:col min="4901" max="4903" width="6.25" style="185" customWidth="1"/>
    <x:col min="4904" max="4905" width="10" style="185" customWidth="1"/>
    <x:col min="4906" max="4911" width="7.5" style="185" customWidth="1"/>
    <x:col min="4912" max="4913" width="12.5" style="185" customWidth="1"/>
    <x:col min="4914" max="4916" width="10" style="185" customWidth="1"/>
    <x:col min="4917" max="4918" width="12.5" style="185" customWidth="1"/>
    <x:col min="4919" max="5114" width="9" style="185" customWidth="0"/>
    <x:col min="5115" max="5115" width="7.5" style="185" customWidth="1"/>
    <x:col min="5116" max="5116" width="21.25" style="185" customWidth="1"/>
    <x:col min="5117" max="5119" width="6.25" style="185" customWidth="1"/>
    <x:col min="5120" max="5121" width="10" style="185" customWidth="1"/>
    <x:col min="5122" max="5127" width="7.5" style="185" customWidth="1"/>
    <x:col min="5128" max="5129" width="12.5" style="185" customWidth="1"/>
    <x:col min="5130" max="5132" width="10" style="185" customWidth="1"/>
    <x:col min="5133" max="5133" width="8.75" style="185" customWidth="1"/>
    <x:col min="5134" max="5134" width="15" style="185" customWidth="1"/>
    <x:col min="5135" max="5135" width="7.5" style="185" customWidth="1"/>
    <x:col min="5136" max="5136" width="21.25" style="185" customWidth="1"/>
    <x:col min="5137" max="5139" width="6.25" style="185" customWidth="1"/>
    <x:col min="5140" max="5141" width="10" style="185" customWidth="1"/>
    <x:col min="5142" max="5147" width="7.5" style="185" customWidth="1"/>
    <x:col min="5148" max="5149" width="12.5" style="185" customWidth="1"/>
    <x:col min="5150" max="5152" width="10" style="185" customWidth="1"/>
    <x:col min="5153" max="5153" width="8.75" style="185" customWidth="1"/>
    <x:col min="5154" max="5154" width="15" style="185" customWidth="1"/>
    <x:col min="5155" max="5155" width="7.5" style="185" customWidth="1"/>
    <x:col min="5156" max="5156" width="22.75" style="185" customWidth="1"/>
    <x:col min="5157" max="5159" width="6.25" style="185" customWidth="1"/>
    <x:col min="5160" max="5161" width="10" style="185" customWidth="1"/>
    <x:col min="5162" max="5167" width="7.5" style="185" customWidth="1"/>
    <x:col min="5168" max="5169" width="12.5" style="185" customWidth="1"/>
    <x:col min="5170" max="5172" width="10" style="185" customWidth="1"/>
    <x:col min="5173" max="5174" width="12.5" style="185" customWidth="1"/>
    <x:col min="5175" max="5370" width="9" style="185" customWidth="0"/>
    <x:col min="5371" max="5371" width="7.5" style="185" customWidth="1"/>
    <x:col min="5372" max="5372" width="21.25" style="185" customWidth="1"/>
    <x:col min="5373" max="5375" width="6.25" style="185" customWidth="1"/>
    <x:col min="5376" max="5377" width="10" style="185" customWidth="1"/>
    <x:col min="5378" max="5383" width="7.5" style="185" customWidth="1"/>
    <x:col min="5384" max="5385" width="12.5" style="185" customWidth="1"/>
    <x:col min="5386" max="5388" width="10" style="185" customWidth="1"/>
    <x:col min="5389" max="5389" width="8.75" style="185" customWidth="1"/>
    <x:col min="5390" max="5390" width="15" style="185" customWidth="1"/>
    <x:col min="5391" max="5391" width="7.5" style="185" customWidth="1"/>
    <x:col min="5392" max="5392" width="21.25" style="185" customWidth="1"/>
    <x:col min="5393" max="5395" width="6.25" style="185" customWidth="1"/>
    <x:col min="5396" max="5397" width="10" style="185" customWidth="1"/>
    <x:col min="5398" max="5403" width="7.5" style="185" customWidth="1"/>
    <x:col min="5404" max="5405" width="12.5" style="185" customWidth="1"/>
    <x:col min="5406" max="5408" width="10" style="185" customWidth="1"/>
    <x:col min="5409" max="5409" width="8.75" style="185" customWidth="1"/>
    <x:col min="5410" max="5410" width="15" style="185" customWidth="1"/>
    <x:col min="5411" max="5411" width="7.5" style="185" customWidth="1"/>
    <x:col min="5412" max="5412" width="22.75" style="185" customWidth="1"/>
    <x:col min="5413" max="5415" width="6.25" style="185" customWidth="1"/>
    <x:col min="5416" max="5417" width="10" style="185" customWidth="1"/>
    <x:col min="5418" max="5423" width="7.5" style="185" customWidth="1"/>
    <x:col min="5424" max="5425" width="12.5" style="185" customWidth="1"/>
    <x:col min="5426" max="5428" width="10" style="185" customWidth="1"/>
    <x:col min="5429" max="5430" width="12.5" style="185" customWidth="1"/>
    <x:col min="5431" max="5626" width="9" style="185" customWidth="0"/>
    <x:col min="5627" max="5627" width="7.5" style="185" customWidth="1"/>
    <x:col min="5628" max="5628" width="21.25" style="185" customWidth="1"/>
    <x:col min="5629" max="5631" width="6.25" style="185" customWidth="1"/>
    <x:col min="5632" max="5633" width="10" style="185" customWidth="1"/>
    <x:col min="5634" max="5639" width="7.5" style="185" customWidth="1"/>
    <x:col min="5640" max="5641" width="12.5" style="185" customWidth="1"/>
    <x:col min="5642" max="5644" width="10" style="185" customWidth="1"/>
    <x:col min="5645" max="5645" width="8.75" style="185" customWidth="1"/>
    <x:col min="5646" max="5646" width="15" style="185" customWidth="1"/>
    <x:col min="5647" max="5647" width="7.5" style="185" customWidth="1"/>
    <x:col min="5648" max="5648" width="21.25" style="185" customWidth="1"/>
    <x:col min="5649" max="5651" width="6.25" style="185" customWidth="1"/>
    <x:col min="5652" max="5653" width="10" style="185" customWidth="1"/>
    <x:col min="5654" max="5659" width="7.5" style="185" customWidth="1"/>
    <x:col min="5660" max="5661" width="12.5" style="185" customWidth="1"/>
    <x:col min="5662" max="5664" width="10" style="185" customWidth="1"/>
    <x:col min="5665" max="5665" width="8.75" style="185" customWidth="1"/>
    <x:col min="5666" max="5666" width="15" style="185" customWidth="1"/>
    <x:col min="5667" max="5667" width="7.5" style="185" customWidth="1"/>
    <x:col min="5668" max="5668" width="22.75" style="185" customWidth="1"/>
    <x:col min="5669" max="5671" width="6.25" style="185" customWidth="1"/>
    <x:col min="5672" max="5673" width="10" style="185" customWidth="1"/>
    <x:col min="5674" max="5679" width="7.5" style="185" customWidth="1"/>
    <x:col min="5680" max="5681" width="12.5" style="185" customWidth="1"/>
    <x:col min="5682" max="5684" width="10" style="185" customWidth="1"/>
    <x:col min="5685" max="5686" width="12.5" style="185" customWidth="1"/>
    <x:col min="5687" max="5882" width="9" style="185" customWidth="0"/>
    <x:col min="5883" max="5883" width="7.5" style="185" customWidth="1"/>
    <x:col min="5884" max="5884" width="21.25" style="185" customWidth="1"/>
    <x:col min="5885" max="5887" width="6.25" style="185" customWidth="1"/>
    <x:col min="5888" max="5889" width="10" style="185" customWidth="1"/>
    <x:col min="5890" max="5895" width="7.5" style="185" customWidth="1"/>
    <x:col min="5896" max="5897" width="12.5" style="185" customWidth="1"/>
    <x:col min="5898" max="5900" width="10" style="185" customWidth="1"/>
    <x:col min="5901" max="5901" width="8.75" style="185" customWidth="1"/>
    <x:col min="5902" max="5902" width="15" style="185" customWidth="1"/>
    <x:col min="5903" max="5903" width="7.5" style="185" customWidth="1"/>
    <x:col min="5904" max="5904" width="21.25" style="185" customWidth="1"/>
    <x:col min="5905" max="5907" width="6.25" style="185" customWidth="1"/>
    <x:col min="5908" max="5909" width="10" style="185" customWidth="1"/>
    <x:col min="5910" max="5915" width="7.5" style="185" customWidth="1"/>
    <x:col min="5916" max="5917" width="12.5" style="185" customWidth="1"/>
    <x:col min="5918" max="5920" width="10" style="185" customWidth="1"/>
    <x:col min="5921" max="5921" width="8.75" style="185" customWidth="1"/>
    <x:col min="5922" max="5922" width="15" style="185" customWidth="1"/>
    <x:col min="5923" max="5923" width="7.5" style="185" customWidth="1"/>
    <x:col min="5924" max="5924" width="22.75" style="185" customWidth="1"/>
    <x:col min="5925" max="5927" width="6.25" style="185" customWidth="1"/>
    <x:col min="5928" max="5929" width="10" style="185" customWidth="1"/>
    <x:col min="5930" max="5935" width="7.5" style="185" customWidth="1"/>
    <x:col min="5936" max="5937" width="12.5" style="185" customWidth="1"/>
    <x:col min="5938" max="5940" width="10" style="185" customWidth="1"/>
    <x:col min="5941" max="5942" width="12.5" style="185" customWidth="1"/>
    <x:col min="5943" max="6138" width="9" style="185" customWidth="0"/>
    <x:col min="6139" max="6139" width="7.5" style="185" customWidth="1"/>
    <x:col min="6140" max="6140" width="21.25" style="185" customWidth="1"/>
    <x:col min="6141" max="6143" width="6.25" style="185" customWidth="1"/>
    <x:col min="6144" max="6145" width="10" style="185" customWidth="1"/>
    <x:col min="6146" max="6151" width="7.5" style="185" customWidth="1"/>
    <x:col min="6152" max="6153" width="12.5" style="185" customWidth="1"/>
    <x:col min="6154" max="6156" width="10" style="185" customWidth="1"/>
    <x:col min="6157" max="6157" width="8.75" style="185" customWidth="1"/>
    <x:col min="6158" max="6158" width="15" style="185" customWidth="1"/>
    <x:col min="6159" max="6159" width="7.5" style="185" customWidth="1"/>
    <x:col min="6160" max="6160" width="21.25" style="185" customWidth="1"/>
    <x:col min="6161" max="6163" width="6.25" style="185" customWidth="1"/>
    <x:col min="6164" max="6165" width="10" style="185" customWidth="1"/>
    <x:col min="6166" max="6171" width="7.5" style="185" customWidth="1"/>
    <x:col min="6172" max="6173" width="12.5" style="185" customWidth="1"/>
    <x:col min="6174" max="6176" width="10" style="185" customWidth="1"/>
    <x:col min="6177" max="6177" width="8.75" style="185" customWidth="1"/>
    <x:col min="6178" max="6178" width="15" style="185" customWidth="1"/>
    <x:col min="6179" max="6179" width="7.5" style="185" customWidth="1"/>
    <x:col min="6180" max="6180" width="22.75" style="185" customWidth="1"/>
    <x:col min="6181" max="6183" width="6.25" style="185" customWidth="1"/>
    <x:col min="6184" max="6185" width="10" style="185" customWidth="1"/>
    <x:col min="6186" max="6191" width="7.5" style="185" customWidth="1"/>
    <x:col min="6192" max="6193" width="12.5" style="185" customWidth="1"/>
    <x:col min="6194" max="6196" width="10" style="185" customWidth="1"/>
    <x:col min="6197" max="6198" width="12.5" style="185" customWidth="1"/>
    <x:col min="6199" max="6394" width="9" style="185" customWidth="0"/>
    <x:col min="6395" max="6395" width="7.5" style="185" customWidth="1"/>
    <x:col min="6396" max="6396" width="21.25" style="185" customWidth="1"/>
    <x:col min="6397" max="6399" width="6.25" style="185" customWidth="1"/>
    <x:col min="6400" max="6401" width="10" style="185" customWidth="1"/>
    <x:col min="6402" max="6407" width="7.5" style="185" customWidth="1"/>
    <x:col min="6408" max="6409" width="12.5" style="185" customWidth="1"/>
    <x:col min="6410" max="6412" width="10" style="185" customWidth="1"/>
    <x:col min="6413" max="6413" width="8.75" style="185" customWidth="1"/>
    <x:col min="6414" max="6414" width="15" style="185" customWidth="1"/>
    <x:col min="6415" max="6415" width="7.5" style="185" customWidth="1"/>
    <x:col min="6416" max="6416" width="21.25" style="185" customWidth="1"/>
    <x:col min="6417" max="6419" width="6.25" style="185" customWidth="1"/>
    <x:col min="6420" max="6421" width="10" style="185" customWidth="1"/>
    <x:col min="6422" max="6427" width="7.5" style="185" customWidth="1"/>
    <x:col min="6428" max="6429" width="12.5" style="185" customWidth="1"/>
    <x:col min="6430" max="6432" width="10" style="185" customWidth="1"/>
    <x:col min="6433" max="6433" width="8.75" style="185" customWidth="1"/>
    <x:col min="6434" max="6434" width="15" style="185" customWidth="1"/>
    <x:col min="6435" max="6435" width="7.5" style="185" customWidth="1"/>
    <x:col min="6436" max="6436" width="22.75" style="185" customWidth="1"/>
    <x:col min="6437" max="6439" width="6.25" style="185" customWidth="1"/>
    <x:col min="6440" max="6441" width="10" style="185" customWidth="1"/>
    <x:col min="6442" max="6447" width="7.5" style="185" customWidth="1"/>
    <x:col min="6448" max="6449" width="12.5" style="185" customWidth="1"/>
    <x:col min="6450" max="6452" width="10" style="185" customWidth="1"/>
    <x:col min="6453" max="6454" width="12.5" style="185" customWidth="1"/>
    <x:col min="6455" max="6650" width="9" style="185" customWidth="0"/>
    <x:col min="6651" max="6651" width="7.5" style="185" customWidth="1"/>
    <x:col min="6652" max="6652" width="21.25" style="185" customWidth="1"/>
    <x:col min="6653" max="6655" width="6.25" style="185" customWidth="1"/>
    <x:col min="6656" max="6657" width="10" style="185" customWidth="1"/>
    <x:col min="6658" max="6663" width="7.5" style="185" customWidth="1"/>
    <x:col min="6664" max="6665" width="12.5" style="185" customWidth="1"/>
    <x:col min="6666" max="6668" width="10" style="185" customWidth="1"/>
    <x:col min="6669" max="6669" width="8.75" style="185" customWidth="1"/>
    <x:col min="6670" max="6670" width="15" style="185" customWidth="1"/>
    <x:col min="6671" max="6671" width="7.5" style="185" customWidth="1"/>
    <x:col min="6672" max="6672" width="21.25" style="185" customWidth="1"/>
    <x:col min="6673" max="6675" width="6.25" style="185" customWidth="1"/>
    <x:col min="6676" max="6677" width="10" style="185" customWidth="1"/>
    <x:col min="6678" max="6683" width="7.5" style="185" customWidth="1"/>
    <x:col min="6684" max="6685" width="12.5" style="185" customWidth="1"/>
    <x:col min="6686" max="6688" width="10" style="185" customWidth="1"/>
    <x:col min="6689" max="6689" width="8.75" style="185" customWidth="1"/>
    <x:col min="6690" max="6690" width="15" style="185" customWidth="1"/>
    <x:col min="6691" max="6691" width="7.5" style="185" customWidth="1"/>
    <x:col min="6692" max="6692" width="22.75" style="185" customWidth="1"/>
    <x:col min="6693" max="6695" width="6.25" style="185" customWidth="1"/>
    <x:col min="6696" max="6697" width="10" style="185" customWidth="1"/>
    <x:col min="6698" max="6703" width="7.5" style="185" customWidth="1"/>
    <x:col min="6704" max="6705" width="12.5" style="185" customWidth="1"/>
    <x:col min="6706" max="6708" width="10" style="185" customWidth="1"/>
    <x:col min="6709" max="6710" width="12.5" style="185" customWidth="1"/>
    <x:col min="6711" max="6906" width="9" style="185" customWidth="0"/>
    <x:col min="6907" max="6907" width="7.5" style="185" customWidth="1"/>
    <x:col min="6908" max="6908" width="21.25" style="185" customWidth="1"/>
    <x:col min="6909" max="6911" width="6.25" style="185" customWidth="1"/>
    <x:col min="6912" max="6913" width="10" style="185" customWidth="1"/>
    <x:col min="6914" max="6919" width="7.5" style="185" customWidth="1"/>
    <x:col min="6920" max="6921" width="12.5" style="185" customWidth="1"/>
    <x:col min="6922" max="6924" width="10" style="185" customWidth="1"/>
    <x:col min="6925" max="6925" width="8.75" style="185" customWidth="1"/>
    <x:col min="6926" max="6926" width="15" style="185" customWidth="1"/>
    <x:col min="6927" max="6927" width="7.5" style="185" customWidth="1"/>
    <x:col min="6928" max="6928" width="21.25" style="185" customWidth="1"/>
    <x:col min="6929" max="6931" width="6.25" style="185" customWidth="1"/>
    <x:col min="6932" max="6933" width="10" style="185" customWidth="1"/>
    <x:col min="6934" max="6939" width="7.5" style="185" customWidth="1"/>
    <x:col min="6940" max="6941" width="12.5" style="185" customWidth="1"/>
    <x:col min="6942" max="6944" width="10" style="185" customWidth="1"/>
    <x:col min="6945" max="6945" width="8.75" style="185" customWidth="1"/>
    <x:col min="6946" max="6946" width="15" style="185" customWidth="1"/>
    <x:col min="6947" max="6947" width="7.5" style="185" customWidth="1"/>
    <x:col min="6948" max="6948" width="22.75" style="185" customWidth="1"/>
    <x:col min="6949" max="6951" width="6.25" style="185" customWidth="1"/>
    <x:col min="6952" max="6953" width="10" style="185" customWidth="1"/>
    <x:col min="6954" max="6959" width="7.5" style="185" customWidth="1"/>
    <x:col min="6960" max="6961" width="12.5" style="185" customWidth="1"/>
    <x:col min="6962" max="6964" width="10" style="185" customWidth="1"/>
    <x:col min="6965" max="6966" width="12.5" style="185" customWidth="1"/>
    <x:col min="6967" max="7162" width="9" style="185" customWidth="0"/>
    <x:col min="7163" max="7163" width="7.5" style="185" customWidth="1"/>
    <x:col min="7164" max="7164" width="21.25" style="185" customWidth="1"/>
    <x:col min="7165" max="7167" width="6.25" style="185" customWidth="1"/>
    <x:col min="7168" max="7169" width="10" style="185" customWidth="1"/>
    <x:col min="7170" max="7175" width="7.5" style="185" customWidth="1"/>
    <x:col min="7176" max="7177" width="12.5" style="185" customWidth="1"/>
    <x:col min="7178" max="7180" width="10" style="185" customWidth="1"/>
    <x:col min="7181" max="7181" width="8.75" style="185" customWidth="1"/>
    <x:col min="7182" max="7182" width="15" style="185" customWidth="1"/>
    <x:col min="7183" max="7183" width="7.5" style="185" customWidth="1"/>
    <x:col min="7184" max="7184" width="21.25" style="185" customWidth="1"/>
    <x:col min="7185" max="7187" width="6.25" style="185" customWidth="1"/>
    <x:col min="7188" max="7189" width="10" style="185" customWidth="1"/>
    <x:col min="7190" max="7195" width="7.5" style="185" customWidth="1"/>
    <x:col min="7196" max="7197" width="12.5" style="185" customWidth="1"/>
    <x:col min="7198" max="7200" width="10" style="185" customWidth="1"/>
    <x:col min="7201" max="7201" width="8.75" style="185" customWidth="1"/>
    <x:col min="7202" max="7202" width="15" style="185" customWidth="1"/>
    <x:col min="7203" max="7203" width="7.5" style="185" customWidth="1"/>
    <x:col min="7204" max="7204" width="22.75" style="185" customWidth="1"/>
    <x:col min="7205" max="7207" width="6.25" style="185" customWidth="1"/>
    <x:col min="7208" max="7209" width="10" style="185" customWidth="1"/>
    <x:col min="7210" max="7215" width="7.5" style="185" customWidth="1"/>
    <x:col min="7216" max="7217" width="12.5" style="185" customWidth="1"/>
    <x:col min="7218" max="7220" width="10" style="185" customWidth="1"/>
    <x:col min="7221" max="7222" width="12.5" style="185" customWidth="1"/>
    <x:col min="7223" max="7418" width="9" style="185" customWidth="0"/>
    <x:col min="7419" max="7419" width="7.5" style="185" customWidth="1"/>
    <x:col min="7420" max="7420" width="21.25" style="185" customWidth="1"/>
    <x:col min="7421" max="7423" width="6.25" style="185" customWidth="1"/>
    <x:col min="7424" max="7425" width="10" style="185" customWidth="1"/>
    <x:col min="7426" max="7431" width="7.5" style="185" customWidth="1"/>
    <x:col min="7432" max="7433" width="12.5" style="185" customWidth="1"/>
    <x:col min="7434" max="7436" width="10" style="185" customWidth="1"/>
    <x:col min="7437" max="7437" width="8.75" style="185" customWidth="1"/>
    <x:col min="7438" max="7438" width="15" style="185" customWidth="1"/>
    <x:col min="7439" max="7439" width="7.5" style="185" customWidth="1"/>
    <x:col min="7440" max="7440" width="21.25" style="185" customWidth="1"/>
    <x:col min="7441" max="7443" width="6.25" style="185" customWidth="1"/>
    <x:col min="7444" max="7445" width="10" style="185" customWidth="1"/>
    <x:col min="7446" max="7451" width="7.5" style="185" customWidth="1"/>
    <x:col min="7452" max="7453" width="12.5" style="185" customWidth="1"/>
    <x:col min="7454" max="7456" width="10" style="185" customWidth="1"/>
    <x:col min="7457" max="7457" width="8.75" style="185" customWidth="1"/>
    <x:col min="7458" max="7458" width="15" style="185" customWidth="1"/>
    <x:col min="7459" max="7459" width="7.5" style="185" customWidth="1"/>
    <x:col min="7460" max="7460" width="22.75" style="185" customWidth="1"/>
    <x:col min="7461" max="7463" width="6.25" style="185" customWidth="1"/>
    <x:col min="7464" max="7465" width="10" style="185" customWidth="1"/>
    <x:col min="7466" max="7471" width="7.5" style="185" customWidth="1"/>
    <x:col min="7472" max="7473" width="12.5" style="185" customWidth="1"/>
    <x:col min="7474" max="7476" width="10" style="185" customWidth="1"/>
    <x:col min="7477" max="7478" width="12.5" style="185" customWidth="1"/>
    <x:col min="7479" max="7674" width="9" style="185" customWidth="0"/>
    <x:col min="7675" max="7675" width="7.5" style="185" customWidth="1"/>
    <x:col min="7676" max="7676" width="21.25" style="185" customWidth="1"/>
    <x:col min="7677" max="7679" width="6.25" style="185" customWidth="1"/>
    <x:col min="7680" max="7681" width="10" style="185" customWidth="1"/>
    <x:col min="7682" max="7687" width="7.5" style="185" customWidth="1"/>
    <x:col min="7688" max="7689" width="12.5" style="185" customWidth="1"/>
    <x:col min="7690" max="7692" width="10" style="185" customWidth="1"/>
    <x:col min="7693" max="7693" width="8.75" style="185" customWidth="1"/>
    <x:col min="7694" max="7694" width="15" style="185" customWidth="1"/>
    <x:col min="7695" max="7695" width="7.5" style="185" customWidth="1"/>
    <x:col min="7696" max="7696" width="21.25" style="185" customWidth="1"/>
    <x:col min="7697" max="7699" width="6.25" style="185" customWidth="1"/>
    <x:col min="7700" max="7701" width="10" style="185" customWidth="1"/>
    <x:col min="7702" max="7707" width="7.5" style="185" customWidth="1"/>
    <x:col min="7708" max="7709" width="12.5" style="185" customWidth="1"/>
    <x:col min="7710" max="7712" width="10" style="185" customWidth="1"/>
    <x:col min="7713" max="7713" width="8.75" style="185" customWidth="1"/>
    <x:col min="7714" max="7714" width="15" style="185" customWidth="1"/>
    <x:col min="7715" max="7715" width="7.5" style="185" customWidth="1"/>
    <x:col min="7716" max="7716" width="22.75" style="185" customWidth="1"/>
    <x:col min="7717" max="7719" width="6.25" style="185" customWidth="1"/>
    <x:col min="7720" max="7721" width="10" style="185" customWidth="1"/>
    <x:col min="7722" max="7727" width="7.5" style="185" customWidth="1"/>
    <x:col min="7728" max="7729" width="12.5" style="185" customWidth="1"/>
    <x:col min="7730" max="7732" width="10" style="185" customWidth="1"/>
    <x:col min="7733" max="7734" width="12.5" style="185" customWidth="1"/>
    <x:col min="7735" max="7930" width="9" style="185" customWidth="0"/>
    <x:col min="7931" max="7931" width="7.5" style="185" customWidth="1"/>
    <x:col min="7932" max="7932" width="21.25" style="185" customWidth="1"/>
    <x:col min="7933" max="7935" width="6.25" style="185" customWidth="1"/>
    <x:col min="7936" max="7937" width="10" style="185" customWidth="1"/>
    <x:col min="7938" max="7943" width="7.5" style="185" customWidth="1"/>
    <x:col min="7944" max="7945" width="12.5" style="185" customWidth="1"/>
    <x:col min="7946" max="7948" width="10" style="185" customWidth="1"/>
    <x:col min="7949" max="7949" width="8.75" style="185" customWidth="1"/>
    <x:col min="7950" max="7950" width="15" style="185" customWidth="1"/>
    <x:col min="7951" max="7951" width="7.5" style="185" customWidth="1"/>
    <x:col min="7952" max="7952" width="21.25" style="185" customWidth="1"/>
    <x:col min="7953" max="7955" width="6.25" style="185" customWidth="1"/>
    <x:col min="7956" max="7957" width="10" style="185" customWidth="1"/>
    <x:col min="7958" max="7963" width="7.5" style="185" customWidth="1"/>
    <x:col min="7964" max="7965" width="12.5" style="185" customWidth="1"/>
    <x:col min="7966" max="7968" width="10" style="185" customWidth="1"/>
    <x:col min="7969" max="7969" width="8.75" style="185" customWidth="1"/>
    <x:col min="7970" max="7970" width="15" style="185" customWidth="1"/>
    <x:col min="7971" max="7971" width="7.5" style="185" customWidth="1"/>
    <x:col min="7972" max="7972" width="22.75" style="185" customWidth="1"/>
    <x:col min="7973" max="7975" width="6.25" style="185" customWidth="1"/>
    <x:col min="7976" max="7977" width="10" style="185" customWidth="1"/>
    <x:col min="7978" max="7983" width="7.5" style="185" customWidth="1"/>
    <x:col min="7984" max="7985" width="12.5" style="185" customWidth="1"/>
    <x:col min="7986" max="7988" width="10" style="185" customWidth="1"/>
    <x:col min="7989" max="7990" width="12.5" style="185" customWidth="1"/>
    <x:col min="7991" max="8186" width="9" style="185" customWidth="0"/>
    <x:col min="8187" max="8187" width="7.5" style="185" customWidth="1"/>
    <x:col min="8188" max="8188" width="21.25" style="185" customWidth="1"/>
    <x:col min="8189" max="8191" width="6.25" style="185" customWidth="1"/>
    <x:col min="8192" max="8193" width="10" style="185" customWidth="1"/>
    <x:col min="8194" max="8199" width="7.5" style="185" customWidth="1"/>
    <x:col min="8200" max="8201" width="12.5" style="185" customWidth="1"/>
    <x:col min="8202" max="8204" width="10" style="185" customWidth="1"/>
    <x:col min="8205" max="8205" width="8.75" style="185" customWidth="1"/>
    <x:col min="8206" max="8206" width="15" style="185" customWidth="1"/>
    <x:col min="8207" max="8207" width="7.5" style="185" customWidth="1"/>
    <x:col min="8208" max="8208" width="21.25" style="185" customWidth="1"/>
    <x:col min="8209" max="8211" width="6.25" style="185" customWidth="1"/>
    <x:col min="8212" max="8213" width="10" style="185" customWidth="1"/>
    <x:col min="8214" max="8219" width="7.5" style="185" customWidth="1"/>
    <x:col min="8220" max="8221" width="12.5" style="185" customWidth="1"/>
    <x:col min="8222" max="8224" width="10" style="185" customWidth="1"/>
    <x:col min="8225" max="8225" width="8.75" style="185" customWidth="1"/>
    <x:col min="8226" max="8226" width="15" style="185" customWidth="1"/>
    <x:col min="8227" max="8227" width="7.5" style="185" customWidth="1"/>
    <x:col min="8228" max="8228" width="22.75" style="185" customWidth="1"/>
    <x:col min="8229" max="8231" width="6.25" style="185" customWidth="1"/>
    <x:col min="8232" max="8233" width="10" style="185" customWidth="1"/>
    <x:col min="8234" max="8239" width="7.5" style="185" customWidth="1"/>
    <x:col min="8240" max="8241" width="12.5" style="185" customWidth="1"/>
    <x:col min="8242" max="8244" width="10" style="185" customWidth="1"/>
    <x:col min="8245" max="8246" width="12.5" style="185" customWidth="1"/>
    <x:col min="8247" max="8442" width="9" style="185" customWidth="0"/>
    <x:col min="8443" max="8443" width="7.5" style="185" customWidth="1"/>
    <x:col min="8444" max="8444" width="21.25" style="185" customWidth="1"/>
    <x:col min="8445" max="8447" width="6.25" style="185" customWidth="1"/>
    <x:col min="8448" max="8449" width="10" style="185" customWidth="1"/>
    <x:col min="8450" max="8455" width="7.5" style="185" customWidth="1"/>
    <x:col min="8456" max="8457" width="12.5" style="185" customWidth="1"/>
    <x:col min="8458" max="8460" width="10" style="185" customWidth="1"/>
    <x:col min="8461" max="8461" width="8.75" style="185" customWidth="1"/>
    <x:col min="8462" max="8462" width="15" style="185" customWidth="1"/>
    <x:col min="8463" max="8463" width="7.5" style="185" customWidth="1"/>
    <x:col min="8464" max="8464" width="21.25" style="185" customWidth="1"/>
    <x:col min="8465" max="8467" width="6.25" style="185" customWidth="1"/>
    <x:col min="8468" max="8469" width="10" style="185" customWidth="1"/>
    <x:col min="8470" max="8475" width="7.5" style="185" customWidth="1"/>
    <x:col min="8476" max="8477" width="12.5" style="185" customWidth="1"/>
    <x:col min="8478" max="8480" width="10" style="185" customWidth="1"/>
    <x:col min="8481" max="8481" width="8.75" style="185" customWidth="1"/>
    <x:col min="8482" max="8482" width="15" style="185" customWidth="1"/>
    <x:col min="8483" max="8483" width="7.5" style="185" customWidth="1"/>
    <x:col min="8484" max="8484" width="22.75" style="185" customWidth="1"/>
    <x:col min="8485" max="8487" width="6.25" style="185" customWidth="1"/>
    <x:col min="8488" max="8489" width="10" style="185" customWidth="1"/>
    <x:col min="8490" max="8495" width="7.5" style="185" customWidth="1"/>
    <x:col min="8496" max="8497" width="12.5" style="185" customWidth="1"/>
    <x:col min="8498" max="8500" width="10" style="185" customWidth="1"/>
    <x:col min="8501" max="8502" width="12.5" style="185" customWidth="1"/>
    <x:col min="8503" max="8698" width="9" style="185" customWidth="0"/>
    <x:col min="8699" max="8699" width="7.5" style="185" customWidth="1"/>
    <x:col min="8700" max="8700" width="21.25" style="185" customWidth="1"/>
    <x:col min="8701" max="8703" width="6.25" style="185" customWidth="1"/>
    <x:col min="8704" max="8705" width="10" style="185" customWidth="1"/>
    <x:col min="8706" max="8711" width="7.5" style="185" customWidth="1"/>
    <x:col min="8712" max="8713" width="12.5" style="185" customWidth="1"/>
    <x:col min="8714" max="8716" width="10" style="185" customWidth="1"/>
    <x:col min="8717" max="8717" width="8.75" style="185" customWidth="1"/>
    <x:col min="8718" max="8718" width="15" style="185" customWidth="1"/>
    <x:col min="8719" max="8719" width="7.5" style="185" customWidth="1"/>
    <x:col min="8720" max="8720" width="21.25" style="185" customWidth="1"/>
    <x:col min="8721" max="8723" width="6.25" style="185" customWidth="1"/>
    <x:col min="8724" max="8725" width="10" style="185" customWidth="1"/>
    <x:col min="8726" max="8731" width="7.5" style="185" customWidth="1"/>
    <x:col min="8732" max="8733" width="12.5" style="185" customWidth="1"/>
    <x:col min="8734" max="8736" width="10" style="185" customWidth="1"/>
    <x:col min="8737" max="8737" width="8.75" style="185" customWidth="1"/>
    <x:col min="8738" max="8738" width="15" style="185" customWidth="1"/>
    <x:col min="8739" max="8739" width="7.5" style="185" customWidth="1"/>
    <x:col min="8740" max="8740" width="22.75" style="185" customWidth="1"/>
    <x:col min="8741" max="8743" width="6.25" style="185" customWidth="1"/>
    <x:col min="8744" max="8745" width="10" style="185" customWidth="1"/>
    <x:col min="8746" max="8751" width="7.5" style="185" customWidth="1"/>
    <x:col min="8752" max="8753" width="12.5" style="185" customWidth="1"/>
    <x:col min="8754" max="8756" width="10" style="185" customWidth="1"/>
    <x:col min="8757" max="8758" width="12.5" style="185" customWidth="1"/>
    <x:col min="8759" max="8954" width="9" style="185" customWidth="0"/>
    <x:col min="8955" max="8955" width="7.5" style="185" customWidth="1"/>
    <x:col min="8956" max="8956" width="21.25" style="185" customWidth="1"/>
    <x:col min="8957" max="8959" width="6.25" style="185" customWidth="1"/>
    <x:col min="8960" max="8961" width="10" style="185" customWidth="1"/>
    <x:col min="8962" max="8967" width="7.5" style="185" customWidth="1"/>
    <x:col min="8968" max="8969" width="12.5" style="185" customWidth="1"/>
    <x:col min="8970" max="8972" width="10" style="185" customWidth="1"/>
    <x:col min="8973" max="8973" width="8.75" style="185" customWidth="1"/>
    <x:col min="8974" max="8974" width="15" style="185" customWidth="1"/>
    <x:col min="8975" max="8975" width="7.5" style="185" customWidth="1"/>
    <x:col min="8976" max="8976" width="21.25" style="185" customWidth="1"/>
    <x:col min="8977" max="8979" width="6.25" style="185" customWidth="1"/>
    <x:col min="8980" max="8981" width="10" style="185" customWidth="1"/>
    <x:col min="8982" max="8987" width="7.5" style="185" customWidth="1"/>
    <x:col min="8988" max="8989" width="12.5" style="185" customWidth="1"/>
    <x:col min="8990" max="8992" width="10" style="185" customWidth="1"/>
    <x:col min="8993" max="8993" width="8.75" style="185" customWidth="1"/>
    <x:col min="8994" max="8994" width="15" style="185" customWidth="1"/>
    <x:col min="8995" max="8995" width="7.5" style="185" customWidth="1"/>
    <x:col min="8996" max="8996" width="22.75" style="185" customWidth="1"/>
    <x:col min="8997" max="8999" width="6.25" style="185" customWidth="1"/>
    <x:col min="9000" max="9001" width="10" style="185" customWidth="1"/>
    <x:col min="9002" max="9007" width="7.5" style="185" customWidth="1"/>
    <x:col min="9008" max="9009" width="12.5" style="185" customWidth="1"/>
    <x:col min="9010" max="9012" width="10" style="185" customWidth="1"/>
    <x:col min="9013" max="9014" width="12.5" style="185" customWidth="1"/>
    <x:col min="9015" max="9210" width="9" style="185" customWidth="0"/>
    <x:col min="9211" max="9211" width="7.5" style="185" customWidth="1"/>
    <x:col min="9212" max="9212" width="21.25" style="185" customWidth="1"/>
    <x:col min="9213" max="9215" width="6.25" style="185" customWidth="1"/>
    <x:col min="9216" max="9217" width="10" style="185" customWidth="1"/>
    <x:col min="9218" max="9223" width="7.5" style="185" customWidth="1"/>
    <x:col min="9224" max="9225" width="12.5" style="185" customWidth="1"/>
    <x:col min="9226" max="9228" width="10" style="185" customWidth="1"/>
    <x:col min="9229" max="9229" width="8.75" style="185" customWidth="1"/>
    <x:col min="9230" max="9230" width="15" style="185" customWidth="1"/>
    <x:col min="9231" max="9231" width="7.5" style="185" customWidth="1"/>
    <x:col min="9232" max="9232" width="21.25" style="185" customWidth="1"/>
    <x:col min="9233" max="9235" width="6.25" style="185" customWidth="1"/>
    <x:col min="9236" max="9237" width="10" style="185" customWidth="1"/>
    <x:col min="9238" max="9243" width="7.5" style="185" customWidth="1"/>
    <x:col min="9244" max="9245" width="12.5" style="185" customWidth="1"/>
    <x:col min="9246" max="9248" width="10" style="185" customWidth="1"/>
    <x:col min="9249" max="9249" width="8.75" style="185" customWidth="1"/>
    <x:col min="9250" max="9250" width="15" style="185" customWidth="1"/>
    <x:col min="9251" max="9251" width="7.5" style="185" customWidth="1"/>
    <x:col min="9252" max="9252" width="22.75" style="185" customWidth="1"/>
    <x:col min="9253" max="9255" width="6.25" style="185" customWidth="1"/>
    <x:col min="9256" max="9257" width="10" style="185" customWidth="1"/>
    <x:col min="9258" max="9263" width="7.5" style="185" customWidth="1"/>
    <x:col min="9264" max="9265" width="12.5" style="185" customWidth="1"/>
    <x:col min="9266" max="9268" width="10" style="185" customWidth="1"/>
    <x:col min="9269" max="9270" width="12.5" style="185" customWidth="1"/>
    <x:col min="9271" max="9466" width="9" style="185" customWidth="0"/>
    <x:col min="9467" max="9467" width="7.5" style="185" customWidth="1"/>
    <x:col min="9468" max="9468" width="21.25" style="185" customWidth="1"/>
    <x:col min="9469" max="9471" width="6.25" style="185" customWidth="1"/>
    <x:col min="9472" max="9473" width="10" style="185" customWidth="1"/>
    <x:col min="9474" max="9479" width="7.5" style="185" customWidth="1"/>
    <x:col min="9480" max="9481" width="12.5" style="185" customWidth="1"/>
    <x:col min="9482" max="9484" width="10" style="185" customWidth="1"/>
    <x:col min="9485" max="9485" width="8.75" style="185" customWidth="1"/>
    <x:col min="9486" max="9486" width="15" style="185" customWidth="1"/>
    <x:col min="9487" max="9487" width="7.5" style="185" customWidth="1"/>
    <x:col min="9488" max="9488" width="21.25" style="185" customWidth="1"/>
    <x:col min="9489" max="9491" width="6.25" style="185" customWidth="1"/>
    <x:col min="9492" max="9493" width="10" style="185" customWidth="1"/>
    <x:col min="9494" max="9499" width="7.5" style="185" customWidth="1"/>
    <x:col min="9500" max="9501" width="12.5" style="185" customWidth="1"/>
    <x:col min="9502" max="9504" width="10" style="185" customWidth="1"/>
    <x:col min="9505" max="9505" width="8.75" style="185" customWidth="1"/>
    <x:col min="9506" max="9506" width="15" style="185" customWidth="1"/>
    <x:col min="9507" max="9507" width="7.5" style="185" customWidth="1"/>
    <x:col min="9508" max="9508" width="22.75" style="185" customWidth="1"/>
    <x:col min="9509" max="9511" width="6.25" style="185" customWidth="1"/>
    <x:col min="9512" max="9513" width="10" style="185" customWidth="1"/>
    <x:col min="9514" max="9519" width="7.5" style="185" customWidth="1"/>
    <x:col min="9520" max="9521" width="12.5" style="185" customWidth="1"/>
    <x:col min="9522" max="9524" width="10" style="185" customWidth="1"/>
    <x:col min="9525" max="9526" width="12.5" style="185" customWidth="1"/>
    <x:col min="9527" max="9722" width="9" style="185" customWidth="0"/>
    <x:col min="9723" max="9723" width="7.5" style="185" customWidth="1"/>
    <x:col min="9724" max="9724" width="21.25" style="185" customWidth="1"/>
    <x:col min="9725" max="9727" width="6.25" style="185" customWidth="1"/>
    <x:col min="9728" max="9729" width="10" style="185" customWidth="1"/>
    <x:col min="9730" max="9735" width="7.5" style="185" customWidth="1"/>
    <x:col min="9736" max="9737" width="12.5" style="185" customWidth="1"/>
    <x:col min="9738" max="9740" width="10" style="185" customWidth="1"/>
    <x:col min="9741" max="9741" width="8.75" style="185" customWidth="1"/>
    <x:col min="9742" max="9742" width="15" style="185" customWidth="1"/>
    <x:col min="9743" max="9743" width="7.5" style="185" customWidth="1"/>
    <x:col min="9744" max="9744" width="21.25" style="185" customWidth="1"/>
    <x:col min="9745" max="9747" width="6.25" style="185" customWidth="1"/>
    <x:col min="9748" max="9749" width="10" style="185" customWidth="1"/>
    <x:col min="9750" max="9755" width="7.5" style="185" customWidth="1"/>
    <x:col min="9756" max="9757" width="12.5" style="185" customWidth="1"/>
    <x:col min="9758" max="9760" width="10" style="185" customWidth="1"/>
    <x:col min="9761" max="9761" width="8.75" style="185" customWidth="1"/>
    <x:col min="9762" max="9762" width="15" style="185" customWidth="1"/>
    <x:col min="9763" max="9763" width="7.5" style="185" customWidth="1"/>
    <x:col min="9764" max="9764" width="22.75" style="185" customWidth="1"/>
    <x:col min="9765" max="9767" width="6.25" style="185" customWidth="1"/>
    <x:col min="9768" max="9769" width="10" style="185" customWidth="1"/>
    <x:col min="9770" max="9775" width="7.5" style="185" customWidth="1"/>
    <x:col min="9776" max="9777" width="12.5" style="185" customWidth="1"/>
    <x:col min="9778" max="9780" width="10" style="185" customWidth="1"/>
    <x:col min="9781" max="9782" width="12.5" style="185" customWidth="1"/>
    <x:col min="9783" max="9978" width="9" style="185" customWidth="0"/>
    <x:col min="9979" max="9979" width="7.5" style="185" customWidth="1"/>
    <x:col min="9980" max="9980" width="21.25" style="185" customWidth="1"/>
    <x:col min="9981" max="9983" width="6.25" style="185" customWidth="1"/>
    <x:col min="9984" max="9985" width="10" style="185" customWidth="1"/>
    <x:col min="9986" max="9991" width="7.5" style="185" customWidth="1"/>
    <x:col min="9992" max="9993" width="12.5" style="185" customWidth="1"/>
    <x:col min="9994" max="9996" width="10" style="185" customWidth="1"/>
    <x:col min="9997" max="9997" width="8.75" style="185" customWidth="1"/>
    <x:col min="9998" max="9998" width="15" style="185" customWidth="1"/>
    <x:col min="9999" max="9999" width="7.5" style="185" customWidth="1"/>
    <x:col min="10000" max="10000" width="21.25" style="185" customWidth="1"/>
    <x:col min="10001" max="10003" width="6.25" style="185" customWidth="1"/>
    <x:col min="10004" max="10005" width="10" style="185" customWidth="1"/>
    <x:col min="10006" max="10011" width="7.5" style="185" customWidth="1"/>
    <x:col min="10012" max="10013" width="12.5" style="185" customWidth="1"/>
    <x:col min="10014" max="10016" width="10" style="185" customWidth="1"/>
    <x:col min="10017" max="10017" width="8.75" style="185" customWidth="1"/>
    <x:col min="10018" max="10018" width="15" style="185" customWidth="1"/>
    <x:col min="10019" max="10019" width="7.5" style="185" customWidth="1"/>
    <x:col min="10020" max="10020" width="22.75" style="185" customWidth="1"/>
    <x:col min="10021" max="10023" width="6.25" style="185" customWidth="1"/>
    <x:col min="10024" max="10025" width="10" style="185" customWidth="1"/>
    <x:col min="10026" max="10031" width="7.5" style="185" customWidth="1"/>
    <x:col min="10032" max="10033" width="12.5" style="185" customWidth="1"/>
    <x:col min="10034" max="10036" width="10" style="185" customWidth="1"/>
    <x:col min="10037" max="10038" width="12.5" style="185" customWidth="1"/>
    <x:col min="10039" max="10234" width="9" style="185" customWidth="0"/>
    <x:col min="10235" max="10235" width="7.5" style="185" customWidth="1"/>
    <x:col min="10236" max="10236" width="21.25" style="185" customWidth="1"/>
    <x:col min="10237" max="10239" width="6.25" style="185" customWidth="1"/>
    <x:col min="10240" max="10241" width="10" style="185" customWidth="1"/>
    <x:col min="10242" max="10247" width="7.5" style="185" customWidth="1"/>
    <x:col min="10248" max="10249" width="12.5" style="185" customWidth="1"/>
    <x:col min="10250" max="10252" width="10" style="185" customWidth="1"/>
    <x:col min="10253" max="10253" width="8.75" style="185" customWidth="1"/>
    <x:col min="10254" max="10254" width="15" style="185" customWidth="1"/>
    <x:col min="10255" max="10255" width="7.5" style="185" customWidth="1"/>
    <x:col min="10256" max="10256" width="21.25" style="185" customWidth="1"/>
    <x:col min="10257" max="10259" width="6.25" style="185" customWidth="1"/>
    <x:col min="10260" max="10261" width="10" style="185" customWidth="1"/>
    <x:col min="10262" max="10267" width="7.5" style="185" customWidth="1"/>
    <x:col min="10268" max="10269" width="12.5" style="185" customWidth="1"/>
    <x:col min="10270" max="10272" width="10" style="185" customWidth="1"/>
    <x:col min="10273" max="10273" width="8.75" style="185" customWidth="1"/>
    <x:col min="10274" max="10274" width="15" style="185" customWidth="1"/>
    <x:col min="10275" max="10275" width="7.5" style="185" customWidth="1"/>
    <x:col min="10276" max="10276" width="22.75" style="185" customWidth="1"/>
    <x:col min="10277" max="10279" width="6.25" style="185" customWidth="1"/>
    <x:col min="10280" max="10281" width="10" style="185" customWidth="1"/>
    <x:col min="10282" max="10287" width="7.5" style="185" customWidth="1"/>
    <x:col min="10288" max="10289" width="12.5" style="185" customWidth="1"/>
    <x:col min="10290" max="10292" width="10" style="185" customWidth="1"/>
    <x:col min="10293" max="10294" width="12.5" style="185" customWidth="1"/>
    <x:col min="10295" max="10490" width="9" style="185" customWidth="0"/>
    <x:col min="10491" max="10491" width="7.5" style="185" customWidth="1"/>
    <x:col min="10492" max="10492" width="21.25" style="185" customWidth="1"/>
    <x:col min="10493" max="10495" width="6.25" style="185" customWidth="1"/>
    <x:col min="10496" max="10497" width="10" style="185" customWidth="1"/>
    <x:col min="10498" max="10503" width="7.5" style="185" customWidth="1"/>
    <x:col min="10504" max="10505" width="12.5" style="185" customWidth="1"/>
    <x:col min="10506" max="10508" width="10" style="185" customWidth="1"/>
    <x:col min="10509" max="10509" width="8.75" style="185" customWidth="1"/>
    <x:col min="10510" max="10510" width="15" style="185" customWidth="1"/>
    <x:col min="10511" max="10511" width="7.5" style="185" customWidth="1"/>
    <x:col min="10512" max="10512" width="21.25" style="185" customWidth="1"/>
    <x:col min="10513" max="10515" width="6.25" style="185" customWidth="1"/>
    <x:col min="10516" max="10517" width="10" style="185" customWidth="1"/>
    <x:col min="10518" max="10523" width="7.5" style="185" customWidth="1"/>
    <x:col min="10524" max="10525" width="12.5" style="185" customWidth="1"/>
    <x:col min="10526" max="10528" width="10" style="185" customWidth="1"/>
    <x:col min="10529" max="10529" width="8.75" style="185" customWidth="1"/>
    <x:col min="10530" max="10530" width="15" style="185" customWidth="1"/>
    <x:col min="10531" max="10531" width="7.5" style="185" customWidth="1"/>
    <x:col min="10532" max="10532" width="22.75" style="185" customWidth="1"/>
    <x:col min="10533" max="10535" width="6.25" style="185" customWidth="1"/>
    <x:col min="10536" max="10537" width="10" style="185" customWidth="1"/>
    <x:col min="10538" max="10543" width="7.5" style="185" customWidth="1"/>
    <x:col min="10544" max="10545" width="12.5" style="185" customWidth="1"/>
    <x:col min="10546" max="10548" width="10" style="185" customWidth="1"/>
    <x:col min="10549" max="10550" width="12.5" style="185" customWidth="1"/>
    <x:col min="10551" max="10746" width="9" style="185" customWidth="0"/>
    <x:col min="10747" max="10747" width="7.5" style="185" customWidth="1"/>
    <x:col min="10748" max="10748" width="21.25" style="185" customWidth="1"/>
    <x:col min="10749" max="10751" width="6.25" style="185" customWidth="1"/>
    <x:col min="10752" max="10753" width="10" style="185" customWidth="1"/>
    <x:col min="10754" max="10759" width="7.5" style="185" customWidth="1"/>
    <x:col min="10760" max="10761" width="12.5" style="185" customWidth="1"/>
    <x:col min="10762" max="10764" width="10" style="185" customWidth="1"/>
    <x:col min="10765" max="10765" width="8.75" style="185" customWidth="1"/>
    <x:col min="10766" max="10766" width="15" style="185" customWidth="1"/>
    <x:col min="10767" max="10767" width="7.5" style="185" customWidth="1"/>
    <x:col min="10768" max="10768" width="21.25" style="185" customWidth="1"/>
    <x:col min="10769" max="10771" width="6.25" style="185" customWidth="1"/>
    <x:col min="10772" max="10773" width="10" style="185" customWidth="1"/>
    <x:col min="10774" max="10779" width="7.5" style="185" customWidth="1"/>
    <x:col min="10780" max="10781" width="12.5" style="185" customWidth="1"/>
    <x:col min="10782" max="10784" width="10" style="185" customWidth="1"/>
    <x:col min="10785" max="10785" width="8.75" style="185" customWidth="1"/>
    <x:col min="10786" max="10786" width="15" style="185" customWidth="1"/>
    <x:col min="10787" max="10787" width="7.5" style="185" customWidth="1"/>
    <x:col min="10788" max="10788" width="22.75" style="185" customWidth="1"/>
    <x:col min="10789" max="10791" width="6.25" style="185" customWidth="1"/>
    <x:col min="10792" max="10793" width="10" style="185" customWidth="1"/>
    <x:col min="10794" max="10799" width="7.5" style="185" customWidth="1"/>
    <x:col min="10800" max="10801" width="12.5" style="185" customWidth="1"/>
    <x:col min="10802" max="10804" width="10" style="185" customWidth="1"/>
    <x:col min="10805" max="10806" width="12.5" style="185" customWidth="1"/>
    <x:col min="10807" max="11002" width="9" style="185" customWidth="0"/>
    <x:col min="11003" max="11003" width="7.5" style="185" customWidth="1"/>
    <x:col min="11004" max="11004" width="21.25" style="185" customWidth="1"/>
    <x:col min="11005" max="11007" width="6.25" style="185" customWidth="1"/>
    <x:col min="11008" max="11009" width="10" style="185" customWidth="1"/>
    <x:col min="11010" max="11015" width="7.5" style="185" customWidth="1"/>
    <x:col min="11016" max="11017" width="12.5" style="185" customWidth="1"/>
    <x:col min="11018" max="11020" width="10" style="185" customWidth="1"/>
    <x:col min="11021" max="11021" width="8.75" style="185" customWidth="1"/>
    <x:col min="11022" max="11022" width="15" style="185" customWidth="1"/>
    <x:col min="11023" max="11023" width="7.5" style="185" customWidth="1"/>
    <x:col min="11024" max="11024" width="21.25" style="185" customWidth="1"/>
    <x:col min="11025" max="11027" width="6.25" style="185" customWidth="1"/>
    <x:col min="11028" max="11029" width="10" style="185" customWidth="1"/>
    <x:col min="11030" max="11035" width="7.5" style="185" customWidth="1"/>
    <x:col min="11036" max="11037" width="12.5" style="185" customWidth="1"/>
    <x:col min="11038" max="11040" width="10" style="185" customWidth="1"/>
    <x:col min="11041" max="11041" width="8.75" style="185" customWidth="1"/>
    <x:col min="11042" max="11042" width="15" style="185" customWidth="1"/>
    <x:col min="11043" max="11043" width="7.5" style="185" customWidth="1"/>
    <x:col min="11044" max="11044" width="22.75" style="185" customWidth="1"/>
    <x:col min="11045" max="11047" width="6.25" style="185" customWidth="1"/>
    <x:col min="11048" max="11049" width="10" style="185" customWidth="1"/>
    <x:col min="11050" max="11055" width="7.5" style="185" customWidth="1"/>
    <x:col min="11056" max="11057" width="12.5" style="185" customWidth="1"/>
    <x:col min="11058" max="11060" width="10" style="185" customWidth="1"/>
    <x:col min="11061" max="11062" width="12.5" style="185" customWidth="1"/>
    <x:col min="11063" max="11258" width="9" style="185" customWidth="0"/>
    <x:col min="11259" max="11259" width="7.5" style="185" customWidth="1"/>
    <x:col min="11260" max="11260" width="21.25" style="185" customWidth="1"/>
    <x:col min="11261" max="11263" width="6.25" style="185" customWidth="1"/>
    <x:col min="11264" max="11265" width="10" style="185" customWidth="1"/>
    <x:col min="11266" max="11271" width="7.5" style="185" customWidth="1"/>
    <x:col min="11272" max="11273" width="12.5" style="185" customWidth="1"/>
    <x:col min="11274" max="11276" width="10" style="185" customWidth="1"/>
    <x:col min="11277" max="11277" width="8.75" style="185" customWidth="1"/>
    <x:col min="11278" max="11278" width="15" style="185" customWidth="1"/>
    <x:col min="11279" max="11279" width="7.5" style="185" customWidth="1"/>
    <x:col min="11280" max="11280" width="21.25" style="185" customWidth="1"/>
    <x:col min="11281" max="11283" width="6.25" style="185" customWidth="1"/>
    <x:col min="11284" max="11285" width="10" style="185" customWidth="1"/>
    <x:col min="11286" max="11291" width="7.5" style="185" customWidth="1"/>
    <x:col min="11292" max="11293" width="12.5" style="185" customWidth="1"/>
    <x:col min="11294" max="11296" width="10" style="185" customWidth="1"/>
    <x:col min="11297" max="11297" width="8.75" style="185" customWidth="1"/>
    <x:col min="11298" max="11298" width="15" style="185" customWidth="1"/>
    <x:col min="11299" max="11299" width="7.5" style="185" customWidth="1"/>
    <x:col min="11300" max="11300" width="22.75" style="185" customWidth="1"/>
    <x:col min="11301" max="11303" width="6.25" style="185" customWidth="1"/>
    <x:col min="11304" max="11305" width="10" style="185" customWidth="1"/>
    <x:col min="11306" max="11311" width="7.5" style="185" customWidth="1"/>
    <x:col min="11312" max="11313" width="12.5" style="185" customWidth="1"/>
    <x:col min="11314" max="11316" width="10" style="185" customWidth="1"/>
    <x:col min="11317" max="11318" width="12.5" style="185" customWidth="1"/>
    <x:col min="11319" max="11514" width="9" style="185" customWidth="0"/>
    <x:col min="11515" max="11515" width="7.5" style="185" customWidth="1"/>
    <x:col min="11516" max="11516" width="21.25" style="185" customWidth="1"/>
    <x:col min="11517" max="11519" width="6.25" style="185" customWidth="1"/>
    <x:col min="11520" max="11521" width="10" style="185" customWidth="1"/>
    <x:col min="11522" max="11527" width="7.5" style="185" customWidth="1"/>
    <x:col min="11528" max="11529" width="12.5" style="185" customWidth="1"/>
    <x:col min="11530" max="11532" width="10" style="185" customWidth="1"/>
    <x:col min="11533" max="11533" width="8.75" style="185" customWidth="1"/>
    <x:col min="11534" max="11534" width="15" style="185" customWidth="1"/>
    <x:col min="11535" max="11535" width="7.5" style="185" customWidth="1"/>
    <x:col min="11536" max="11536" width="21.25" style="185" customWidth="1"/>
    <x:col min="11537" max="11539" width="6.25" style="185" customWidth="1"/>
    <x:col min="11540" max="11541" width="10" style="185" customWidth="1"/>
    <x:col min="11542" max="11547" width="7.5" style="185" customWidth="1"/>
    <x:col min="11548" max="11549" width="12.5" style="185" customWidth="1"/>
    <x:col min="11550" max="11552" width="10" style="185" customWidth="1"/>
    <x:col min="11553" max="11553" width="8.75" style="185" customWidth="1"/>
    <x:col min="11554" max="11554" width="15" style="185" customWidth="1"/>
    <x:col min="11555" max="11555" width="7.5" style="185" customWidth="1"/>
    <x:col min="11556" max="11556" width="22.75" style="185" customWidth="1"/>
    <x:col min="11557" max="11559" width="6.25" style="185" customWidth="1"/>
    <x:col min="11560" max="11561" width="10" style="185" customWidth="1"/>
    <x:col min="11562" max="11567" width="7.5" style="185" customWidth="1"/>
    <x:col min="11568" max="11569" width="12.5" style="185" customWidth="1"/>
    <x:col min="11570" max="11572" width="10" style="185" customWidth="1"/>
    <x:col min="11573" max="11574" width="12.5" style="185" customWidth="1"/>
    <x:col min="11575" max="11770" width="9" style="185" customWidth="0"/>
    <x:col min="11771" max="11771" width="7.5" style="185" customWidth="1"/>
    <x:col min="11772" max="11772" width="21.25" style="185" customWidth="1"/>
    <x:col min="11773" max="11775" width="6.25" style="185" customWidth="1"/>
    <x:col min="11776" max="11777" width="10" style="185" customWidth="1"/>
    <x:col min="11778" max="11783" width="7.5" style="185" customWidth="1"/>
    <x:col min="11784" max="11785" width="12.5" style="185" customWidth="1"/>
    <x:col min="11786" max="11788" width="10" style="185" customWidth="1"/>
    <x:col min="11789" max="11789" width="8.75" style="185" customWidth="1"/>
    <x:col min="11790" max="11790" width="15" style="185" customWidth="1"/>
    <x:col min="11791" max="11791" width="7.5" style="185" customWidth="1"/>
    <x:col min="11792" max="11792" width="21.25" style="185" customWidth="1"/>
    <x:col min="11793" max="11795" width="6.25" style="185" customWidth="1"/>
    <x:col min="11796" max="11797" width="10" style="185" customWidth="1"/>
    <x:col min="11798" max="11803" width="7.5" style="185" customWidth="1"/>
    <x:col min="11804" max="11805" width="12.5" style="185" customWidth="1"/>
    <x:col min="11806" max="11808" width="10" style="185" customWidth="1"/>
    <x:col min="11809" max="11809" width="8.75" style="185" customWidth="1"/>
    <x:col min="11810" max="11810" width="15" style="185" customWidth="1"/>
    <x:col min="11811" max="11811" width="7.5" style="185" customWidth="1"/>
    <x:col min="11812" max="11812" width="22.75" style="185" customWidth="1"/>
    <x:col min="11813" max="11815" width="6.25" style="185" customWidth="1"/>
    <x:col min="11816" max="11817" width="10" style="185" customWidth="1"/>
    <x:col min="11818" max="11823" width="7.5" style="185" customWidth="1"/>
    <x:col min="11824" max="11825" width="12.5" style="185" customWidth="1"/>
    <x:col min="11826" max="11828" width="10" style="185" customWidth="1"/>
    <x:col min="11829" max="11830" width="12.5" style="185" customWidth="1"/>
    <x:col min="11831" max="12026" width="9" style="185" customWidth="0"/>
    <x:col min="12027" max="12027" width="7.5" style="185" customWidth="1"/>
    <x:col min="12028" max="12028" width="21.25" style="185" customWidth="1"/>
    <x:col min="12029" max="12031" width="6.25" style="185" customWidth="1"/>
    <x:col min="12032" max="12033" width="10" style="185" customWidth="1"/>
    <x:col min="12034" max="12039" width="7.5" style="185" customWidth="1"/>
    <x:col min="12040" max="12041" width="12.5" style="185" customWidth="1"/>
    <x:col min="12042" max="12044" width="10" style="185" customWidth="1"/>
    <x:col min="12045" max="12045" width="8.75" style="185" customWidth="1"/>
    <x:col min="12046" max="12046" width="15" style="185" customWidth="1"/>
    <x:col min="12047" max="12047" width="7.5" style="185" customWidth="1"/>
    <x:col min="12048" max="12048" width="21.25" style="185" customWidth="1"/>
    <x:col min="12049" max="12051" width="6.25" style="185" customWidth="1"/>
    <x:col min="12052" max="12053" width="10" style="185" customWidth="1"/>
    <x:col min="12054" max="12059" width="7.5" style="185" customWidth="1"/>
    <x:col min="12060" max="12061" width="12.5" style="185" customWidth="1"/>
    <x:col min="12062" max="12064" width="10" style="185" customWidth="1"/>
    <x:col min="12065" max="12065" width="8.75" style="185" customWidth="1"/>
    <x:col min="12066" max="12066" width="15" style="185" customWidth="1"/>
    <x:col min="12067" max="12067" width="7.5" style="185" customWidth="1"/>
    <x:col min="12068" max="12068" width="22.75" style="185" customWidth="1"/>
    <x:col min="12069" max="12071" width="6.25" style="185" customWidth="1"/>
    <x:col min="12072" max="12073" width="10" style="185" customWidth="1"/>
    <x:col min="12074" max="12079" width="7.5" style="185" customWidth="1"/>
    <x:col min="12080" max="12081" width="12.5" style="185" customWidth="1"/>
    <x:col min="12082" max="12084" width="10" style="185" customWidth="1"/>
    <x:col min="12085" max="12086" width="12.5" style="185" customWidth="1"/>
    <x:col min="12087" max="12282" width="9" style="185" customWidth="0"/>
    <x:col min="12283" max="12283" width="7.5" style="185" customWidth="1"/>
    <x:col min="12284" max="12284" width="21.25" style="185" customWidth="1"/>
    <x:col min="12285" max="12287" width="6.25" style="185" customWidth="1"/>
    <x:col min="12288" max="12289" width="10" style="185" customWidth="1"/>
    <x:col min="12290" max="12295" width="7.5" style="185" customWidth="1"/>
    <x:col min="12296" max="12297" width="12.5" style="185" customWidth="1"/>
    <x:col min="12298" max="12300" width="10" style="185" customWidth="1"/>
    <x:col min="12301" max="12301" width="8.75" style="185" customWidth="1"/>
    <x:col min="12302" max="12302" width="15" style="185" customWidth="1"/>
    <x:col min="12303" max="12303" width="7.5" style="185" customWidth="1"/>
    <x:col min="12304" max="12304" width="21.25" style="185" customWidth="1"/>
    <x:col min="12305" max="12307" width="6.25" style="185" customWidth="1"/>
    <x:col min="12308" max="12309" width="10" style="185" customWidth="1"/>
    <x:col min="12310" max="12315" width="7.5" style="185" customWidth="1"/>
    <x:col min="12316" max="12317" width="12.5" style="185" customWidth="1"/>
    <x:col min="12318" max="12320" width="10" style="185" customWidth="1"/>
    <x:col min="12321" max="12321" width="8.75" style="185" customWidth="1"/>
    <x:col min="12322" max="12322" width="15" style="185" customWidth="1"/>
    <x:col min="12323" max="12323" width="7.5" style="185" customWidth="1"/>
    <x:col min="12324" max="12324" width="22.75" style="185" customWidth="1"/>
    <x:col min="12325" max="12327" width="6.25" style="185" customWidth="1"/>
    <x:col min="12328" max="12329" width="10" style="185" customWidth="1"/>
    <x:col min="12330" max="12335" width="7.5" style="185" customWidth="1"/>
    <x:col min="12336" max="12337" width="12.5" style="185" customWidth="1"/>
    <x:col min="12338" max="12340" width="10" style="185" customWidth="1"/>
    <x:col min="12341" max="12342" width="12.5" style="185" customWidth="1"/>
    <x:col min="12343" max="12538" width="9" style="185" customWidth="0"/>
    <x:col min="12539" max="12539" width="7.5" style="185" customWidth="1"/>
    <x:col min="12540" max="12540" width="21.25" style="185" customWidth="1"/>
    <x:col min="12541" max="12543" width="6.25" style="185" customWidth="1"/>
    <x:col min="12544" max="12545" width="10" style="185" customWidth="1"/>
    <x:col min="12546" max="12551" width="7.5" style="185" customWidth="1"/>
    <x:col min="12552" max="12553" width="12.5" style="185" customWidth="1"/>
    <x:col min="12554" max="12556" width="10" style="185" customWidth="1"/>
    <x:col min="12557" max="12557" width="8.75" style="185" customWidth="1"/>
    <x:col min="12558" max="12558" width="15" style="185" customWidth="1"/>
    <x:col min="12559" max="12559" width="7.5" style="185" customWidth="1"/>
    <x:col min="12560" max="12560" width="21.25" style="185" customWidth="1"/>
    <x:col min="12561" max="12563" width="6.25" style="185" customWidth="1"/>
    <x:col min="12564" max="12565" width="10" style="185" customWidth="1"/>
    <x:col min="12566" max="12571" width="7.5" style="185" customWidth="1"/>
    <x:col min="12572" max="12573" width="12.5" style="185" customWidth="1"/>
    <x:col min="12574" max="12576" width="10" style="185" customWidth="1"/>
    <x:col min="12577" max="12577" width="8.75" style="185" customWidth="1"/>
    <x:col min="12578" max="12578" width="15" style="185" customWidth="1"/>
    <x:col min="12579" max="12579" width="7.5" style="185" customWidth="1"/>
    <x:col min="12580" max="12580" width="22.75" style="185" customWidth="1"/>
    <x:col min="12581" max="12583" width="6.25" style="185" customWidth="1"/>
    <x:col min="12584" max="12585" width="10" style="185" customWidth="1"/>
    <x:col min="12586" max="12591" width="7.5" style="185" customWidth="1"/>
    <x:col min="12592" max="12593" width="12.5" style="185" customWidth="1"/>
    <x:col min="12594" max="12596" width="10" style="185" customWidth="1"/>
    <x:col min="12597" max="12598" width="12.5" style="185" customWidth="1"/>
    <x:col min="12599" max="12794" width="9" style="185" customWidth="0"/>
    <x:col min="12795" max="12795" width="7.5" style="185" customWidth="1"/>
    <x:col min="12796" max="12796" width="21.25" style="185" customWidth="1"/>
    <x:col min="12797" max="12799" width="6.25" style="185" customWidth="1"/>
    <x:col min="12800" max="12801" width="10" style="185" customWidth="1"/>
    <x:col min="12802" max="12807" width="7.5" style="185" customWidth="1"/>
    <x:col min="12808" max="12809" width="12.5" style="185" customWidth="1"/>
    <x:col min="12810" max="12812" width="10" style="185" customWidth="1"/>
    <x:col min="12813" max="12813" width="8.75" style="185" customWidth="1"/>
    <x:col min="12814" max="12814" width="15" style="185" customWidth="1"/>
    <x:col min="12815" max="12815" width="7.5" style="185" customWidth="1"/>
    <x:col min="12816" max="12816" width="21.25" style="185" customWidth="1"/>
    <x:col min="12817" max="12819" width="6.25" style="185" customWidth="1"/>
    <x:col min="12820" max="12821" width="10" style="185" customWidth="1"/>
    <x:col min="12822" max="12827" width="7.5" style="185" customWidth="1"/>
    <x:col min="12828" max="12829" width="12.5" style="185" customWidth="1"/>
    <x:col min="12830" max="12832" width="10" style="185" customWidth="1"/>
    <x:col min="12833" max="12833" width="8.75" style="185" customWidth="1"/>
    <x:col min="12834" max="12834" width="15" style="185" customWidth="1"/>
    <x:col min="12835" max="12835" width="7.5" style="185" customWidth="1"/>
    <x:col min="12836" max="12836" width="22.75" style="185" customWidth="1"/>
    <x:col min="12837" max="12839" width="6.25" style="185" customWidth="1"/>
    <x:col min="12840" max="12841" width="10" style="185" customWidth="1"/>
    <x:col min="12842" max="12847" width="7.5" style="185" customWidth="1"/>
    <x:col min="12848" max="12849" width="12.5" style="185" customWidth="1"/>
    <x:col min="12850" max="12852" width="10" style="185" customWidth="1"/>
    <x:col min="12853" max="12854" width="12.5" style="185" customWidth="1"/>
    <x:col min="12855" max="13050" width="9" style="185" customWidth="0"/>
    <x:col min="13051" max="13051" width="7.5" style="185" customWidth="1"/>
    <x:col min="13052" max="13052" width="21.25" style="185" customWidth="1"/>
    <x:col min="13053" max="13055" width="6.25" style="185" customWidth="1"/>
    <x:col min="13056" max="13057" width="10" style="185" customWidth="1"/>
    <x:col min="13058" max="13063" width="7.5" style="185" customWidth="1"/>
    <x:col min="13064" max="13065" width="12.5" style="185" customWidth="1"/>
    <x:col min="13066" max="13068" width="10" style="185" customWidth="1"/>
    <x:col min="13069" max="13069" width="8.75" style="185" customWidth="1"/>
    <x:col min="13070" max="13070" width="15" style="185" customWidth="1"/>
    <x:col min="13071" max="13071" width="7.5" style="185" customWidth="1"/>
    <x:col min="13072" max="13072" width="21.25" style="185" customWidth="1"/>
    <x:col min="13073" max="13075" width="6.25" style="185" customWidth="1"/>
    <x:col min="13076" max="13077" width="10" style="185" customWidth="1"/>
    <x:col min="13078" max="13083" width="7.5" style="185" customWidth="1"/>
    <x:col min="13084" max="13085" width="12.5" style="185" customWidth="1"/>
    <x:col min="13086" max="13088" width="10" style="185" customWidth="1"/>
    <x:col min="13089" max="13089" width="8.75" style="185" customWidth="1"/>
    <x:col min="13090" max="13090" width="15" style="185" customWidth="1"/>
    <x:col min="13091" max="13091" width="7.5" style="185" customWidth="1"/>
    <x:col min="13092" max="13092" width="22.75" style="185" customWidth="1"/>
    <x:col min="13093" max="13095" width="6.25" style="185" customWidth="1"/>
    <x:col min="13096" max="13097" width="10" style="185" customWidth="1"/>
    <x:col min="13098" max="13103" width="7.5" style="185" customWidth="1"/>
    <x:col min="13104" max="13105" width="12.5" style="185" customWidth="1"/>
    <x:col min="13106" max="13108" width="10" style="185" customWidth="1"/>
    <x:col min="13109" max="13110" width="12.5" style="185" customWidth="1"/>
    <x:col min="13111" max="13306" width="9" style="185" customWidth="0"/>
    <x:col min="13307" max="13307" width="7.5" style="185" customWidth="1"/>
    <x:col min="13308" max="13308" width="21.25" style="185" customWidth="1"/>
    <x:col min="13309" max="13311" width="6.25" style="185" customWidth="1"/>
    <x:col min="13312" max="13313" width="10" style="185" customWidth="1"/>
    <x:col min="13314" max="13319" width="7.5" style="185" customWidth="1"/>
    <x:col min="13320" max="13321" width="12.5" style="185" customWidth="1"/>
    <x:col min="13322" max="13324" width="10" style="185" customWidth="1"/>
    <x:col min="13325" max="13325" width="8.75" style="185" customWidth="1"/>
    <x:col min="13326" max="13326" width="15" style="185" customWidth="1"/>
    <x:col min="13327" max="13327" width="7.5" style="185" customWidth="1"/>
    <x:col min="13328" max="13328" width="21.25" style="185" customWidth="1"/>
    <x:col min="13329" max="13331" width="6.25" style="185" customWidth="1"/>
    <x:col min="13332" max="13333" width="10" style="185" customWidth="1"/>
    <x:col min="13334" max="13339" width="7.5" style="185" customWidth="1"/>
    <x:col min="13340" max="13341" width="12.5" style="185" customWidth="1"/>
    <x:col min="13342" max="13344" width="10" style="185" customWidth="1"/>
    <x:col min="13345" max="13345" width="8.75" style="185" customWidth="1"/>
    <x:col min="13346" max="13346" width="15" style="185" customWidth="1"/>
    <x:col min="13347" max="13347" width="7.5" style="185" customWidth="1"/>
    <x:col min="13348" max="13348" width="22.75" style="185" customWidth="1"/>
    <x:col min="13349" max="13351" width="6.25" style="185" customWidth="1"/>
    <x:col min="13352" max="13353" width="10" style="185" customWidth="1"/>
    <x:col min="13354" max="13359" width="7.5" style="185" customWidth="1"/>
    <x:col min="13360" max="13361" width="12.5" style="185" customWidth="1"/>
    <x:col min="13362" max="13364" width="10" style="185" customWidth="1"/>
    <x:col min="13365" max="13366" width="12.5" style="185" customWidth="1"/>
    <x:col min="13367" max="13562" width="9" style="185" customWidth="0"/>
    <x:col min="13563" max="13563" width="7.5" style="185" customWidth="1"/>
    <x:col min="13564" max="13564" width="21.25" style="185" customWidth="1"/>
    <x:col min="13565" max="13567" width="6.25" style="185" customWidth="1"/>
    <x:col min="13568" max="13569" width="10" style="185" customWidth="1"/>
    <x:col min="13570" max="13575" width="7.5" style="185" customWidth="1"/>
    <x:col min="13576" max="13577" width="12.5" style="185" customWidth="1"/>
    <x:col min="13578" max="13580" width="10" style="185" customWidth="1"/>
    <x:col min="13581" max="13581" width="8.75" style="185" customWidth="1"/>
    <x:col min="13582" max="13582" width="15" style="185" customWidth="1"/>
    <x:col min="13583" max="13583" width="7.5" style="185" customWidth="1"/>
    <x:col min="13584" max="13584" width="21.25" style="185" customWidth="1"/>
    <x:col min="13585" max="13587" width="6.25" style="185" customWidth="1"/>
    <x:col min="13588" max="13589" width="10" style="185" customWidth="1"/>
    <x:col min="13590" max="13595" width="7.5" style="185" customWidth="1"/>
    <x:col min="13596" max="13597" width="12.5" style="185" customWidth="1"/>
    <x:col min="13598" max="13600" width="10" style="185" customWidth="1"/>
    <x:col min="13601" max="13601" width="8.75" style="185" customWidth="1"/>
    <x:col min="13602" max="13602" width="15" style="185" customWidth="1"/>
    <x:col min="13603" max="13603" width="7.5" style="185" customWidth="1"/>
    <x:col min="13604" max="13604" width="22.75" style="185" customWidth="1"/>
    <x:col min="13605" max="13607" width="6.25" style="185" customWidth="1"/>
    <x:col min="13608" max="13609" width="10" style="185" customWidth="1"/>
    <x:col min="13610" max="13615" width="7.5" style="185" customWidth="1"/>
    <x:col min="13616" max="13617" width="12.5" style="185" customWidth="1"/>
    <x:col min="13618" max="13620" width="10" style="185" customWidth="1"/>
    <x:col min="13621" max="13622" width="12.5" style="185" customWidth="1"/>
    <x:col min="13623" max="13818" width="9" style="185" customWidth="0"/>
    <x:col min="13819" max="13819" width="7.5" style="185" customWidth="1"/>
    <x:col min="13820" max="13820" width="21.25" style="185" customWidth="1"/>
    <x:col min="13821" max="13823" width="6.25" style="185" customWidth="1"/>
    <x:col min="13824" max="13825" width="10" style="185" customWidth="1"/>
    <x:col min="13826" max="13831" width="7.5" style="185" customWidth="1"/>
    <x:col min="13832" max="13833" width="12.5" style="185" customWidth="1"/>
    <x:col min="13834" max="13836" width="10" style="185" customWidth="1"/>
    <x:col min="13837" max="13837" width="8.75" style="185" customWidth="1"/>
    <x:col min="13838" max="13838" width="15" style="185" customWidth="1"/>
    <x:col min="13839" max="13839" width="7.5" style="185" customWidth="1"/>
    <x:col min="13840" max="13840" width="21.25" style="185" customWidth="1"/>
    <x:col min="13841" max="13843" width="6.25" style="185" customWidth="1"/>
    <x:col min="13844" max="13845" width="10" style="185" customWidth="1"/>
    <x:col min="13846" max="13851" width="7.5" style="185" customWidth="1"/>
    <x:col min="13852" max="13853" width="12.5" style="185" customWidth="1"/>
    <x:col min="13854" max="13856" width="10" style="185" customWidth="1"/>
    <x:col min="13857" max="13857" width="8.75" style="185" customWidth="1"/>
    <x:col min="13858" max="13858" width="15" style="185" customWidth="1"/>
    <x:col min="13859" max="13859" width="7.5" style="185" customWidth="1"/>
    <x:col min="13860" max="13860" width="22.75" style="185" customWidth="1"/>
    <x:col min="13861" max="13863" width="6.25" style="185" customWidth="1"/>
    <x:col min="13864" max="13865" width="10" style="185" customWidth="1"/>
    <x:col min="13866" max="13871" width="7.5" style="185" customWidth="1"/>
    <x:col min="13872" max="13873" width="12.5" style="185" customWidth="1"/>
    <x:col min="13874" max="13876" width="10" style="185" customWidth="1"/>
    <x:col min="13877" max="13878" width="12.5" style="185" customWidth="1"/>
    <x:col min="13879" max="14074" width="9" style="185" customWidth="0"/>
    <x:col min="14075" max="14075" width="7.5" style="185" customWidth="1"/>
    <x:col min="14076" max="14076" width="21.25" style="185" customWidth="1"/>
    <x:col min="14077" max="14079" width="6.25" style="185" customWidth="1"/>
    <x:col min="14080" max="14081" width="10" style="185" customWidth="1"/>
    <x:col min="14082" max="14087" width="7.5" style="185" customWidth="1"/>
    <x:col min="14088" max="14089" width="12.5" style="185" customWidth="1"/>
    <x:col min="14090" max="14092" width="10" style="185" customWidth="1"/>
    <x:col min="14093" max="14093" width="8.75" style="185" customWidth="1"/>
    <x:col min="14094" max="14094" width="15" style="185" customWidth="1"/>
    <x:col min="14095" max="14095" width="7.5" style="185" customWidth="1"/>
    <x:col min="14096" max="14096" width="21.25" style="185" customWidth="1"/>
    <x:col min="14097" max="14099" width="6.25" style="185" customWidth="1"/>
    <x:col min="14100" max="14101" width="10" style="185" customWidth="1"/>
    <x:col min="14102" max="14107" width="7.5" style="185" customWidth="1"/>
    <x:col min="14108" max="14109" width="12.5" style="185" customWidth="1"/>
    <x:col min="14110" max="14112" width="10" style="185" customWidth="1"/>
    <x:col min="14113" max="14113" width="8.75" style="185" customWidth="1"/>
    <x:col min="14114" max="14114" width="15" style="185" customWidth="1"/>
    <x:col min="14115" max="14115" width="7.5" style="185" customWidth="1"/>
    <x:col min="14116" max="14116" width="22.75" style="185" customWidth="1"/>
    <x:col min="14117" max="14119" width="6.25" style="185" customWidth="1"/>
    <x:col min="14120" max="14121" width="10" style="185" customWidth="1"/>
    <x:col min="14122" max="14127" width="7.5" style="185" customWidth="1"/>
    <x:col min="14128" max="14129" width="12.5" style="185" customWidth="1"/>
    <x:col min="14130" max="14132" width="10" style="185" customWidth="1"/>
    <x:col min="14133" max="14134" width="12.5" style="185" customWidth="1"/>
    <x:col min="14135" max="14330" width="9" style="185" customWidth="0"/>
    <x:col min="14331" max="14331" width="7.5" style="185" customWidth="1"/>
    <x:col min="14332" max="14332" width="21.25" style="185" customWidth="1"/>
    <x:col min="14333" max="14335" width="6.25" style="185" customWidth="1"/>
    <x:col min="14336" max="14337" width="10" style="185" customWidth="1"/>
    <x:col min="14338" max="14343" width="7.5" style="185" customWidth="1"/>
    <x:col min="14344" max="14345" width="12.5" style="185" customWidth="1"/>
    <x:col min="14346" max="14348" width="10" style="185" customWidth="1"/>
    <x:col min="14349" max="14349" width="8.75" style="185" customWidth="1"/>
    <x:col min="14350" max="14350" width="15" style="185" customWidth="1"/>
    <x:col min="14351" max="14351" width="7.5" style="185" customWidth="1"/>
    <x:col min="14352" max="14352" width="21.25" style="185" customWidth="1"/>
    <x:col min="14353" max="14355" width="6.25" style="185" customWidth="1"/>
    <x:col min="14356" max="14357" width="10" style="185" customWidth="1"/>
    <x:col min="14358" max="14363" width="7.5" style="185" customWidth="1"/>
    <x:col min="14364" max="14365" width="12.5" style="185" customWidth="1"/>
    <x:col min="14366" max="14368" width="10" style="185" customWidth="1"/>
    <x:col min="14369" max="14369" width="8.75" style="185" customWidth="1"/>
    <x:col min="14370" max="14370" width="15" style="185" customWidth="1"/>
    <x:col min="14371" max="14371" width="7.5" style="185" customWidth="1"/>
    <x:col min="14372" max="14372" width="22.75" style="185" customWidth="1"/>
    <x:col min="14373" max="14375" width="6.25" style="185" customWidth="1"/>
    <x:col min="14376" max="14377" width="10" style="185" customWidth="1"/>
    <x:col min="14378" max="14383" width="7.5" style="185" customWidth="1"/>
    <x:col min="14384" max="14385" width="12.5" style="185" customWidth="1"/>
    <x:col min="14386" max="14388" width="10" style="185" customWidth="1"/>
    <x:col min="14389" max="14390" width="12.5" style="185" customWidth="1"/>
    <x:col min="14391" max="14586" width="9" style="185" customWidth="0"/>
    <x:col min="14587" max="14587" width="7.5" style="185" customWidth="1"/>
    <x:col min="14588" max="14588" width="21.25" style="185" customWidth="1"/>
    <x:col min="14589" max="14591" width="6.25" style="185" customWidth="1"/>
    <x:col min="14592" max="14593" width="10" style="185" customWidth="1"/>
    <x:col min="14594" max="14599" width="7.5" style="185" customWidth="1"/>
    <x:col min="14600" max="14601" width="12.5" style="185" customWidth="1"/>
    <x:col min="14602" max="14604" width="10" style="185" customWidth="1"/>
    <x:col min="14605" max="14605" width="8.75" style="185" customWidth="1"/>
    <x:col min="14606" max="14606" width="15" style="185" customWidth="1"/>
    <x:col min="14607" max="14607" width="7.5" style="185" customWidth="1"/>
    <x:col min="14608" max="14608" width="21.25" style="185" customWidth="1"/>
    <x:col min="14609" max="14611" width="6.25" style="185" customWidth="1"/>
    <x:col min="14612" max="14613" width="10" style="185" customWidth="1"/>
    <x:col min="14614" max="14619" width="7.5" style="185" customWidth="1"/>
    <x:col min="14620" max="14621" width="12.5" style="185" customWidth="1"/>
    <x:col min="14622" max="14624" width="10" style="185" customWidth="1"/>
    <x:col min="14625" max="14625" width="8.75" style="185" customWidth="1"/>
    <x:col min="14626" max="14626" width="15" style="185" customWidth="1"/>
    <x:col min="14627" max="14627" width="7.5" style="185" customWidth="1"/>
    <x:col min="14628" max="14628" width="22.75" style="185" customWidth="1"/>
    <x:col min="14629" max="14631" width="6.25" style="185" customWidth="1"/>
    <x:col min="14632" max="14633" width="10" style="185" customWidth="1"/>
    <x:col min="14634" max="14639" width="7.5" style="185" customWidth="1"/>
    <x:col min="14640" max="14641" width="12.5" style="185" customWidth="1"/>
    <x:col min="14642" max="14644" width="10" style="185" customWidth="1"/>
    <x:col min="14645" max="14646" width="12.5" style="185" customWidth="1"/>
    <x:col min="14647" max="14842" width="9" style="185" customWidth="0"/>
    <x:col min="14843" max="14843" width="7.5" style="185" customWidth="1"/>
    <x:col min="14844" max="14844" width="21.25" style="185" customWidth="1"/>
    <x:col min="14845" max="14847" width="6.25" style="185" customWidth="1"/>
    <x:col min="14848" max="14849" width="10" style="185" customWidth="1"/>
    <x:col min="14850" max="14855" width="7.5" style="185" customWidth="1"/>
    <x:col min="14856" max="14857" width="12.5" style="185" customWidth="1"/>
    <x:col min="14858" max="14860" width="10" style="185" customWidth="1"/>
    <x:col min="14861" max="14861" width="8.75" style="185" customWidth="1"/>
    <x:col min="14862" max="14862" width="15" style="185" customWidth="1"/>
    <x:col min="14863" max="14863" width="7.5" style="185" customWidth="1"/>
    <x:col min="14864" max="14864" width="21.25" style="185" customWidth="1"/>
    <x:col min="14865" max="14867" width="6.25" style="185" customWidth="1"/>
    <x:col min="14868" max="14869" width="10" style="185" customWidth="1"/>
    <x:col min="14870" max="14875" width="7.5" style="185" customWidth="1"/>
    <x:col min="14876" max="14877" width="12.5" style="185" customWidth="1"/>
    <x:col min="14878" max="14880" width="10" style="185" customWidth="1"/>
    <x:col min="14881" max="14881" width="8.75" style="185" customWidth="1"/>
    <x:col min="14882" max="14882" width="15" style="185" customWidth="1"/>
    <x:col min="14883" max="14883" width="7.5" style="185" customWidth="1"/>
    <x:col min="14884" max="14884" width="22.75" style="185" customWidth="1"/>
    <x:col min="14885" max="14887" width="6.25" style="185" customWidth="1"/>
    <x:col min="14888" max="14889" width="10" style="185" customWidth="1"/>
    <x:col min="14890" max="14895" width="7.5" style="185" customWidth="1"/>
    <x:col min="14896" max="14897" width="12.5" style="185" customWidth="1"/>
    <x:col min="14898" max="14900" width="10" style="185" customWidth="1"/>
    <x:col min="14901" max="14902" width="12.5" style="185" customWidth="1"/>
    <x:col min="14903" max="15098" width="9" style="185" customWidth="0"/>
    <x:col min="15099" max="15099" width="7.5" style="185" customWidth="1"/>
    <x:col min="15100" max="15100" width="21.25" style="185" customWidth="1"/>
    <x:col min="15101" max="15103" width="6.25" style="185" customWidth="1"/>
    <x:col min="15104" max="15105" width="10" style="185" customWidth="1"/>
    <x:col min="15106" max="15111" width="7.5" style="185" customWidth="1"/>
    <x:col min="15112" max="15113" width="12.5" style="185" customWidth="1"/>
    <x:col min="15114" max="15116" width="10" style="185" customWidth="1"/>
    <x:col min="15117" max="15117" width="8.75" style="185" customWidth="1"/>
    <x:col min="15118" max="15118" width="15" style="185" customWidth="1"/>
    <x:col min="15119" max="15119" width="7.5" style="185" customWidth="1"/>
    <x:col min="15120" max="15120" width="21.25" style="185" customWidth="1"/>
    <x:col min="15121" max="15123" width="6.25" style="185" customWidth="1"/>
    <x:col min="15124" max="15125" width="10" style="185" customWidth="1"/>
    <x:col min="15126" max="15131" width="7.5" style="185" customWidth="1"/>
    <x:col min="15132" max="15133" width="12.5" style="185" customWidth="1"/>
    <x:col min="15134" max="15136" width="10" style="185" customWidth="1"/>
    <x:col min="15137" max="15137" width="8.75" style="185" customWidth="1"/>
    <x:col min="15138" max="15138" width="15" style="185" customWidth="1"/>
    <x:col min="15139" max="15139" width="7.5" style="185" customWidth="1"/>
    <x:col min="15140" max="15140" width="22.75" style="185" customWidth="1"/>
    <x:col min="15141" max="15143" width="6.25" style="185" customWidth="1"/>
    <x:col min="15144" max="15145" width="10" style="185" customWidth="1"/>
    <x:col min="15146" max="15151" width="7.5" style="185" customWidth="1"/>
    <x:col min="15152" max="15153" width="12.5" style="185" customWidth="1"/>
    <x:col min="15154" max="15156" width="10" style="185" customWidth="1"/>
    <x:col min="15157" max="15158" width="12.5" style="185" customWidth="1"/>
    <x:col min="15159" max="15354" width="9" style="185" customWidth="0"/>
    <x:col min="15355" max="15355" width="7.5" style="185" customWidth="1"/>
    <x:col min="15356" max="15356" width="21.25" style="185" customWidth="1"/>
    <x:col min="15357" max="15359" width="6.25" style="185" customWidth="1"/>
    <x:col min="15360" max="15361" width="10" style="185" customWidth="1"/>
    <x:col min="15362" max="15367" width="7.5" style="185" customWidth="1"/>
    <x:col min="15368" max="15369" width="12.5" style="185" customWidth="1"/>
    <x:col min="15370" max="15372" width="10" style="185" customWidth="1"/>
    <x:col min="15373" max="15373" width="8.75" style="185" customWidth="1"/>
    <x:col min="15374" max="15374" width="15" style="185" customWidth="1"/>
    <x:col min="15375" max="15375" width="7.5" style="185" customWidth="1"/>
    <x:col min="15376" max="15376" width="21.25" style="185" customWidth="1"/>
    <x:col min="15377" max="15379" width="6.25" style="185" customWidth="1"/>
    <x:col min="15380" max="15381" width="10" style="185" customWidth="1"/>
    <x:col min="15382" max="15387" width="7.5" style="185" customWidth="1"/>
    <x:col min="15388" max="15389" width="12.5" style="185" customWidth="1"/>
    <x:col min="15390" max="15392" width="10" style="185" customWidth="1"/>
    <x:col min="15393" max="15393" width="8.75" style="185" customWidth="1"/>
    <x:col min="15394" max="15394" width="15" style="185" customWidth="1"/>
    <x:col min="15395" max="15395" width="7.5" style="185" customWidth="1"/>
    <x:col min="15396" max="15396" width="22.75" style="185" customWidth="1"/>
    <x:col min="15397" max="15399" width="6.25" style="185" customWidth="1"/>
    <x:col min="15400" max="15401" width="10" style="185" customWidth="1"/>
    <x:col min="15402" max="15407" width="7.5" style="185" customWidth="1"/>
    <x:col min="15408" max="15409" width="12.5" style="185" customWidth="1"/>
    <x:col min="15410" max="15412" width="10" style="185" customWidth="1"/>
    <x:col min="15413" max="15414" width="12.5" style="185" customWidth="1"/>
    <x:col min="15415" max="15610" width="9" style="185" customWidth="0"/>
    <x:col min="15611" max="15611" width="7.5" style="185" customWidth="1"/>
    <x:col min="15612" max="15612" width="21.25" style="185" customWidth="1"/>
    <x:col min="15613" max="15615" width="6.25" style="185" customWidth="1"/>
    <x:col min="15616" max="15617" width="10" style="185" customWidth="1"/>
    <x:col min="15618" max="15623" width="7.5" style="185" customWidth="1"/>
    <x:col min="15624" max="15625" width="12.5" style="185" customWidth="1"/>
    <x:col min="15626" max="15628" width="10" style="185" customWidth="1"/>
    <x:col min="15629" max="15629" width="8.75" style="185" customWidth="1"/>
    <x:col min="15630" max="15630" width="15" style="185" customWidth="1"/>
    <x:col min="15631" max="15631" width="7.5" style="185" customWidth="1"/>
    <x:col min="15632" max="15632" width="21.25" style="185" customWidth="1"/>
    <x:col min="15633" max="15635" width="6.25" style="185" customWidth="1"/>
    <x:col min="15636" max="15637" width="10" style="185" customWidth="1"/>
    <x:col min="15638" max="15643" width="7.5" style="185" customWidth="1"/>
    <x:col min="15644" max="15645" width="12.5" style="185" customWidth="1"/>
    <x:col min="15646" max="15648" width="10" style="185" customWidth="1"/>
    <x:col min="15649" max="15649" width="8.75" style="185" customWidth="1"/>
    <x:col min="15650" max="15650" width="15" style="185" customWidth="1"/>
    <x:col min="15651" max="15651" width="7.5" style="185" customWidth="1"/>
    <x:col min="15652" max="15652" width="22.75" style="185" customWidth="1"/>
    <x:col min="15653" max="15655" width="6.25" style="185" customWidth="1"/>
    <x:col min="15656" max="15657" width="10" style="185" customWidth="1"/>
    <x:col min="15658" max="15663" width="7.5" style="185" customWidth="1"/>
    <x:col min="15664" max="15665" width="12.5" style="185" customWidth="1"/>
    <x:col min="15666" max="15668" width="10" style="185" customWidth="1"/>
    <x:col min="15669" max="15670" width="12.5" style="185" customWidth="1"/>
    <x:col min="15671" max="15866" width="9" style="185" customWidth="0"/>
    <x:col min="15867" max="15867" width="7.5" style="185" customWidth="1"/>
    <x:col min="15868" max="15868" width="21.25" style="185" customWidth="1"/>
    <x:col min="15869" max="15871" width="6.25" style="185" customWidth="1"/>
    <x:col min="15872" max="15873" width="10" style="185" customWidth="1"/>
    <x:col min="15874" max="15879" width="7.5" style="185" customWidth="1"/>
    <x:col min="15880" max="15881" width="12.5" style="185" customWidth="1"/>
    <x:col min="15882" max="15884" width="10" style="185" customWidth="1"/>
    <x:col min="15885" max="15885" width="8.75" style="185" customWidth="1"/>
    <x:col min="15886" max="15886" width="15" style="185" customWidth="1"/>
    <x:col min="15887" max="15887" width="7.5" style="185" customWidth="1"/>
    <x:col min="15888" max="15888" width="21.25" style="185" customWidth="1"/>
    <x:col min="15889" max="15891" width="6.25" style="185" customWidth="1"/>
    <x:col min="15892" max="15893" width="10" style="185" customWidth="1"/>
    <x:col min="15894" max="15899" width="7.5" style="185" customWidth="1"/>
    <x:col min="15900" max="15901" width="12.5" style="185" customWidth="1"/>
    <x:col min="15902" max="15904" width="10" style="185" customWidth="1"/>
    <x:col min="15905" max="15905" width="8.75" style="185" customWidth="1"/>
    <x:col min="15906" max="15906" width="15" style="185" customWidth="1"/>
    <x:col min="15907" max="15907" width="7.5" style="185" customWidth="1"/>
    <x:col min="15908" max="15908" width="22.75" style="185" customWidth="1"/>
    <x:col min="15909" max="15911" width="6.25" style="185" customWidth="1"/>
    <x:col min="15912" max="15913" width="10" style="185" customWidth="1"/>
    <x:col min="15914" max="15919" width="7.5" style="185" customWidth="1"/>
    <x:col min="15920" max="15921" width="12.5" style="185" customWidth="1"/>
    <x:col min="15922" max="15924" width="10" style="185" customWidth="1"/>
    <x:col min="15925" max="15926" width="12.5" style="185" customWidth="1"/>
    <x:col min="15927" max="16122" width="9" style="185" customWidth="0"/>
    <x:col min="16123" max="16123" width="7.5" style="185" customWidth="1"/>
    <x:col min="16124" max="16124" width="21.25" style="185" customWidth="1"/>
    <x:col min="16125" max="16127" width="6.25" style="185" customWidth="1"/>
    <x:col min="16128" max="16129" width="10" style="185" customWidth="1"/>
    <x:col min="16130" max="16135" width="7.5" style="185" customWidth="1"/>
    <x:col min="16136" max="16137" width="12.5" style="185" customWidth="1"/>
    <x:col min="16138" max="16140" width="10" style="185" customWidth="1"/>
    <x:col min="16141" max="16141" width="8.75" style="185" customWidth="1"/>
    <x:col min="16142" max="16142" width="15" style="185" customWidth="1"/>
    <x:col min="16143" max="16143" width="7.5" style="185" customWidth="1"/>
    <x:col min="16144" max="16144" width="21.25" style="185" customWidth="1"/>
    <x:col min="16145" max="16147" width="6.25" style="185" customWidth="1"/>
    <x:col min="16148" max="16149" width="10" style="185" customWidth="1"/>
    <x:col min="16150" max="16155" width="7.5" style="185" customWidth="1"/>
    <x:col min="16156" max="16157" width="12.5" style="185" customWidth="1"/>
    <x:col min="16158" max="16160" width="10" style="185" customWidth="1"/>
    <x:col min="16161" max="16161" width="8.75" style="185" customWidth="1"/>
    <x:col min="16162" max="16162" width="15" style="185" customWidth="1"/>
    <x:col min="16163" max="16163" width="7.5" style="185" customWidth="1"/>
    <x:col min="16164" max="16164" width="22.75" style="185" customWidth="1"/>
    <x:col min="16165" max="16167" width="6.25" style="185" customWidth="1"/>
    <x:col min="16168" max="16169" width="10" style="185" customWidth="1"/>
    <x:col min="16170" max="16175" width="7.5" style="185" customWidth="1"/>
    <x:col min="16176" max="16177" width="12.5" style="185" customWidth="1"/>
    <x:col min="16178" max="16180" width="10" style="185" customWidth="1"/>
    <x:col min="16181" max="16182" width="12.5" style="185" customWidth="1"/>
    <x:col min="16183" max="16384" width="9" style="185" customWidth="0"/>
  </x:cols>
  <x:sheetData>
    <x:row r="1" s="137" customFormat="1" ht="119.25" customHeight="1">
      <x:c r="A1" s="119" t="s">
        <x:v>0</x:v>
      </x:c>
      <x:c r="B1" s="120" t="s">
        <x:v>1</x:v>
      </x:c>
      <x:c r="C1" s="121" t="s">
        <x:v>2</x:v>
      </x:c>
      <x:c r="D1" s="122" t="s">
        <x:v>3</x:v>
      </x:c>
      <x:c r="E1" s="123" t="s">
        <x:v>4</x:v>
      </x:c>
      <x:c r="F1" s="124" t="s">
        <x:v>5</x:v>
      </x:c>
      <x:c r="G1" s="124" t="s">
        <x:v>6</x:v>
      </x:c>
      <x:c r="H1" s="124" t="s">
        <x:v>7</x:v>
      </x:c>
      <x:c r="I1" s="125" t="s">
        <x:v>8</x:v>
      </x:c>
      <x:c r="J1" s="126" t="s">
        <x:v>9</x:v>
      </x:c>
      <x:c r="K1" s="127" t="s">
        <x:v>10</x:v>
      </x:c>
      <x:c r="L1" s="128" t="s">
        <x:v>11</x:v>
      </x:c>
      <x:c r="M1" s="129" t="s">
        <x:v>12</x:v>
      </x:c>
      <x:c r="N1" s="130" t="s">
        <x:v>13</x:v>
      </x:c>
      <x:c r="O1" s="130" t="s">
        <x:v>14</x:v>
      </x:c>
      <x:c r="P1" s="131" t="s">
        <x:v>15</x:v>
      </x:c>
      <x:c r="Q1" s="132" t="s">
        <x:v>16</x:v>
      </x:c>
      <x:c r="R1" s="133" t="s">
        <x:v>17</x:v>
      </x:c>
      <x:c r="S1" s="5"/>
      <x:c r="T1" s="134"/>
      <x:c r="U1" s="135"/>
      <x:c r="V1" s="135"/>
      <x:c r="W1" s="135"/>
      <x:c r="X1" s="136"/>
      <x:c r="Y1" s="136"/>
      <x:c r="Z1" s="136"/>
      <x:c r="AA1" s="134"/>
      <x:c r="AB1" s="256"/>
      <x:c r="AC1" s="256"/>
      <x:c r="AD1" s="256"/>
      <x:c r="AE1" s="256"/>
      <x:c r="AF1" s="252"/>
      <x:c r="AG1" s="252"/>
      <x:c r="AH1" s="5"/>
      <x:c r="AI1" s="134"/>
      <x:c r="AJ1" s="252"/>
      <x:c r="AK1" s="252"/>
      <x:c r="AL1" s="252"/>
      <x:c r="AM1" s="134"/>
      <x:c r="AN1" s="136"/>
      <x:c r="AO1" s="136"/>
      <x:c r="AP1" s="134"/>
      <x:c r="AQ1" s="252"/>
      <x:c r="AR1" s="252"/>
      <x:c r="AS1" s="252"/>
      <x:c r="AT1" s="252"/>
      <x:c r="AU1" s="252"/>
      <x:c r="AV1" s="252"/>
    </x:row>
    <x:row r="2" s="3" customFormat="1" ht="54.75" customHeight="1">
      <x:c r="A2" s="138">
        <x:v>1</x:v>
      </x:c>
      <x:c r="B2" s="139" t="s">
        <x:v>18</x:v>
      </x:c>
      <x:c r="C2" s="139" t="s">
        <x:v>19</x:v>
      </x:c>
      <x:c r="D2" s="139"/>
      <x:c r="E2" s="140" t="s">
        <x:v>20</x:v>
      </x:c>
      <x:c r="F2" s="141">
        <x:v>72</x:v>
      </x:c>
      <x:c r="G2" s="141">
        <x:v>69</x:v>
      </x:c>
      <x:c r="H2" s="141">
        <x:v>68.5</x:v>
      </x:c>
      <x:c r="I2" s="142" t="e">
        <x:f>ROUNDUP(PRODUCT(テーブル1[[#This Row],[高さ　H]:[奥行　D]])/10000/4,0)</x:f>
      </x:c>
      <x:c r="J2" s="143"/>
      <x:c r="K2" s="144"/>
      <x:c r="L2" s="145"/>
      <x:c r="M2" s="146" t="n">
        <x:f>ROUNDUP(SUM(J2*L2),0)</x:f>
        <x:v>0</x:v>
      </x:c>
      <x:c r="N2" s="147" t="e">
        <x:f>SUM(テーブル1[[#This Row],[容量㎥]]*テーブル1[[#This Row],[数量]]/[2]トラック内寸!$N$4)</x:f>
      </x:c>
      <x:c r="O2" s="147" t="e">
        <x:f>SUM(テーブル1[[#This Row],[容量㎥]]*テーブル1[[#This Row],[数量]]/[2]トラック内寸!$N$7)</x:f>
      </x:c>
      <x:c r="P2" s="148" t="e">
        <x:f>SUM(テーブル1[[#This Row],[容量㎥]]*テーブル1[[#This Row],[数量]]/[2]トラック内寸!$N$10)</x:f>
      </x:c>
      <x:c r="Q2" s="149" t="e">
        <x:f>SUM($I2*$L2/[2]トラック内寸!$N$13)</x:f>
      </x:c>
      <x:c r="R2" s="150" t="e">
        <x:f>IFERROR(テーブル1[[#This Row],[高さ　H]]*テーブル1[[#This Row],[長さ　W]]*テーブル1[[#This Row],[奥行　D]]/1000000,"")</x:f>
      </x:c>
      <x:c r="T2" s="151"/>
      <x:c r="U2" s="152"/>
      <x:c r="V2" s="153"/>
      <x:c r="W2" s="153"/>
      <x:c r="X2" s="153"/>
      <x:c r="AP2" s="153"/>
      <x:c r="AQ2" s="153"/>
      <x:c r="AR2" s="153"/>
      <x:c r="AS2" s="153"/>
      <x:c r="AT2" s="153"/>
      <x:c r="AU2" s="153"/>
      <x:c r="AV2" s="154"/>
      <x:c r="AW2" s="154"/>
      <x:c r="AX2" s="154"/>
      <x:c r="AY2" s="155"/>
      <x:c r="AZ2" s="153"/>
      <x:c r="BA2" s="153"/>
      <x:c r="BB2" s="153"/>
      <x:c r="BC2" s="153"/>
      <x:c r="BD2" s="156"/>
    </x:row>
    <x:row r="3" s="3" customFormat="1" ht="54.75" customHeight="1">
      <x:c r="A3" s="157">
        <x:v>2</x:v>
      </x:c>
      <x:c r="B3" s="139" t="s">
        <x:v>18</x:v>
      </x:c>
      <x:c r="C3" s="139" t="s">
        <x:v>19</x:v>
      </x:c>
      <x:c r="D3" s="139"/>
      <x:c r="E3" s="158" t="s">
        <x:v>21</x:v>
      </x:c>
      <x:c r="F3" s="159">
        <x:v>78</x:v>
      </x:c>
      <x:c r="G3" s="159">
        <x:v>140</x:v>
      </x:c>
      <x:c r="H3" s="159">
        <x:v>78</x:v>
      </x:c>
      <x:c r="I3" s="160" t="e">
        <x:f>ROUNDUP(PRODUCT(テーブル1[[#This Row],[高さ　H]:[奥行　D]])/10000/4,0)</x:f>
      </x:c>
      <x:c r="J3" s="161"/>
      <x:c r="K3" s="162"/>
      <x:c r="L3" s="163"/>
      <x:c r="M3" s="164" t="n">
        <x:f>ROUNDUP(SUM(J3*L3),0)</x:f>
        <x:v>0</x:v>
      </x:c>
      <x:c r="N3" s="165" t="e">
        <x:f>SUM(テーブル1[[#This Row],[容量㎥]]*テーブル1[[#This Row],[数量]]/[2]トラック内寸!$N$4)</x:f>
      </x:c>
      <x:c r="O3" s="165" t="e">
        <x:f>SUM(テーブル1[[#This Row],[容量㎥]]*テーブル1[[#This Row],[数量]]/[2]トラック内寸!$N$7)</x:f>
      </x:c>
      <x:c r="P3" s="166" t="e">
        <x:f>SUM(テーブル1[[#This Row],[容量㎥]]*テーブル1[[#This Row],[数量]]/[2]トラック内寸!$N$10)</x:f>
      </x:c>
      <x:c r="Q3" s="167" t="e">
        <x:f>SUM($I3*$L3/[2]トラック内寸!$N$13)</x:f>
      </x:c>
      <x:c r="R3" s="150" t="e">
        <x:f>IFERROR(テーブル1[[#This Row],[高さ　H]]*テーブル1[[#This Row],[長さ　W]]*テーブル1[[#This Row],[奥行　D]]/1000000,"")</x:f>
      </x:c>
      <x:c r="T3" s="153"/>
      <x:c r="U3" s="152"/>
      <x:c r="V3" s="153"/>
      <x:c r="W3" s="153"/>
      <x:c r="X3" s="153"/>
      <x:c r="AP3" s="153"/>
      <x:c r="AQ3" s="153"/>
      <x:c r="AR3" s="153"/>
      <x:c r="AS3" s="1"/>
      <x:c r="AT3" s="1"/>
      <x:c r="AU3" s="168" t="s">
        <x:v>22</x:v>
      </x:c>
      <x:c r="AV3" s="168"/>
      <x:c r="AW3" s="168"/>
      <x:c r="AX3" s="169"/>
      <x:c r="AY3" s="169"/>
      <x:c r="AZ3" s="169"/>
      <x:c r="BA3" s="169"/>
      <x:c r="BB3" s="169"/>
      <x:c r="BC3" s="156"/>
      <x:c r="BD3" s="156"/>
    </x:row>
    <x:row r="4" s="3" customFormat="1" ht="54.75" customHeight="1">
      <x:c r="A4" s="157">
        <x:v>3</x:v>
      </x:c>
      <x:c r="B4" s="139" t="s">
        <x:v>18</x:v>
      </x:c>
      <x:c r="C4" s="139" t="s">
        <x:v>19</x:v>
      </x:c>
      <x:c r="D4" s="139"/>
      <x:c r="E4" s="158" t="s">
        <x:v>23</x:v>
      </x:c>
      <x:c r="F4" s="159">
        <x:v>98</x:v>
      </x:c>
      <x:c r="G4" s="159">
        <x:v>207</x:v>
      </x:c>
      <x:c r="H4" s="159">
        <x:v>98</x:v>
      </x:c>
      <x:c r="I4" s="160" t="e">
        <x:f>ROUNDUP(PRODUCT(テーブル1[[#This Row],[高さ　H]:[奥行　D]])/10000/4,0)</x:f>
      </x:c>
      <x:c r="J4" s="170"/>
      <x:c r="K4" s="162"/>
      <x:c r="L4" s="163"/>
      <x:c r="M4" s="164" t="n">
        <x:f t="shared" ref="M4:M67" si="0">ROUNDUP(SUM(J4*L4),0)</x:f>
        <x:v>0</x:v>
      </x:c>
      <x:c r="N4" s="165" t="e">
        <x:f>SUM(テーブル1[[#This Row],[容量㎥]]*テーブル1[[#This Row],[数量]]/[2]トラック内寸!$N$4)</x:f>
      </x:c>
      <x:c r="O4" s="165" t="e">
        <x:f>SUM(テーブル1[[#This Row],[容量㎥]]*テーブル1[[#This Row],[数量]]/[2]トラック内寸!$N$7)</x:f>
      </x:c>
      <x:c r="P4" s="166" t="e">
        <x:f>SUM(テーブル1[[#This Row],[容量㎥]]*テーブル1[[#This Row],[数量]]/[2]トラック内寸!$N$10)</x:f>
      </x:c>
      <x:c r="Q4" s="167" t="e">
        <x:f>SUM($I4*$L4/[2]トラック内寸!$N$13)</x:f>
      </x:c>
      <x:c r="R4" s="150" t="e">
        <x:f>IFERROR(テーブル1[[#This Row],[高さ　H]]*テーブル1[[#This Row],[長さ　W]]*テーブル1[[#This Row],[奥行　D]]/1000000,"")</x:f>
      </x:c>
      <x:c r="T4" s="153"/>
      <x:c r="U4" s="152"/>
      <x:c r="V4" s="171"/>
      <x:c r="W4" s="171"/>
      <x:c r="X4" s="171"/>
      <x:c r="AP4" s="172"/>
      <x:c r="AQ4" s="172"/>
      <x:c r="AR4" s="172"/>
      <x:c r="AS4" s="172"/>
      <x:c r="AT4" s="172"/>
      <x:c r="AU4" s="173"/>
      <x:c r="AV4" s="173"/>
      <x:c r="AW4" s="173"/>
      <x:c r="AX4" s="174"/>
      <x:c r="AY4" s="175"/>
      <x:c r="AZ4" s="176"/>
      <x:c r="BA4" s="176"/>
      <x:c r="BB4" s="176"/>
      <x:c r="BC4" s="176"/>
      <x:c r="BD4" s="177"/>
    </x:row>
    <x:row r="5" s="3" customFormat="1" ht="54.75" customHeight="1">
      <x:c r="A5" s="157">
        <x:v>4</x:v>
      </x:c>
      <x:c r="B5" s="139" t="s">
        <x:v>18</x:v>
      </x:c>
      <x:c r="C5" s="139" t="s">
        <x:v>19</x:v>
      </x:c>
      <x:c r="D5" s="139"/>
      <x:c r="E5" s="158" t="s">
        <x:v>24</x:v>
      </x:c>
      <x:c r="F5" s="159">
        <x:v>31</x:v>
      </x:c>
      <x:c r="G5" s="159">
        <x:v>110</x:v>
      </x:c>
      <x:c r="H5" s="159">
        <x:v>48</x:v>
      </x:c>
      <x:c r="I5" s="160" t="e">
        <x:f>ROUNDUP(PRODUCT(テーブル1[[#This Row],[高さ　H]:[奥行　D]])/10000/4,0)</x:f>
      </x:c>
      <x:c r="J5" s="161"/>
      <x:c r="K5" s="162"/>
      <x:c r="L5" s="163"/>
      <x:c r="M5" s="164">
        <x:f t="shared" si="0"/>
        <x:v>0</x:v>
      </x:c>
      <x:c r="N5" s="165" t="e">
        <x:f>SUM(テーブル1[[#This Row],[容量㎥]]*テーブル1[[#This Row],[数量]]/[2]トラック内寸!$N$4)</x:f>
      </x:c>
      <x:c r="O5" s="165" t="e">
        <x:f>SUM(テーブル1[[#This Row],[容量㎥]]*テーブル1[[#This Row],[数量]]/[2]トラック内寸!$N$7)</x:f>
      </x:c>
      <x:c r="P5" s="166" t="e">
        <x:f>SUM(テーブル1[[#This Row],[容量㎥]]*テーブル1[[#This Row],[数量]]/[2]トラック内寸!$N$10)</x:f>
      </x:c>
      <x:c r="Q5" s="167" t="e">
        <x:f>SUM($I5*$L5/[2]トラック内寸!$N$13)</x:f>
      </x:c>
      <x:c r="R5" s="150" t="e">
        <x:f>IFERROR(テーブル1[[#This Row],[高さ　H]]*テーブル1[[#This Row],[長さ　W]]*テーブル1[[#This Row],[奥行　D]]/1000000,"")</x:f>
      </x:c>
      <x:c r="T5" s="153"/>
      <x:c r="U5" s="152"/>
      <x:c r="V5" s="153"/>
      <x:c r="W5" s="153"/>
      <x:c r="X5" s="153"/>
      <x:c r="AP5" s="172"/>
      <x:c r="AQ5" s="172"/>
      <x:c r="AR5" s="172"/>
      <x:c r="AS5" s="172"/>
      <x:c r="AT5" s="172"/>
      <x:c r="AU5" s="168" t="s">
        <x:v>25</x:v>
      </x:c>
      <x:c r="AV5" s="168"/>
      <x:c r="AW5" s="168"/>
      <x:c r="AX5" s="178"/>
      <x:c r="AY5" s="178"/>
      <x:c r="AZ5" s="179" t="s">
        <x:v>26</x:v>
      </x:c>
      <x:c r="BA5" s="180"/>
      <x:c r="BB5" s="181" t="s">
        <x:v>27</x:v>
      </x:c>
      <x:c r="BC5" s="181" t="s">
        <x:v>28</x:v>
      </x:c>
      <x:c r="BD5" s="5" t="s">
        <x:v>29</x:v>
      </x:c>
    </x:row>
    <x:row r="6" s="3" customFormat="1" ht="54.75" customHeight="1">
      <x:c r="A6" s="157">
        <x:v>5</x:v>
      </x:c>
      <x:c r="B6" s="139" t="s">
        <x:v>18</x:v>
      </x:c>
      <x:c r="C6" s="139" t="s">
        <x:v>19</x:v>
      </x:c>
      <x:c r="D6" s="139"/>
      <x:c r="E6" s="158" t="s">
        <x:v>30</x:v>
      </x:c>
      <x:c r="F6" s="159">
        <x:v>70</x:v>
      </x:c>
      <x:c r="G6" s="159">
        <x:v>150</x:v>
      </x:c>
      <x:c r="H6" s="159">
        <x:v>46</x:v>
      </x:c>
      <x:c r="I6" s="160" t="e">
        <x:f>ROUNDUP(PRODUCT(テーブル1[[#This Row],[高さ　H]:[奥行　D]])/10000/4,0)</x:f>
      </x:c>
      <x:c r="J6" s="161" t="e">
        <x:f>ROUNDUP((テーブル1[[#This Row],[ポイント　P]]*60%)/$I$122,0)</x:f>
      </x:c>
      <x:c r="K6" s="162"/>
      <x:c r="L6" s="163"/>
      <x:c r="M6" s="164">
        <x:f t="shared" si="0"/>
        <x:v>0</x:v>
      </x:c>
      <x:c r="N6" s="165" t="e">
        <x:f>SUM(テーブル1[[#This Row],[容量㎥]]*テーブル1[[#This Row],[数量]]/[2]トラック内寸!$N$4)</x:f>
      </x:c>
      <x:c r="O6" s="165" t="e">
        <x:f>SUM(テーブル1[[#This Row],[容量㎥]]*テーブル1[[#This Row],[数量]]/[2]トラック内寸!$N$7)</x:f>
      </x:c>
      <x:c r="P6" s="166" t="e">
        <x:f>SUM(テーブル1[[#This Row],[容量㎥]]*テーブル1[[#This Row],[数量]]/[2]トラック内寸!$N$10)</x:f>
      </x:c>
      <x:c r="Q6" s="167" t="e">
        <x:f>SUM($I6*$L6/[2]トラック内寸!$N$13)</x:f>
      </x:c>
      <x:c r="R6" s="150" t="e">
        <x:f>IFERROR(テーブル1[[#This Row],[高さ　H]]*テーブル1[[#This Row],[長さ　W]]*テーブル1[[#This Row],[奥行　D]]/1000000,"")</x:f>
      </x:c>
    </x:row>
    <x:row r="7" s="3" customFormat="1" ht="54.75" customHeight="1">
      <x:c r="A7" s="157">
        <x:v>6</x:v>
      </x:c>
      <x:c r="B7" s="139" t="s">
        <x:v>18</x:v>
      </x:c>
      <x:c r="C7" s="139" t="s">
        <x:v>19</x:v>
      </x:c>
      <x:c r="D7" s="139"/>
      <x:c r="E7" s="158" t="s">
        <x:v>31</x:v>
      </x:c>
      <x:c r="F7" s="159">
        <x:v>120</x:v>
      </x:c>
      <x:c r="G7" s="159">
        <x:v>58</x:v>
      </x:c>
      <x:c r="H7" s="159">
        <x:v>40</x:v>
      </x:c>
      <x:c r="I7" s="160" t="e">
        <x:f>ROUNDUP(PRODUCT(テーブル1[[#This Row],[高さ　H]:[奥行　D]])/10000/4,0)</x:f>
      </x:c>
      <x:c r="J7" s="161" t="e">
        <x:f>ROUNDUP((テーブル1[[#This Row],[ポイント　P]]*60%)/$I$122,0)</x:f>
      </x:c>
      <x:c r="K7" s="162"/>
      <x:c r="L7" s="163"/>
      <x:c r="M7" s="164">
        <x:f t="shared" si="0"/>
        <x:v>0</x:v>
      </x:c>
      <x:c r="N7" s="165" t="e">
        <x:f>SUM(テーブル1[[#This Row],[容量㎥]]*テーブル1[[#This Row],[数量]]/[2]トラック内寸!$N$4)</x:f>
      </x:c>
      <x:c r="O7" s="165" t="e">
        <x:f>SUM(テーブル1[[#This Row],[容量㎥]]*テーブル1[[#This Row],[数量]]/[2]トラック内寸!$N$7)</x:f>
      </x:c>
      <x:c r="P7" s="166" t="e">
        <x:f>SUM(テーブル1[[#This Row],[容量㎥]]*テーブル1[[#This Row],[数量]]/[2]トラック内寸!$N$10)</x:f>
      </x:c>
      <x:c r="Q7" s="167" t="e">
        <x:f>SUM($I7*$L7/[2]トラック内寸!$N$13)</x:f>
      </x:c>
      <x:c r="R7" s="150" t="e">
        <x:f>IFERROR(テーブル1[[#This Row],[高さ　H]]*テーブル1[[#This Row],[長さ　W]]*テーブル1[[#This Row],[奥行　D]]/1000000,"")</x:f>
      </x:c>
    </x:row>
    <x:row r="8" s="3" customFormat="1" ht="54.75" customHeight="1">
      <x:c r="A8" s="157">
        <x:v>7</x:v>
      </x:c>
      <x:c r="B8" s="139" t="s">
        <x:v>18</x:v>
      </x:c>
      <x:c r="C8" s="139" t="s">
        <x:v>19</x:v>
      </x:c>
      <x:c r="D8" s="139"/>
      <x:c r="E8" s="158" t="s">
        <x:v>32</x:v>
      </x:c>
      <x:c r="F8" s="159">
        <x:v>47</x:v>
      </x:c>
      <x:c r="G8" s="159">
        <x:v>150</x:v>
      </x:c>
      <x:c r="H8" s="159">
        <x:v>42</x:v>
      </x:c>
      <x:c r="I8" s="160" t="e">
        <x:f>ROUNDUP(PRODUCT(テーブル1[[#This Row],[高さ　H]:[奥行　D]])/10000/4,0)</x:f>
      </x:c>
      <x:c r="J8" s="161" t="e">
        <x:f>ROUNDUP((テーブル1[[#This Row],[ポイント　P]]*60%)/$I$122,0)</x:f>
      </x:c>
      <x:c r="K8" s="162"/>
      <x:c r="L8" s="163"/>
      <x:c r="M8" s="164">
        <x:f t="shared" si="0"/>
        <x:v>0</x:v>
      </x:c>
      <x:c r="N8" s="165" t="e">
        <x:f>SUM(テーブル1[[#This Row],[容量㎥]]*テーブル1[[#This Row],[数量]]/[2]トラック内寸!$N$4)</x:f>
      </x:c>
      <x:c r="O8" s="165" t="e">
        <x:f>SUM(テーブル1[[#This Row],[容量㎥]]*テーブル1[[#This Row],[数量]]/[2]トラック内寸!$N$7)</x:f>
      </x:c>
      <x:c r="P8" s="166" t="e">
        <x:f>SUM(テーブル1[[#This Row],[容量㎥]]*テーブル1[[#This Row],[数量]]/[2]トラック内寸!$N$10)</x:f>
      </x:c>
      <x:c r="Q8" s="167" t="e">
        <x:f>SUM($I8*$L8/[2]トラック内寸!$N$13)</x:f>
      </x:c>
      <x:c r="R8" s="150" t="e">
        <x:f>IFERROR(テーブル1[[#This Row],[高さ　H]]*テーブル1[[#This Row],[長さ　W]]*テーブル1[[#This Row],[奥行　D]]/1000000,"")</x:f>
      </x:c>
    </x:row>
    <x:row r="9" s="3" customFormat="1" ht="54.75" customHeight="1">
      <x:c r="A9" s="157">
        <x:v>8</x:v>
      </x:c>
      <x:c r="B9" s="139" t="s">
        <x:v>18</x:v>
      </x:c>
      <x:c r="C9" s="139" t="s">
        <x:v>19</x:v>
      </x:c>
      <x:c r="D9" s="139"/>
      <x:c r="E9" s="158" t="s">
        <x:v>33</x:v>
      </x:c>
      <x:c r="F9" s="159">
        <x:v>90</x:v>
      </x:c>
      <x:c r="G9" s="159">
        <x:v>79</x:v>
      </x:c>
      <x:c r="H9" s="159">
        <x:v>40</x:v>
      </x:c>
      <x:c r="I9" s="160" t="e">
        <x:f>ROUNDUP(PRODUCT(テーブル1[[#This Row],[高さ　H]:[奥行　D]])/10000/4,0)</x:f>
      </x:c>
      <x:c r="J9" s="161"/>
      <x:c r="K9" s="162"/>
      <x:c r="L9" s="163"/>
      <x:c r="M9" s="164">
        <x:f t="shared" si="0"/>
        <x:v>0</x:v>
      </x:c>
      <x:c r="N9" s="165" t="e">
        <x:f>SUM(テーブル1[[#This Row],[容量㎥]]*テーブル1[[#This Row],[数量]]/[2]トラック内寸!$N$4)</x:f>
      </x:c>
      <x:c r="O9" s="165" t="e">
        <x:f>SUM(テーブル1[[#This Row],[容量㎥]]*テーブル1[[#This Row],[数量]]/[2]トラック内寸!$N$7)</x:f>
      </x:c>
      <x:c r="P9" s="166" t="e">
        <x:f>SUM(テーブル1[[#This Row],[容量㎥]]*テーブル1[[#This Row],[数量]]/[2]トラック内寸!$N$10)</x:f>
      </x:c>
      <x:c r="Q9" s="167" t="e">
        <x:f>SUM($I9*$L9/[2]トラック内寸!$N$13)</x:f>
      </x:c>
      <x:c r="R9" s="150" t="e">
        <x:f>IFERROR(テーブル1[[#This Row],[高さ　H]]*テーブル1[[#This Row],[長さ　W]]*テーブル1[[#This Row],[奥行　D]]/1000000,"")</x:f>
      </x:c>
    </x:row>
    <x:row r="10" s="3" customFormat="1" ht="54.75" customHeight="1">
      <x:c r="A10" s="157">
        <x:v>9</x:v>
      </x:c>
      <x:c r="B10" s="139" t="s">
        <x:v>18</x:v>
      </x:c>
      <x:c r="C10" s="139" t="s">
        <x:v>19</x:v>
      </x:c>
      <x:c r="D10" s="139"/>
      <x:c r="E10" s="158" t="s">
        <x:v>34</x:v>
      </x:c>
      <x:c r="F10" s="159">
        <x:v>41.5</x:v>
      </x:c>
      <x:c r="G10" s="159">
        <x:v>33</x:v>
      </x:c>
      <x:c r="H10" s="159">
        <x:v>28</x:v>
      </x:c>
      <x:c r="I10" s="160" t="e">
        <x:f>ROUNDUP(PRODUCT(テーブル1[[#This Row],[高さ　H]:[奥行　D]])/10000/4,0)</x:f>
      </x:c>
      <x:c r="J10" s="161"/>
      <x:c r="K10" s="162"/>
      <x:c r="L10" s="163"/>
      <x:c r="M10" s="164" t="n">
        <x:f>ROUNDUP(SUM(J10*L10),0)</x:f>
        <x:v>0</x:v>
      </x:c>
      <x:c r="N10" s="165" t="e">
        <x:f>SUM(テーブル1[[#This Row],[容量㎥]]*テーブル1[[#This Row],[数量]]/[2]トラック内寸!$N$4)</x:f>
      </x:c>
      <x:c r="O10" s="165" t="e">
        <x:f>SUM(テーブル1[[#This Row],[容量㎥]]*テーブル1[[#This Row],[数量]]/[2]トラック内寸!$N$7)</x:f>
      </x:c>
      <x:c r="P10" s="166" t="e">
        <x:f>SUM(テーブル1[[#This Row],[容量㎥]]*テーブル1[[#This Row],[数量]]/[2]トラック内寸!$N$10)</x:f>
      </x:c>
      <x:c r="Q10" s="167" t="e">
        <x:f>SUM($I10*$L10/[2]トラック内寸!$N$13)</x:f>
      </x:c>
      <x:c r="R10" s="150" t="e">
        <x:f>IFERROR(テーブル1[[#This Row],[高さ　H]]*テーブル1[[#This Row],[長さ　W]]*テーブル1[[#This Row],[奥行　D]]/1000000,"")</x:f>
      </x:c>
    </x:row>
    <x:row r="11" s="3" customFormat="1" ht="54.75" customHeight="1">
      <x:c r="A11" s="157">
        <x:v>10</x:v>
      </x:c>
      <x:c r="B11" s="139" t="s">
        <x:v>18</x:v>
      </x:c>
      <x:c r="C11" s="139" t="s">
        <x:v>19</x:v>
      </x:c>
      <x:c r="D11" s="139"/>
      <x:c r="E11" s="158" t="s">
        <x:v>35</x:v>
      </x:c>
      <x:c r="F11" s="159">
        <x:v>100</x:v>
      </x:c>
      <x:c r="G11" s="159">
        <x:v>50</x:v>
      </x:c>
      <x:c r="H11" s="159">
        <x:v>42</x:v>
      </x:c>
      <x:c r="I11" s="160" t="e">
        <x:f>ROUNDUP(PRODUCT(テーブル1[[#This Row],[高さ　H]:[奥行　D]])/10000/4,0)</x:f>
      </x:c>
      <x:c r="J11" s="170"/>
      <x:c r="K11" s="162"/>
      <x:c r="L11" s="163"/>
      <x:c r="M11" s="164">
        <x:f t="shared" si="0"/>
        <x:v>0</x:v>
      </x:c>
      <x:c r="N11" s="165" t="e">
        <x:f>SUM(テーブル1[[#This Row],[容量㎥]]*テーブル1[[#This Row],[数量]]/[2]トラック内寸!$N$4)</x:f>
      </x:c>
      <x:c r="O11" s="165" t="e">
        <x:f>SUM(テーブル1[[#This Row],[容量㎥]]*テーブル1[[#This Row],[数量]]/[2]トラック内寸!$N$7)</x:f>
      </x:c>
      <x:c r="P11" s="166" t="e">
        <x:f>SUM(テーブル1[[#This Row],[容量㎥]]*テーブル1[[#This Row],[数量]]/[2]トラック内寸!$N$10)</x:f>
      </x:c>
      <x:c r="Q11" s="167" t="e">
        <x:f>SUM($I11*$L11/[2]トラック内寸!$N$13)</x:f>
      </x:c>
      <x:c r="R11" s="150" t="e">
        <x:f>IFERROR(テーブル1[[#This Row],[高さ　H]]*テーブル1[[#This Row],[長さ　W]]*テーブル1[[#This Row],[奥行　D]]/1000000,"")</x:f>
      </x:c>
    </x:row>
    <x:row r="12" s="3" customFormat="1" ht="54.75" customHeight="1">
      <x:c r="A12" s="157">
        <x:v>11</x:v>
      </x:c>
      <x:c r="B12" s="139" t="s">
        <x:v>18</x:v>
      </x:c>
      <x:c r="C12" s="139" t="s">
        <x:v>19</x:v>
      </x:c>
      <x:c r="D12" s="139"/>
      <x:c r="E12" s="158" t="s">
        <x:v>36</x:v>
      </x:c>
      <x:c r="F12" s="159">
        <x:v>130</x:v>
      </x:c>
      <x:c r="G12" s="159">
        <x:v>80</x:v>
      </x:c>
      <x:c r="H12" s="159">
        <x:v>45</x:v>
      </x:c>
      <x:c r="I12" s="160" t="e">
        <x:f>ROUNDUP(PRODUCT(テーブル1[[#This Row],[高さ　H]:[奥行　D]])/10000/4,0)</x:f>
      </x:c>
      <x:c r="J12" s="170"/>
      <x:c r="K12" s="162"/>
      <x:c r="L12" s="163"/>
      <x:c r="M12" s="164">
        <x:f t="shared" si="0"/>
        <x:v>0</x:v>
      </x:c>
      <x:c r="N12" s="165" t="e">
        <x:f>SUM(テーブル1[[#This Row],[容量㎥]]*テーブル1[[#This Row],[数量]]/[2]トラック内寸!$N$4)</x:f>
      </x:c>
      <x:c r="O12" s="165" t="e">
        <x:f>SUM(テーブル1[[#This Row],[容量㎥]]*テーブル1[[#This Row],[数量]]/[2]トラック内寸!$N$7)</x:f>
      </x:c>
      <x:c r="P12" s="166" t="e">
        <x:f>SUM(テーブル1[[#This Row],[容量㎥]]*テーブル1[[#This Row],[数量]]/[2]トラック内寸!$N$10)</x:f>
      </x:c>
      <x:c r="Q12" s="167" t="e">
        <x:f>SUM($I12*$L12/[2]トラック内寸!$N$13)</x:f>
      </x:c>
      <x:c r="R12" s="150" t="e">
        <x:f>IFERROR(テーブル1[[#This Row],[高さ　H]]*テーブル1[[#This Row],[長さ　W]]*テーブル1[[#This Row],[奥行　D]]/1000000,"")</x:f>
      </x:c>
    </x:row>
    <x:row r="13" s="3" customFormat="1" ht="54.75" customHeight="1">
      <x:c r="A13" s="157">
        <x:v>12</x:v>
      </x:c>
      <x:c r="B13" s="139" t="s">
        <x:v>18</x:v>
      </x:c>
      <x:c r="C13" s="182" t="s">
        <x:v>37</x:v>
      </x:c>
      <x:c r="D13" s="182"/>
      <x:c r="E13" s="158" t="s">
        <x:v>38</x:v>
      </x:c>
      <x:c r="F13" s="159">
        <x:v>44</x:v>
      </x:c>
      <x:c r="G13" s="159">
        <x:v>32</x:v>
      </x:c>
      <x:c r="H13" s="159">
        <x:v>28</x:v>
      </x:c>
      <x:c r="I13" s="160" t="e">
        <x:f>ROUNDUP(PRODUCT(テーブル1[[#This Row],[高さ　H]:[奥行　D]])/10000/4,0)</x:f>
      </x:c>
      <x:c r="J13" s="161"/>
      <x:c r="K13" s="162"/>
      <x:c r="L13" s="163"/>
      <x:c r="M13" s="164">
        <x:f t="shared" si="0"/>
        <x:v>0</x:v>
      </x:c>
      <x:c r="N13" s="165" t="e">
        <x:f>SUM(テーブル1[[#This Row],[容量㎥]]*テーブル1[[#This Row],[数量]]/[2]トラック内寸!$N$4)</x:f>
      </x:c>
      <x:c r="O13" s="165" t="e">
        <x:f>SUM(テーブル1[[#This Row],[容量㎥]]*テーブル1[[#This Row],[数量]]/[2]トラック内寸!$N$7)</x:f>
      </x:c>
      <x:c r="P13" s="166" t="e">
        <x:f>SUM(テーブル1[[#This Row],[容量㎥]]*テーブル1[[#This Row],[数量]]/[2]トラック内寸!$N$10)</x:f>
      </x:c>
      <x:c r="Q13" s="167" t="e">
        <x:f>SUM($I13*$L13/[2]トラック内寸!$N$13)</x:f>
      </x:c>
      <x:c r="R13" s="150" t="e">
        <x:f>IFERROR(テーブル1[[#This Row],[高さ　H]]*テーブル1[[#This Row],[長さ　W]]*テーブル1[[#This Row],[奥行　D]]/1000000,"")</x:f>
      </x:c>
    </x:row>
    <x:row r="14" s="3" customFormat="1" ht="54.75" customHeight="1">
      <x:c r="A14" s="157">
        <x:v>13</x:v>
      </x:c>
      <x:c r="B14" s="139" t="s">
        <x:v>18</x:v>
      </x:c>
      <x:c r="C14" s="182" t="s">
        <x:v>19</x:v>
      </x:c>
      <x:c r="D14" s="182"/>
      <x:c r="E14" s="158" t="s">
        <x:v>39</x:v>
      </x:c>
      <x:c r="F14" s="159">
        <x:v>70</x:v>
      </x:c>
      <x:c r="G14" s="159">
        <x:v>40</x:v>
      </x:c>
      <x:c r="H14" s="159">
        <x:v>40</x:v>
      </x:c>
      <x:c r="I14" s="160" t="e">
        <x:f>ROUNDUP(PRODUCT(テーブル1[[#This Row],[高さ　H]:[奥行　D]])/10000/4,0)</x:f>
      </x:c>
      <x:c r="J14" s="161"/>
      <x:c r="K14" s="162"/>
      <x:c r="L14" s="163"/>
      <x:c r="M14" s="164">
        <x:f t="shared" si="0"/>
        <x:v>0</x:v>
      </x:c>
      <x:c r="N14" s="165" t="e">
        <x:f>SUM(テーブル1[[#This Row],[容量㎥]]*テーブル1[[#This Row],[数量]]/[2]トラック内寸!$N$4)</x:f>
      </x:c>
      <x:c r="O14" s="165" t="e">
        <x:f>SUM(テーブル1[[#This Row],[容量㎥]]*テーブル1[[#This Row],[数量]]/[2]トラック内寸!$N$7)</x:f>
      </x:c>
      <x:c r="P14" s="166" t="e">
        <x:f>SUM(テーブル1[[#This Row],[容量㎥]]*テーブル1[[#This Row],[数量]]/[2]トラック内寸!$N$10)</x:f>
      </x:c>
      <x:c r="Q14" s="167" t="e">
        <x:f>SUM($I14*$L14/[2]トラック内寸!$N$13)</x:f>
      </x:c>
      <x:c r="R14" s="150" t="e">
        <x:f>IFERROR(テーブル1[[#This Row],[高さ　H]]*テーブル1[[#This Row],[長さ　W]]*テーブル1[[#This Row],[奥行　D]]/1000000,"")</x:f>
      </x:c>
    </x:row>
    <x:row r="15" s="3" customFormat="1" ht="54.75" customHeight="1">
      <x:c r="A15" s="157">
        <x:v>14</x:v>
      </x:c>
      <x:c r="B15" s="139" t="s">
        <x:v>18</x:v>
      </x:c>
      <x:c r="C15" s="182" t="s">
        <x:v>37</x:v>
      </x:c>
      <x:c r="D15" s="182"/>
      <x:c r="E15" s="158" t="s">
        <x:v>40</x:v>
      </x:c>
      <x:c r="F15" s="159"/>
      <x:c r="G15" s="159"/>
      <x:c r="H15" s="159"/>
      <x:c r="I15" s="160" t="e">
        <x:f>ROUNDUP(PRODUCT(テーブル1[[#This Row],[高さ　H]:[奥行　D]])/10000/4,0)</x:f>
      </x:c>
      <x:c r="J15" s="161"/>
      <x:c r="K15" s="162"/>
      <x:c r="L15" s="163"/>
      <x:c r="M15" s="164">
        <x:f t="shared" si="0"/>
        <x:v>0</x:v>
      </x:c>
      <x:c r="N15" s="165" t="e">
        <x:f>SUM(テーブル1[[#This Row],[容量㎥]]*テーブル1[[#This Row],[数量]]/[2]トラック内寸!$N$4)</x:f>
      </x:c>
      <x:c r="O15" s="165" t="e">
        <x:f>SUM(テーブル1[[#This Row],[容量㎥]]*テーブル1[[#This Row],[数量]]/[2]トラック内寸!$N$7)</x:f>
      </x:c>
      <x:c r="P15" s="166" t="e">
        <x:f>SUM(テーブル1[[#This Row],[容量㎥]]*テーブル1[[#This Row],[数量]]/[2]トラック内寸!$N$10)</x:f>
      </x:c>
      <x:c r="Q15" s="167" t="e">
        <x:f>SUM($I15*$L15/[2]トラック内寸!$N$13)</x:f>
      </x:c>
      <x:c r="R15" s="150" t="e">
        <x:f>IFERROR(テーブル1[[#This Row],[高さ　H]]*テーブル1[[#This Row],[長さ　W]]*テーブル1[[#This Row],[奥行　D]]/1000000,"")</x:f>
      </x:c>
    </x:row>
    <x:row r="16" s="3" customFormat="1" ht="54.75" customHeight="1">
      <x:c r="A16" s="157">
        <x:v>15</x:v>
      </x:c>
      <x:c r="B16" s="139" t="s">
        <x:v>18</x:v>
      </x:c>
      <x:c r="C16" s="182" t="s">
        <x:v>37</x:v>
      </x:c>
      <x:c r="D16" s="139" t="s">
        <x:v>41</x:v>
      </x:c>
      <x:c r="E16" s="158" t="s">
        <x:v>42</x:v>
      </x:c>
      <x:c r="F16" s="159">
        <x:v>39.799999999999997</x:v>
      </x:c>
      <x:c r="G16" s="159">
        <x:v>70.8</x:v>
      </x:c>
      <x:c r="H16" s="159">
        <x:v>15</x:v>
      </x:c>
      <x:c r="I16" s="160" t="e">
        <x:f>ROUNDUP(PRODUCT(テーブル1[[#This Row],[高さ　H]:[奥行　D]])/10000/4,0)</x:f>
      </x:c>
      <x:c r="J16" s="170"/>
      <x:c r="K16" s="162"/>
      <x:c r="L16" s="163"/>
      <x:c r="M16" s="164">
        <x:f t="shared" si="0"/>
        <x:v>0</x:v>
      </x:c>
      <x:c r="N16" s="165" t="e">
        <x:f>SUM(テーブル1[[#This Row],[容量㎥]]*テーブル1[[#This Row],[数量]]/[2]トラック内寸!$N$4)</x:f>
      </x:c>
      <x:c r="O16" s="165" t="e">
        <x:f>SUM(テーブル1[[#This Row],[容量㎥]]*テーブル1[[#This Row],[数量]]/[2]トラック内寸!$N$7)</x:f>
      </x:c>
      <x:c r="P16" s="166" t="e">
        <x:f>SUM(テーブル1[[#This Row],[容量㎥]]*テーブル1[[#This Row],[数量]]/[2]トラック内寸!$N$10)</x:f>
      </x:c>
      <x:c r="Q16" s="167" t="e">
        <x:f>SUM($I16*$L16/[2]トラック内寸!$N$13)</x:f>
      </x:c>
      <x:c r="R16" s="150" t="e">
        <x:f>IFERROR(テーブル1[[#This Row],[高さ　H]]*テーブル1[[#This Row],[長さ　W]]*テーブル1[[#This Row],[奥行　D]]/1000000,"")</x:f>
      </x:c>
    </x:row>
    <x:row r="17" s="3" customFormat="1" ht="54.75" customHeight="1">
      <x:c r="A17" s="157">
        <x:v>16</x:v>
      </x:c>
      <x:c r="B17" s="139" t="s">
        <x:v>18</x:v>
      </x:c>
      <x:c r="C17" s="182" t="s">
        <x:v>37</x:v>
      </x:c>
      <x:c r="D17" s="139" t="s">
        <x:v>41</x:v>
      </x:c>
      <x:c r="E17" s="158" t="s">
        <x:v>43</x:v>
      </x:c>
      <x:c r="F17" s="159">
        <x:v>46.1</x:v>
      </x:c>
      <x:c r="G17" s="159">
        <x:v>81.900000000000006</x:v>
      </x:c>
      <x:c r="H17" s="159">
        <x:v>15</x:v>
      </x:c>
      <x:c r="I17" s="160" t="e">
        <x:f>ROUNDUP(PRODUCT(テーブル1[[#This Row],[高さ　H]:[奥行　D]])/10000/4,0)</x:f>
      </x:c>
      <x:c r="J17" s="170"/>
      <x:c r="K17" s="162"/>
      <x:c r="L17" s="163"/>
      <x:c r="M17" s="164">
        <x:f t="shared" si="0"/>
        <x:v>0</x:v>
      </x:c>
      <x:c r="N17" s="165" t="e">
        <x:f>SUM(テーブル1[[#This Row],[容量㎥]]*テーブル1[[#This Row],[数量]]/[2]トラック内寸!$N$4)</x:f>
      </x:c>
      <x:c r="O17" s="165" t="e">
        <x:f>SUM(テーブル1[[#This Row],[容量㎥]]*テーブル1[[#This Row],[数量]]/[2]トラック内寸!$N$7)</x:f>
      </x:c>
      <x:c r="P17" s="166" t="e">
        <x:f>SUM(テーブル1[[#This Row],[容量㎥]]*テーブル1[[#This Row],[数量]]/[2]トラック内寸!$N$10)</x:f>
      </x:c>
      <x:c r="Q17" s="167" t="e">
        <x:f>SUM($I17*$L17/[2]トラック内寸!$N$13)</x:f>
      </x:c>
      <x:c r="R17" s="150" t="e">
        <x:f>IFERROR(テーブル1[[#This Row],[高さ　H]]*テーブル1[[#This Row],[長さ　W]]*テーブル1[[#This Row],[奥行　D]]/1000000,"")</x:f>
      </x:c>
    </x:row>
    <x:row r="18" s="3" customFormat="1" ht="54.75" customHeight="1">
      <x:c r="A18" s="157">
        <x:v>17</x:v>
      </x:c>
      <x:c r="B18" s="139" t="s">
        <x:v>18</x:v>
      </x:c>
      <x:c r="C18" s="182" t="s">
        <x:v>37</x:v>
      </x:c>
      <x:c r="D18" s="139" t="s">
        <x:v>41</x:v>
      </x:c>
      <x:c r="E18" s="158" t="s">
        <x:v>44</x:v>
      </x:c>
      <x:c r="F18" s="159">
        <x:v>49.8</x:v>
      </x:c>
      <x:c r="G18" s="159">
        <x:v>88.5</x:v>
      </x:c>
      <x:c r="H18" s="159">
        <x:v>15</x:v>
      </x:c>
      <x:c r="I18" s="160" t="e">
        <x:f>ROUNDUP(PRODUCT(テーブル1[[#This Row],[高さ　H]:[奥行　D]])/10000/4,0)</x:f>
      </x:c>
      <x:c r="J18" s="170"/>
      <x:c r="K18" s="162"/>
      <x:c r="L18" s="163"/>
      <x:c r="M18" s="164">
        <x:f t="shared" si="0"/>
        <x:v>0</x:v>
      </x:c>
      <x:c r="N18" s="165" t="e">
        <x:f>SUM(テーブル1[[#This Row],[容量㎥]]*テーブル1[[#This Row],[数量]]/[2]トラック内寸!$N$4)</x:f>
      </x:c>
      <x:c r="O18" s="165" t="e">
        <x:f>SUM(テーブル1[[#This Row],[容量㎥]]*テーブル1[[#This Row],[数量]]/[2]トラック内寸!$N$7)</x:f>
      </x:c>
      <x:c r="P18" s="166" t="e">
        <x:f>SUM(テーブル1[[#This Row],[容量㎥]]*テーブル1[[#This Row],[数量]]/[2]トラック内寸!$N$10)</x:f>
      </x:c>
      <x:c r="Q18" s="167" t="e">
        <x:f>SUM($I18*$L18/[2]トラック内寸!$N$13)</x:f>
      </x:c>
      <x:c r="R18" s="150" t="e">
        <x:f>IFERROR(テーブル1[[#This Row],[高さ　H]]*テーブル1[[#This Row],[長さ　W]]*テーブル1[[#This Row],[奥行　D]]/1000000,"")</x:f>
      </x:c>
    </x:row>
    <x:row r="19" s="3" customFormat="1" ht="54.75" customHeight="1">
      <x:c r="A19" s="157">
        <x:v>18</x:v>
      </x:c>
      <x:c r="B19" s="139" t="s">
        <x:v>18</x:v>
      </x:c>
      <x:c r="C19" s="182" t="s">
        <x:v>37</x:v>
      </x:c>
      <x:c r="D19" s="139" t="s">
        <x:v>41</x:v>
      </x:c>
      <x:c r="E19" s="158" t="s">
        <x:v>45</x:v>
      </x:c>
      <x:c r="F19" s="159">
        <x:v>53.5</x:v>
      </x:c>
      <x:c r="G19" s="159">
        <x:v>95.2</x:v>
      </x:c>
      <x:c r="H19" s="159">
        <x:v>15</x:v>
      </x:c>
      <x:c r="I19" s="160" t="e">
        <x:f>ROUNDUP(PRODUCT(テーブル1[[#This Row],[高さ　H]:[奥行　D]])/10000/4,0)</x:f>
      </x:c>
      <x:c r="J19" s="170"/>
      <x:c r="K19" s="162"/>
      <x:c r="L19" s="163"/>
      <x:c r="M19" s="164">
        <x:f t="shared" si="0"/>
        <x:v>0</x:v>
      </x:c>
      <x:c r="N19" s="165" t="e">
        <x:f>SUM(テーブル1[[#This Row],[容量㎥]]*テーブル1[[#This Row],[数量]]/[2]トラック内寸!$N$4)</x:f>
      </x:c>
      <x:c r="O19" s="165" t="e">
        <x:f>SUM(テーブル1[[#This Row],[容量㎥]]*テーブル1[[#This Row],[数量]]/[2]トラック内寸!$N$7)</x:f>
      </x:c>
      <x:c r="P19" s="166" t="e">
        <x:f>SUM(テーブル1[[#This Row],[容量㎥]]*テーブル1[[#This Row],[数量]]/[2]トラック内寸!$N$10)</x:f>
      </x:c>
      <x:c r="Q19" s="167" t="e">
        <x:f>SUM($I19*$L19/[2]トラック内寸!$N$13)</x:f>
      </x:c>
      <x:c r="R19" s="150" t="e">
        <x:f>IFERROR(テーブル1[[#This Row],[高さ　H]]*テーブル1[[#This Row],[長さ　W]]*テーブル1[[#This Row],[奥行　D]]/1000000,"")</x:f>
      </x:c>
    </x:row>
    <x:row r="20" s="3" customFormat="1" ht="54.75" customHeight="1">
      <x:c r="A20" s="157">
        <x:v>19</x:v>
      </x:c>
      <x:c r="B20" s="139" t="s">
        <x:v>18</x:v>
      </x:c>
      <x:c r="C20" s="182" t="s">
        <x:v>19</x:v>
      </x:c>
      <x:c r="D20" s="139" t="s">
        <x:v>41</x:v>
      </x:c>
      <x:c r="E20" s="158" t="s">
        <x:v>46</x:v>
      </x:c>
      <x:c r="F20" s="159">
        <x:v>37</x:v>
      </x:c>
      <x:c r="G20" s="159">
        <x:v>67</x:v>
      </x:c>
      <x:c r="H20" s="159">
        <x:v>35</x:v>
      </x:c>
      <x:c r="I20" s="160" t="e">
        <x:f>ROUNDUP(PRODUCT(テーブル1[[#This Row],[高さ　H]:[奥行　D]])/10000/4,0)</x:f>
      </x:c>
      <x:c r="J20" s="161" t="e">
        <x:f>ROUNDUP((テーブル1[[#This Row],[ポイント　P]]*60%)/$I$122,0)</x:f>
      </x:c>
      <x:c r="K20" s="162"/>
      <x:c r="L20" s="163"/>
      <x:c r="M20" s="164">
        <x:f t="shared" si="0"/>
        <x:v>0</x:v>
      </x:c>
      <x:c r="N20" s="165" t="e">
        <x:f>SUM(テーブル1[[#This Row],[容量㎥]]*テーブル1[[#This Row],[数量]]/[2]トラック内寸!$N$4)</x:f>
      </x:c>
      <x:c r="O20" s="165" t="e">
        <x:f>SUM(テーブル1[[#This Row],[容量㎥]]*テーブル1[[#This Row],[数量]]/[2]トラック内寸!$N$7)</x:f>
      </x:c>
      <x:c r="P20" s="166" t="e">
        <x:f>SUM(テーブル1[[#This Row],[容量㎥]]*テーブル1[[#This Row],[数量]]/[2]トラック内寸!$N$10)</x:f>
      </x:c>
      <x:c r="Q20" s="167" t="e">
        <x:f>SUM($I20*$L20/[2]トラック内寸!$N$13)</x:f>
      </x:c>
      <x:c r="R20" s="150" t="e">
        <x:f>IFERROR(テーブル1[[#This Row],[高さ　H]]*テーブル1[[#This Row],[長さ　W]]*テーブル1[[#This Row],[奥行　D]]/1000000,"")</x:f>
      </x:c>
    </x:row>
    <x:row r="21" s="3" customFormat="1" ht="54.75" customHeight="1">
      <x:c r="A21" s="157">
        <x:v>20</x:v>
      </x:c>
      <x:c r="B21" s="139" t="s">
        <x:v>18</x:v>
      </x:c>
      <x:c r="C21" s="182" t="s">
        <x:v>19</x:v>
      </x:c>
      <x:c r="D21" s="139" t="s">
        <x:v>41</x:v>
      </x:c>
      <x:c r="E21" s="158" t="s">
        <x:v>47</x:v>
      </x:c>
      <x:c r="F21" s="159">
        <x:v>45</x:v>
      </x:c>
      <x:c r="G21" s="159">
        <x:v>120</x:v>
      </x:c>
      <x:c r="H21" s="159">
        <x:v>45</x:v>
      </x:c>
      <x:c r="I21" s="160" t="e">
        <x:f>ROUNDUP(PRODUCT(テーブル1[[#This Row],[高さ　H]:[奥行　D]])/10000/4,0)</x:f>
      </x:c>
      <x:c r="J21" s="161" t="e">
        <x:f>ROUNDUP((テーブル1[[#This Row],[ポイント　P]]*60%)/$I$122,0)</x:f>
      </x:c>
      <x:c r="K21" s="162"/>
      <x:c r="L21" s="163"/>
      <x:c r="M21" s="164">
        <x:f t="shared" si="0"/>
        <x:v>0</x:v>
      </x:c>
      <x:c r="N21" s="165" t="e">
        <x:f>SUM(テーブル1[[#This Row],[容量㎥]]*テーブル1[[#This Row],[数量]]/[2]トラック内寸!$N$4)</x:f>
      </x:c>
      <x:c r="O21" s="165" t="e">
        <x:f>SUM(テーブル1[[#This Row],[容量㎥]]*テーブル1[[#This Row],[数量]]/[2]トラック内寸!$N$7)</x:f>
      </x:c>
      <x:c r="P21" s="166" t="e">
        <x:f>SUM(テーブル1[[#This Row],[容量㎥]]*テーブル1[[#This Row],[数量]]/[2]トラック内寸!$N$10)</x:f>
      </x:c>
      <x:c r="Q21" s="167" t="e">
        <x:f>SUM($I21*$L21/[2]トラック内寸!$N$13)</x:f>
      </x:c>
      <x:c r="R21" s="150" t="e">
        <x:f>IFERROR(テーブル1[[#This Row],[高さ　H]]*テーブル1[[#This Row],[長さ　W]]*テーブル1[[#This Row],[奥行　D]]/1000000,"")</x:f>
      </x:c>
      <x:c r="X21" s="5"/>
    </x:row>
    <x:row r="22" s="3" customFormat="1" ht="54.75" customHeight="1">
      <x:c r="A22" s="157">
        <x:v>21</x:v>
      </x:c>
      <x:c r="B22" s="139" t="s">
        <x:v>18</x:v>
      </x:c>
      <x:c r="C22" s="182" t="s">
        <x:v>19</x:v>
      </x:c>
      <x:c r="D22" s="139" t="s">
        <x:v>41</x:v>
      </x:c>
      <x:c r="E22" s="158" t="s">
        <x:v>48</x:v>
      </x:c>
      <x:c r="F22" s="159">
        <x:v>40</x:v>
      </x:c>
      <x:c r="G22" s="159">
        <x:v>170</x:v>
      </x:c>
      <x:c r="H22" s="159">
        <x:v>45</x:v>
      </x:c>
      <x:c r="I22" s="160" t="e">
        <x:f>ROUNDUP(PRODUCT(テーブル1[[#This Row],[高さ　H]:[奥行　D]])/10000/4,0)</x:f>
      </x:c>
      <x:c r="J22" s="161" t="e">
        <x:f>ROUNDUP((テーブル1[[#This Row],[ポイント　P]]*60%)/$I$122,0)</x:f>
      </x:c>
      <x:c r="K22" s="162"/>
      <x:c r="L22" s="163"/>
      <x:c r="M22" s="164">
        <x:f t="shared" si="0"/>
        <x:v>0</x:v>
      </x:c>
      <x:c r="N22" s="165" t="e">
        <x:f>SUM(テーブル1[[#This Row],[容量㎥]]*テーブル1[[#This Row],[数量]]/[2]トラック内寸!$N$4)</x:f>
      </x:c>
      <x:c r="O22" s="165" t="e">
        <x:f>SUM(テーブル1[[#This Row],[容量㎥]]*テーブル1[[#This Row],[数量]]/[2]トラック内寸!$N$7)</x:f>
      </x:c>
      <x:c r="P22" s="166" t="e">
        <x:f>SUM(テーブル1[[#This Row],[容量㎥]]*テーブル1[[#This Row],[数量]]/[2]トラック内寸!$N$10)</x:f>
      </x:c>
      <x:c r="Q22" s="167" t="e">
        <x:f>SUM($I22*$L22/[2]トラック内寸!$N$13)</x:f>
      </x:c>
      <x:c r="R22" s="150" t="e">
        <x:f>IFERROR(テーブル1[[#This Row],[高さ　H]]*テーブル1[[#This Row],[長さ　W]]*テーブル1[[#This Row],[奥行　D]]/1000000,"")</x:f>
      </x:c>
      <x:c r="X22" s="5"/>
    </x:row>
    <x:row r="23" s="3" customFormat="1" ht="54.75" customHeight="1">
      <x:c r="A23" s="157">
        <x:v>22</x:v>
      </x:c>
      <x:c r="B23" s="139" t="s">
        <x:v>18</x:v>
      </x:c>
      <x:c r="C23" s="139" t="s">
        <x:v>37</x:v>
      </x:c>
      <x:c r="D23" s="139"/>
      <x:c r="E23" s="158" t="s">
        <x:v>49</x:v>
      </x:c>
      <x:c r="F23" s="159">
        <x:v>44</x:v>
      </x:c>
      <x:c r="G23" s="159">
        <x:v>32</x:v>
      </x:c>
      <x:c r="H23" s="159">
        <x:v>28</x:v>
      </x:c>
      <x:c r="I23" s="160" t="e">
        <x:f>ROUNDUP(PRODUCT(テーブル1[[#This Row],[高さ　H]:[奥行　D]])/10000/4,0)</x:f>
      </x:c>
      <x:c r="J23" s="161"/>
      <x:c r="K23" s="162"/>
      <x:c r="L23" s="163"/>
      <x:c r="M23" s="164">
        <x:f t="shared" si="0"/>
        <x:v>0</x:v>
      </x:c>
      <x:c r="N23" s="165" t="e">
        <x:f>SUM(テーブル1[[#This Row],[容量㎥]]*テーブル1[[#This Row],[数量]]/[2]トラック内寸!$N$4)</x:f>
      </x:c>
      <x:c r="O23" s="165" t="e">
        <x:f>SUM(テーブル1[[#This Row],[容量㎥]]*テーブル1[[#This Row],[数量]]/[2]トラック内寸!$N$7)</x:f>
      </x:c>
      <x:c r="P23" s="166" t="e">
        <x:f>SUM(テーブル1[[#This Row],[容量㎥]]*テーブル1[[#This Row],[数量]]/[2]トラック内寸!$N$10)</x:f>
      </x:c>
      <x:c r="Q23" s="167" t="e">
        <x:f>SUM($I23*$L23/[2]トラック内寸!$N$13)</x:f>
      </x:c>
      <x:c r="R23" s="150" t="e">
        <x:f>IFERROR(テーブル1[[#This Row],[高さ　H]]*テーブル1[[#This Row],[長さ　W]]*テーブル1[[#This Row],[奥行　D]]/1000000,"")</x:f>
      </x:c>
      <x:c r="X23" s="5"/>
    </x:row>
    <x:row r="24" s="3" customFormat="1" ht="54.75" customHeight="1">
      <x:c r="A24" s="157">
        <x:v>23</x:v>
      </x:c>
      <x:c r="B24" s="139" t="s">
        <x:v>18</x:v>
      </x:c>
      <x:c r="C24" s="139" t="s">
        <x:v>37</x:v>
      </x:c>
      <x:c r="D24" s="139"/>
      <x:c r="E24" s="158" t="s">
        <x:v>50</x:v>
      </x:c>
      <x:c r="F24" s="159">
        <x:v>60</x:v>
      </x:c>
      <x:c r="G24" s="159">
        <x:v>32</x:v>
      </x:c>
      <x:c r="H24" s="159">
        <x:v>28</x:v>
      </x:c>
      <x:c r="I24" s="160" t="e">
        <x:f>ROUNDUP(PRODUCT(テーブル1[[#This Row],[高さ　H]:[奥行　D]])/10000/4,0)</x:f>
      </x:c>
      <x:c r="J24" s="161"/>
      <x:c r="K24" s="162"/>
      <x:c r="L24" s="163"/>
      <x:c r="M24" s="164">
        <x:f t="shared" si="0"/>
        <x:v>0</x:v>
      </x:c>
      <x:c r="N24" s="165" t="e">
        <x:f>SUM(テーブル1[[#This Row],[容量㎥]]*テーブル1[[#This Row],[数量]]/[2]トラック内寸!$N$4)</x:f>
      </x:c>
      <x:c r="O24" s="165" t="e">
        <x:f>SUM(テーブル1[[#This Row],[容量㎥]]*テーブル1[[#This Row],[数量]]/[2]トラック内寸!$N$7)</x:f>
      </x:c>
      <x:c r="P24" s="166" t="e">
        <x:f>SUM(テーブル1[[#This Row],[容量㎥]]*テーブル1[[#This Row],[数量]]/[2]トラック内寸!$N$10)</x:f>
      </x:c>
      <x:c r="Q24" s="167" t="e">
        <x:f>SUM($I24*$L24/[2]トラック内寸!$N$13)</x:f>
      </x:c>
      <x:c r="R24" s="150" t="e">
        <x:f>IFERROR(テーブル1[[#This Row],[高さ　H]]*テーブル1[[#This Row],[長さ　W]]*テーブル1[[#This Row],[奥行　D]]/1000000,"")</x:f>
      </x:c>
      <x:c r="X24" s="168"/>
    </x:row>
    <x:row r="25" s="3" customFormat="1" ht="54.75" customHeight="1">
      <x:c r="A25" s="157">
        <x:v>24</x:v>
      </x:c>
      <x:c r="B25" s="139" t="s">
        <x:v>18</x:v>
      </x:c>
      <x:c r="C25" s="182" t="s">
        <x:v>19</x:v>
      </x:c>
      <x:c r="D25" s="182"/>
      <x:c r="E25" s="158" t="s">
        <x:v>51</x:v>
      </x:c>
      <x:c r="F25" s="159">
        <x:v>85.5</x:v>
      </x:c>
      <x:c r="G25" s="159">
        <x:v>123.5</x:v>
      </x:c>
      <x:c r="H25" s="159">
        <x:v>41.5</x:v>
      </x:c>
      <x:c r="I25" s="160" t="e">
        <x:f>ROUNDUP(PRODUCT(テーブル1[[#This Row],[高さ　H]:[奥行　D]])/10000/4,0)</x:f>
      </x:c>
      <x:c r="J25" s="161"/>
      <x:c r="K25" s="162"/>
      <x:c r="L25" s="163"/>
      <x:c r="M25" s="164">
        <x:f t="shared" si="0"/>
        <x:v>0</x:v>
      </x:c>
      <x:c r="N25" s="165" t="e">
        <x:f>SUM(テーブル1[[#This Row],[容量㎥]]*テーブル1[[#This Row],[数量]]/[2]トラック内寸!$N$4)</x:f>
      </x:c>
      <x:c r="O25" s="165" t="e">
        <x:f>SUM(テーブル1[[#This Row],[容量㎥]]*テーブル1[[#This Row],[数量]]/[2]トラック内寸!$N$7)</x:f>
      </x:c>
      <x:c r="P25" s="166" t="e">
        <x:f>SUM(テーブル1[[#This Row],[容量㎥]]*テーブル1[[#This Row],[数量]]/[2]トラック内寸!$N$10)</x:f>
      </x:c>
      <x:c r="Q25" s="167" t="e">
        <x:f>SUM($I25*$L25/[2]トラック内寸!$N$13)</x:f>
      </x:c>
      <x:c r="R25" s="150" t="e">
        <x:f>IFERROR(テーブル1[[#This Row],[高さ　H]]*テーブル1[[#This Row],[長さ　W]]*テーブル1[[#This Row],[奥行　D]]/1000000,"")</x:f>
      </x:c>
      <x:c r="U25" s="183"/>
      <x:c r="V25" s="184"/>
      <x:c r="W25" s="184"/>
      <x:c r="X25" s="185"/>
    </x:row>
    <x:row r="26" s="3" customFormat="1" ht="54.75" customHeight="1">
      <x:c r="A26" s="157">
        <x:v>25</x:v>
      </x:c>
      <x:c r="B26" s="139" t="s">
        <x:v>18</x:v>
      </x:c>
      <x:c r="C26" s="182" t="s">
        <x:v>37</x:v>
      </x:c>
      <x:c r="D26" s="182"/>
      <x:c r="E26" s="158" t="s">
        <x:v>52</x:v>
      </x:c>
      <x:c r="F26" s="159">
        <x:v>20</x:v>
      </x:c>
      <x:c r="G26" s="159">
        <x:v>70</x:v>
      </x:c>
      <x:c r="H26" s="159">
        <x:v>70</x:v>
      </x:c>
      <x:c r="I26" s="160" t="e">
        <x:f>ROUNDUP(PRODUCT(テーブル1[[#This Row],[高さ　H]:[奥行　D]])/10000/4,0)</x:f>
      </x:c>
      <x:c r="J26" s="161"/>
      <x:c r="K26" s="162"/>
      <x:c r="L26" s="163"/>
      <x:c r="M26" s="164">
        <x:f t="shared" si="0"/>
        <x:v>0</x:v>
      </x:c>
      <x:c r="N26" s="165" t="e">
        <x:f>SUM(テーブル1[[#This Row],[容量㎥]]*テーブル1[[#This Row],[数量]]/[2]トラック内寸!$N$4)</x:f>
      </x:c>
      <x:c r="O26" s="165" t="e">
        <x:f>SUM(テーブル1[[#This Row],[容量㎥]]*テーブル1[[#This Row],[数量]]/[2]トラック内寸!$N$7)</x:f>
      </x:c>
      <x:c r="P26" s="166" t="e">
        <x:f>SUM(テーブル1[[#This Row],[容量㎥]]*テーブル1[[#This Row],[数量]]/[2]トラック内寸!$N$10)</x:f>
      </x:c>
      <x:c r="Q26" s="167" t="e">
        <x:f>SUM($I26*$L26/[2]トラック内寸!$N$13)</x:f>
      </x:c>
      <x:c r="R26" s="150" t="e">
        <x:f>IFERROR(テーブル1[[#This Row],[高さ　H]]*テーブル1[[#This Row],[長さ　W]]*テーブル1[[#This Row],[奥行　D]]/1000000,"")</x:f>
      </x:c>
      <x:c r="U26" s="183"/>
      <x:c r="V26" s="184"/>
      <x:c r="W26" s="184"/>
      <x:c r="X26" s="185"/>
    </x:row>
    <x:row r="27" s="3" customFormat="1" ht="54.75" customHeight="1">
      <x:c r="A27" s="157">
        <x:v>26</x:v>
      </x:c>
      <x:c r="B27" s="139" t="s">
        <x:v>18</x:v>
      </x:c>
      <x:c r="C27" s="182" t="s">
        <x:v>37</x:v>
      </x:c>
      <x:c r="D27" s="182"/>
      <x:c r="E27" s="158" t="s">
        <x:v>53</x:v>
      </x:c>
      <x:c r="F27" s="159">
        <x:v>44</x:v>
      </x:c>
      <x:c r="G27" s="159">
        <x:v>32</x:v>
      </x:c>
      <x:c r="H27" s="159">
        <x:v>28</x:v>
      </x:c>
      <x:c r="I27" s="160" t="e">
        <x:f>ROUNDUP(PRODUCT(テーブル1[[#This Row],[高さ　H]:[奥行　D]])/10000/4,0)</x:f>
      </x:c>
      <x:c r="J27" s="161"/>
      <x:c r="K27" s="162"/>
      <x:c r="L27" s="163"/>
      <x:c r="M27" s="164">
        <x:f t="shared" si="0"/>
        <x:v>0</x:v>
      </x:c>
      <x:c r="N27" s="165" t="e">
        <x:f>SUM(テーブル1[[#This Row],[容量㎥]]*テーブル1[[#This Row],[数量]]/[2]トラック内寸!$N$4)</x:f>
      </x:c>
      <x:c r="O27" s="165" t="e">
        <x:f>SUM(テーブル1[[#This Row],[容量㎥]]*テーブル1[[#This Row],[数量]]/[2]トラック内寸!$N$7)</x:f>
      </x:c>
      <x:c r="P27" s="166" t="e">
        <x:f>SUM(テーブル1[[#This Row],[容量㎥]]*テーブル1[[#This Row],[数量]]/[2]トラック内寸!$N$10)</x:f>
      </x:c>
      <x:c r="Q27" s="167" t="e">
        <x:f>SUM($I27*$L27/[2]トラック内寸!$N$13)</x:f>
      </x:c>
      <x:c r="R27" s="150" t="e">
        <x:f>IFERROR(テーブル1[[#This Row],[高さ　H]]*テーブル1[[#This Row],[長さ　W]]*テーブル1[[#This Row],[奥行　D]]/1000000,"")</x:f>
      </x:c>
      <x:c r="U27" s="183"/>
      <x:c r="V27" s="184"/>
      <x:c r="W27" s="184"/>
      <x:c r="X27" s="184"/>
      <x:c r="Y27" s="184"/>
      <x:c r="Z27" s="186"/>
      <x:c r="AA27" s="184"/>
      <x:c r="AB27" s="187"/>
      <x:c r="AC27" s="187"/>
      <x:c r="AD27" s="188"/>
      <x:c r="AE27" s="188"/>
      <x:c r="AF27" s="189"/>
      <x:c r="AG27" s="189"/>
      <x:c r="AH27" s="189"/>
      <x:c r="AI27" s="189"/>
      <x:c r="AJ27" s="189"/>
      <x:c r="AK27" s="190"/>
      <x:c r="AL27" s="190"/>
      <x:c r="AM27" s="190"/>
      <x:c r="AN27" s="183"/>
    </x:row>
    <x:row r="28" s="3" customFormat="1" ht="54.75" customHeight="1">
      <x:c r="A28" s="157">
        <x:v>27</x:v>
      </x:c>
      <x:c r="B28" s="139" t="s">
        <x:v>18</x:v>
      </x:c>
      <x:c r="C28" s="182" t="s">
        <x:v>37</x:v>
      </x:c>
      <x:c r="D28" s="182"/>
      <x:c r="E28" s="158" t="s">
        <x:v>54</x:v>
      </x:c>
      <x:c r="F28" s="159">
        <x:v>87</x:v>
      </x:c>
      <x:c r="G28" s="159">
        <x:v>35</x:v>
      </x:c>
      <x:c r="H28" s="159">
        <x:v>35</x:v>
      </x:c>
      <x:c r="I28" s="160" t="e">
        <x:f>ROUNDUP(PRODUCT(テーブル1[[#This Row],[高さ　H]:[奥行　D]])/10000/4,0)</x:f>
      </x:c>
      <x:c r="J28" s="161"/>
      <x:c r="K28" s="162"/>
      <x:c r="L28" s="163"/>
      <x:c r="M28" s="164">
        <x:f t="shared" si="0"/>
        <x:v>0</x:v>
      </x:c>
      <x:c r="N28" s="165" t="e">
        <x:f>SUM(テーブル1[[#This Row],[容量㎥]]*テーブル1[[#This Row],[数量]]/[2]トラック内寸!$N$4)</x:f>
      </x:c>
      <x:c r="O28" s="165" t="e">
        <x:f>SUM(テーブル1[[#This Row],[容量㎥]]*テーブル1[[#This Row],[数量]]/[2]トラック内寸!$N$7)</x:f>
      </x:c>
      <x:c r="P28" s="166" t="e">
        <x:f>SUM(テーブル1[[#This Row],[容量㎥]]*テーブル1[[#This Row],[数量]]/[2]トラック内寸!$N$10)</x:f>
      </x:c>
      <x:c r="Q28" s="167" t="e">
        <x:f>SUM($I28*$L28/[2]トラック内寸!$N$13)</x:f>
      </x:c>
      <x:c r="R28" s="150" t="e">
        <x:f>IFERROR(テーブル1[[#This Row],[高さ　H]]*テーブル1[[#This Row],[長さ　W]]*テーブル1[[#This Row],[奥行　D]]/1000000,"")</x:f>
      </x:c>
      <x:c r="U28" s="183"/>
      <x:c r="V28" s="184"/>
      <x:c r="W28" s="184"/>
      <x:c r="X28" s="184"/>
      <x:c r="Y28" s="184"/>
      <x:c r="Z28" s="191"/>
      <x:c r="AA28" s="192"/>
      <x:c r="AB28" s="192"/>
      <x:c r="AC28" s="193"/>
      <x:c r="AD28" s="193"/>
      <x:c r="AE28" s="193"/>
      <x:c r="AF28" s="194"/>
      <x:c r="AG28" s="194"/>
      <x:c r="AH28" s="195"/>
      <x:c r="AI28" s="189"/>
      <x:c r="AJ28" s="189"/>
      <x:c r="AK28" s="189"/>
      <x:c r="AL28" s="184"/>
      <x:c r="AM28" s="184"/>
      <x:c r="AN28" s="183"/>
    </x:row>
    <x:row r="29" s="3" customFormat="1" ht="54.75" customHeight="1">
      <x:c r="A29" s="157">
        <x:v>28</x:v>
      </x:c>
      <x:c r="B29" s="139" t="s">
        <x:v>18</x:v>
      </x:c>
      <x:c r="C29" s="182" t="s">
        <x:v>37</x:v>
      </x:c>
      <x:c r="D29" s="139" t="s">
        <x:v>41</x:v>
      </x:c>
      <x:c r="E29" s="158" t="s">
        <x:v>55</x:v>
      </x:c>
      <x:c r="F29" s="159">
        <x:v>60</x:v>
      </x:c>
      <x:c r="G29" s="159">
        <x:v>32</x:v>
      </x:c>
      <x:c r="H29" s="159">
        <x:v>28</x:v>
      </x:c>
      <x:c r="I29" s="160" t="e">
        <x:f>ROUNDUP(PRODUCT(テーブル1[[#This Row],[高さ　H]:[奥行　D]])/10000/4,0)</x:f>
      </x:c>
      <x:c r="J29" s="161"/>
      <x:c r="K29" s="162"/>
      <x:c r="L29" s="163"/>
      <x:c r="M29" s="164">
        <x:f t="shared" si="0"/>
        <x:v>0</x:v>
      </x:c>
      <x:c r="N29" s="165" t="e">
        <x:f>SUM(テーブル1[[#This Row],[容量㎥]]*テーブル1[[#This Row],[数量]]/[2]トラック内寸!$N$4)</x:f>
      </x:c>
      <x:c r="O29" s="165" t="e">
        <x:f>SUM(テーブル1[[#This Row],[容量㎥]]*テーブル1[[#This Row],[数量]]/[2]トラック内寸!$N$7)</x:f>
      </x:c>
      <x:c r="P29" s="166" t="e">
        <x:f>SUM(テーブル1[[#This Row],[容量㎥]]*テーブル1[[#This Row],[数量]]/[2]トラック内寸!$N$10)</x:f>
      </x:c>
      <x:c r="Q29" s="167" t="e">
        <x:f>SUM($I29*$L29/[2]トラック内寸!$N$13)</x:f>
      </x:c>
      <x:c r="R29" s="150" t="e">
        <x:f>IFERROR(テーブル1[[#This Row],[高さ　H]]*テーブル1[[#This Row],[長さ　W]]*テーブル1[[#This Row],[奥行　D]]/1000000,"")</x:f>
      </x:c>
      <x:c r="U29" s="183"/>
      <x:c r="V29" s="184"/>
      <x:c r="W29" s="184"/>
      <x:c r="X29" s="184"/>
      <x:c r="Y29" s="184"/>
      <x:c r="Z29" s="196"/>
      <x:c r="AA29" s="192"/>
      <x:c r="AB29" s="197"/>
      <x:c r="AC29" s="197"/>
      <x:c r="AD29" s="197"/>
      <x:c r="AE29" s="197"/>
      <x:c r="AF29" s="193"/>
      <x:c r="AG29" s="193"/>
      <x:c r="AH29" s="190"/>
      <x:c r="AI29" s="190"/>
      <x:c r="AJ29" s="190"/>
      <x:c r="AK29" s="189"/>
      <x:c r="AL29" s="184"/>
      <x:c r="AM29" s="184"/>
      <x:c r="AN29" s="183"/>
    </x:row>
    <x:row r="30" s="3" customFormat="1" ht="54.75" customHeight="1">
      <x:c r="A30" s="157">
        <x:v>29</x:v>
      </x:c>
      <x:c r="B30" s="139" t="s">
        <x:v>18</x:v>
      </x:c>
      <x:c r="C30" s="182" t="s">
        <x:v>19</x:v>
      </x:c>
      <x:c r="D30" s="182"/>
      <x:c r="E30" s="158" t="s">
        <x:v>56</x:v>
      </x:c>
      <x:c r="F30" s="159">
        <x:v>180</x:v>
      </x:c>
      <x:c r="G30" s="159">
        <x:v>30</x:v>
      </x:c>
      <x:c r="H30" s="159">
        <x:v>30</x:v>
      </x:c>
      <x:c r="I30" s="160" t="e">
        <x:f>ROUNDUP(PRODUCT(テーブル1[[#This Row],[高さ　H]:[奥行　D]])/10000/4,0)</x:f>
      </x:c>
      <x:c r="J30" s="161"/>
      <x:c r="K30" s="162"/>
      <x:c r="L30" s="163"/>
      <x:c r="M30" s="164">
        <x:f t="shared" si="0"/>
        <x:v>0</x:v>
      </x:c>
      <x:c r="N30" s="165" t="e">
        <x:f>SUM(テーブル1[[#This Row],[容量㎥]]*テーブル1[[#This Row],[数量]]/[2]トラック内寸!$N$4)</x:f>
      </x:c>
      <x:c r="O30" s="165" t="e">
        <x:f>SUM(テーブル1[[#This Row],[容量㎥]]*テーブル1[[#This Row],[数量]]/[2]トラック内寸!$N$7)</x:f>
      </x:c>
      <x:c r="P30" s="166" t="e">
        <x:f>SUM(テーブル1[[#This Row],[容量㎥]]*テーブル1[[#This Row],[数量]]/[2]トラック内寸!$N$10)</x:f>
      </x:c>
      <x:c r="Q30" s="167" t="e">
        <x:f>SUM($I30*$L30/[2]トラック内寸!$N$13)</x:f>
      </x:c>
      <x:c r="R30" s="150" t="e">
        <x:f>IFERROR(テーブル1[[#This Row],[高さ　H]]*テーブル1[[#This Row],[長さ　W]]*テーブル1[[#This Row],[奥行　D]]/1000000,"")</x:f>
      </x:c>
      <x:c r="U30" s="183"/>
      <x:c r="V30" s="184"/>
      <x:c r="W30" s="184"/>
      <x:c r="X30" s="184"/>
      <x:c r="Y30" s="184"/>
      <x:c r="Z30" s="196"/>
      <x:c r="AA30" s="192"/>
      <x:c r="AB30" s="198"/>
      <x:c r="AC30" s="198"/>
      <x:c r="AD30" s="199"/>
      <x:c r="AE30" s="199"/>
      <x:c r="AF30" s="200"/>
      <x:c r="AG30" s="200"/>
      <x:c r="AH30" s="189"/>
      <x:c r="AI30" s="189"/>
      <x:c r="AJ30" s="189"/>
      <x:c r="AK30" s="189"/>
      <x:c r="AL30" s="184"/>
      <x:c r="AM30" s="184"/>
      <x:c r="AN30" s="183"/>
    </x:row>
    <x:row r="31" s="3" customFormat="1" ht="54.75" customHeight="1">
      <x:c r="A31" s="157">
        <x:v>30</x:v>
      </x:c>
      <x:c r="B31" s="139" t="s">
        <x:v>18</x:v>
      </x:c>
      <x:c r="C31" s="182" t="s">
        <x:v>37</x:v>
      </x:c>
      <x:c r="D31" s="182"/>
      <x:c r="E31" s="158" t="s">
        <x:v>57</x:v>
      </x:c>
      <x:c r="F31" s="159">
        <x:v>135</x:v>
      </x:c>
      <x:c r="G31" s="159">
        <x:v>27.5</x:v>
      </x:c>
      <x:c r="H31" s="159">
        <x:v>36.5</x:v>
      </x:c>
      <x:c r="I31" s="160" t="e">
        <x:f>ROUNDUP(PRODUCT(テーブル1[[#This Row],[高さ　H]:[奥行　D]])/10000/4,0)</x:f>
      </x:c>
      <x:c r="J31" s="161"/>
      <x:c r="K31" s="162"/>
      <x:c r="L31" s="163"/>
      <x:c r="M31" s="164">
        <x:f t="shared" si="0"/>
        <x:v>0</x:v>
      </x:c>
      <x:c r="N31" s="165" t="e">
        <x:f>SUM(テーブル1[[#This Row],[容量㎥]]*テーブル1[[#This Row],[数量]]/[2]トラック内寸!$N$4)</x:f>
      </x:c>
      <x:c r="O31" s="165" t="e">
        <x:f>SUM(テーブル1[[#This Row],[容量㎥]]*テーブル1[[#This Row],[数量]]/[2]トラック内寸!$N$7)</x:f>
      </x:c>
      <x:c r="P31" s="166" t="e">
        <x:f>SUM(テーブル1[[#This Row],[容量㎥]]*テーブル1[[#This Row],[数量]]/[2]トラック内寸!$N$10)</x:f>
      </x:c>
      <x:c r="Q31" s="167" t="e">
        <x:f>SUM($I31*$L31/[2]トラック内寸!$N$13)</x:f>
      </x:c>
      <x:c r="R31" s="150" t="e">
        <x:f>IFERROR(テーブル1[[#This Row],[高さ　H]]*テーブル1[[#This Row],[長さ　W]]*テーブル1[[#This Row],[奥行　D]]/1000000,"")</x:f>
      </x:c>
      <x:c r="U31" s="183"/>
      <x:c r="V31" s="184"/>
      <x:c r="W31" s="184"/>
      <x:c r="X31" s="184"/>
      <x:c r="Y31" s="184"/>
      <x:c r="Z31" s="196"/>
      <x:c r="AA31" s="201"/>
      <x:c r="AB31" s="197"/>
      <x:c r="AC31" s="198"/>
      <x:c r="AD31" s="199"/>
      <x:c r="AE31" s="199"/>
      <x:c r="AF31" s="200"/>
      <x:c r="AG31" s="200"/>
      <x:c r="AH31" s="189"/>
      <x:c r="AI31" s="189"/>
      <x:c r="AJ31" s="189"/>
      <x:c r="AK31" s="189"/>
      <x:c r="AL31" s="184"/>
      <x:c r="AM31" s="184"/>
      <x:c r="AN31" s="183"/>
    </x:row>
    <x:row r="32" s="3" customFormat="1" ht="54.75" customHeight="1">
      <x:c r="A32" s="157">
        <x:v>31</x:v>
      </x:c>
      <x:c r="B32" s="139" t="s">
        <x:v>18</x:v>
      </x:c>
      <x:c r="C32" s="182" t="s">
        <x:v>37</x:v>
      </x:c>
      <x:c r="D32" s="139" t="s">
        <x:v>41</x:v>
      </x:c>
      <x:c r="E32" s="158" t="s">
        <x:v>58</x:v>
      </x:c>
      <x:c r="F32" s="159">
        <x:v>90</x:v>
      </x:c>
      <x:c r="G32" s="159">
        <x:v>80</x:v>
      </x:c>
      <x:c r="H32" s="159">
        <x:v>30</x:v>
      </x:c>
      <x:c r="I32" s="160" t="e">
        <x:f>ROUNDUP(PRODUCT(テーブル1[[#This Row],[高さ　H]:[奥行　D]])/10000/4,0)</x:f>
      </x:c>
      <x:c r="J32" s="161"/>
      <x:c r="K32" s="162"/>
      <x:c r="L32" s="163"/>
      <x:c r="M32" s="164">
        <x:f t="shared" si="0"/>
        <x:v>0</x:v>
      </x:c>
      <x:c r="N32" s="165" t="e">
        <x:f>SUM(テーブル1[[#This Row],[容量㎥]]*テーブル1[[#This Row],[数量]]/[2]トラック内寸!$N$4)</x:f>
      </x:c>
      <x:c r="O32" s="165" t="e">
        <x:f>SUM(テーブル1[[#This Row],[容量㎥]]*テーブル1[[#This Row],[数量]]/[2]トラック内寸!$N$7)</x:f>
      </x:c>
      <x:c r="P32" s="166" t="e">
        <x:f>SUM(テーブル1[[#This Row],[容量㎥]]*テーブル1[[#This Row],[数量]]/[2]トラック内寸!$N$10)</x:f>
      </x:c>
      <x:c r="Q32" s="167" t="e">
        <x:f>SUM($I32*$L32/[2]トラック内寸!$N$13)</x:f>
      </x:c>
      <x:c r="R32" s="150" t="e">
        <x:f>IFERROR(テーブル1[[#This Row],[高さ　H]]*テーブル1[[#This Row],[長さ　W]]*テーブル1[[#This Row],[奥行　D]]/1000000,"")</x:f>
      </x:c>
      <x:c r="U32" s="183"/>
      <x:c r="V32" s="184"/>
      <x:c r="W32" s="184"/>
      <x:c r="X32" s="184"/>
      <x:c r="Y32" s="184"/>
      <x:c r="Z32" s="196"/>
      <x:c r="AA32" s="192"/>
      <x:c r="AB32" s="198"/>
      <x:c r="AC32" s="198"/>
      <x:c r="AD32" s="199"/>
      <x:c r="AE32" s="199"/>
      <x:c r="AF32" s="200"/>
      <x:c r="AG32" s="200"/>
      <x:c r="AH32" s="189"/>
      <x:c r="AI32" s="189"/>
      <x:c r="AJ32" s="189"/>
      <x:c r="AK32" s="189"/>
      <x:c r="AL32" s="184"/>
      <x:c r="AM32" s="184"/>
      <x:c r="AN32" s="183"/>
    </x:row>
    <x:row r="33" s="3" customFormat="1" ht="54.75" customHeight="1">
      <x:c r="A33" s="157">
        <x:v>32</x:v>
      </x:c>
      <x:c r="B33" s="139" t="s">
        <x:v>18</x:v>
      </x:c>
      <x:c r="C33" s="182" t="s">
        <x:v>37</x:v>
      </x:c>
      <x:c r="D33" s="182"/>
      <x:c r="E33" s="158" t="s">
        <x:v>59</x:v>
      </x:c>
      <x:c r="F33" s="159">
        <x:v>30</x:v>
      </x:c>
      <x:c r="G33" s="159">
        <x:v>80</x:v>
      </x:c>
      <x:c r="H33" s="159">
        <x:v>30</x:v>
      </x:c>
      <x:c r="I33" s="160" t="e">
        <x:f>ROUNDUP(PRODUCT(テーブル1[[#This Row],[高さ　H]:[奥行　D]])/10000/4,0)</x:f>
      </x:c>
      <x:c r="J33" s="161"/>
      <x:c r="K33" s="162"/>
      <x:c r="L33" s="163"/>
      <x:c r="M33" s="164">
        <x:f t="shared" si="0"/>
        <x:v>0</x:v>
      </x:c>
      <x:c r="N33" s="165" t="e">
        <x:f>SUM(テーブル1[[#This Row],[容量㎥]]*テーブル1[[#This Row],[数量]]/[2]トラック内寸!$N$4)</x:f>
      </x:c>
      <x:c r="O33" s="165" t="e">
        <x:f>SUM(テーブル1[[#This Row],[容量㎥]]*テーブル1[[#This Row],[数量]]/[2]トラック内寸!$N$7)</x:f>
      </x:c>
      <x:c r="P33" s="166" t="e">
        <x:f>SUM(テーブル1[[#This Row],[容量㎥]]*テーブル1[[#This Row],[数量]]/[2]トラック内寸!$N$10)</x:f>
      </x:c>
      <x:c r="Q33" s="167" t="e">
        <x:f>SUM($I33*$L33/[2]トラック内寸!$N$13)</x:f>
      </x:c>
      <x:c r="R33" s="150" t="e">
        <x:f>IFERROR(テーブル1[[#This Row],[高さ　H]]*テーブル1[[#This Row],[長さ　W]]*テーブル1[[#This Row],[奥行　D]]/1000000,"")</x:f>
      </x:c>
      <x:c r="U33" s="183"/>
      <x:c r="V33" s="184"/>
      <x:c r="W33" s="184"/>
      <x:c r="X33" s="184"/>
      <x:c r="Y33" s="184"/>
      <x:c r="Z33" s="196"/>
      <x:c r="AA33" s="192"/>
      <x:c r="AB33" s="197"/>
      <x:c r="AC33" s="198"/>
      <x:c r="AD33" s="199"/>
      <x:c r="AE33" s="199"/>
      <x:c r="AF33" s="200"/>
      <x:c r="AG33" s="200"/>
      <x:c r="AH33" s="189"/>
      <x:c r="AI33" s="189"/>
      <x:c r="AJ33" s="189"/>
      <x:c r="AK33" s="189"/>
      <x:c r="AL33" s="184"/>
      <x:c r="AM33" s="184"/>
      <x:c r="AN33" s="183"/>
    </x:row>
    <x:row r="34" s="3" customFormat="1" ht="54.75" customHeight="1">
      <x:c r="A34" s="157">
        <x:v>33</x:v>
      </x:c>
      <x:c r="B34" s="139" t="s">
        <x:v>18</x:v>
      </x:c>
      <x:c r="C34" s="182" t="s">
        <x:v>37</x:v>
      </x:c>
      <x:c r="D34" s="182"/>
      <x:c r="E34" s="158" t="s">
        <x:v>60</x:v>
      </x:c>
      <x:c r="F34" s="159">
        <x:v>112</x:v>
      </x:c>
      <x:c r="G34" s="159">
        <x:v>76</x:v>
      </x:c>
      <x:c r="H34" s="159">
        <x:v>120</x:v>
      </x:c>
      <x:c r="I34" s="160" t="e">
        <x:f>ROUNDUP(PRODUCT(テーブル1[[#This Row],[高さ　H]:[奥行　D]])/10000/4,0)</x:f>
      </x:c>
      <x:c r="J34" s="161"/>
      <x:c r="K34" s="162"/>
      <x:c r="L34" s="163"/>
      <x:c r="M34" s="164">
        <x:f t="shared" si="0"/>
        <x:v>0</x:v>
      </x:c>
      <x:c r="N34" s="165" t="e">
        <x:f>SUM(テーブル1[[#This Row],[容量㎥]]*テーブル1[[#This Row],[数量]]/[2]トラック内寸!$N$4)</x:f>
      </x:c>
      <x:c r="O34" s="165" t="e">
        <x:f>SUM(テーブル1[[#This Row],[容量㎥]]*テーブル1[[#This Row],[数量]]/[2]トラック内寸!$N$7)</x:f>
      </x:c>
      <x:c r="P34" s="166" t="e">
        <x:f>SUM(テーブル1[[#This Row],[容量㎥]]*テーブル1[[#This Row],[数量]]/[2]トラック内寸!$N$10)</x:f>
      </x:c>
      <x:c r="Q34" s="167" t="e">
        <x:f>SUM($I34*$L34/[2]トラック内寸!$N$13)</x:f>
      </x:c>
      <x:c r="R34" s="150" t="e">
        <x:f>IFERROR(テーブル1[[#This Row],[高さ　H]]*テーブル1[[#This Row],[長さ　W]]*テーブル1[[#This Row],[奥行　D]]/1000000,"")</x:f>
      </x:c>
      <x:c r="U34" s="202"/>
      <x:c r="V34" s="185"/>
      <x:c r="W34" s="185"/>
      <x:c r="X34" s="184"/>
      <x:c r="Y34" s="184"/>
      <x:c r="Z34" s="196"/>
      <x:c r="AA34" s="192"/>
      <x:c r="AB34" s="198"/>
      <x:c r="AC34" s="198"/>
      <x:c r="AD34" s="199"/>
      <x:c r="AE34" s="199"/>
      <x:c r="AF34" s="200"/>
      <x:c r="AG34" s="200"/>
      <x:c r="AH34" s="189"/>
      <x:c r="AI34" s="189"/>
      <x:c r="AJ34" s="189"/>
      <x:c r="AK34" s="185"/>
      <x:c r="AL34" s="185"/>
      <x:c r="AM34" s="203"/>
      <x:c r="AN34" s="183"/>
    </x:row>
    <x:row r="35" s="3" customFormat="1" ht="54.75" customHeight="1">
      <x:c r="A35" s="157">
        <x:v>34</x:v>
      </x:c>
      <x:c r="B35" s="182" t="s">
        <x:v>61</x:v>
      </x:c>
      <x:c r="C35" s="182" t="s">
        <x:v>19</x:v>
      </x:c>
      <x:c r="D35" s="139" t="s">
        <x:v>41</x:v>
      </x:c>
      <x:c r="E35" s="158" t="s">
        <x:v>62</x:v>
      </x:c>
      <x:c r="F35" s="159">
        <x:v>85.7</x:v>
      </x:c>
      <x:c r="G35" s="159">
        <x:v>119.6</x:v>
      </x:c>
      <x:c r="H35" s="159">
        <x:v>50.5</x:v>
      </x:c>
      <x:c r="I35" s="160" t="e">
        <x:f>ROUNDUP(PRODUCT(テーブル1[[#This Row],[高さ　H]:[奥行　D]])/10000/4,0)</x:f>
      </x:c>
      <x:c r="J35" s="161" t="e">
        <x:f>ROUNDUP((テーブル1[[#This Row],[ポイント　P]]*60%)/$I$122,0)</x:f>
      </x:c>
      <x:c r="K35" s="162"/>
      <x:c r="L35" s="163"/>
      <x:c r="M35" s="164">
        <x:f t="shared" si="0"/>
        <x:v>0</x:v>
      </x:c>
      <x:c r="N35" s="165" t="e">
        <x:f>SUM(テーブル1[[#This Row],[容量㎥]]*テーブル1[[#This Row],[数量]]/[2]トラック内寸!$N$4)</x:f>
      </x:c>
      <x:c r="O35" s="165" t="e">
        <x:f>SUM(テーブル1[[#This Row],[容量㎥]]*テーブル1[[#This Row],[数量]]/[2]トラック内寸!$N$7)</x:f>
      </x:c>
      <x:c r="P35" s="166" t="e">
        <x:f>SUM(テーブル1[[#This Row],[容量㎥]]*テーブル1[[#This Row],[数量]]/[2]トラック内寸!$N$10)</x:f>
      </x:c>
      <x:c r="Q35" s="167" t="e">
        <x:f>SUM($I35*$L35/[2]トラック内寸!$N$13)</x:f>
      </x:c>
      <x:c r="R35" s="150" t="e">
        <x:f>IFERROR(テーブル1[[#This Row],[高さ　H]]*テーブル1[[#This Row],[長さ　W]]*テーブル1[[#This Row],[奥行　D]]/1000000,"")</x:f>
      </x:c>
      <x:c r="U35" s="202"/>
      <x:c r="V35" s="185"/>
      <x:c r="W35" s="185"/>
      <x:c r="X35" s="184"/>
      <x:c r="Y35" s="184"/>
      <x:c r="Z35" s="196"/>
      <x:c r="AA35" s="192"/>
      <x:c r="AB35" s="204"/>
      <x:c r="AC35" s="198"/>
      <x:c r="AD35" s="199"/>
      <x:c r="AE35" s="199"/>
      <x:c r="AF35" s="200"/>
      <x:c r="AG35" s="200"/>
      <x:c r="AH35" s="189"/>
      <x:c r="AI35" s="189"/>
      <x:c r="AJ35" s="189"/>
      <x:c r="AK35" s="185"/>
      <x:c r="AL35" s="185"/>
      <x:c r="AM35" s="203"/>
      <x:c r="AN35" s="205"/>
    </x:row>
    <x:row r="36" s="3" customFormat="1" ht="54.75" customHeight="1">
      <x:c r="A36" s="157">
        <x:v>35</x:v>
      </x:c>
      <x:c r="B36" s="182" t="s">
        <x:v>61</x:v>
      </x:c>
      <x:c r="C36" s="182" t="s">
        <x:v>19</x:v>
      </x:c>
      <x:c r="D36" s="139" t="s">
        <x:v>41</x:v>
      </x:c>
      <x:c r="E36" s="158" t="s">
        <x:v>63</x:v>
      </x:c>
      <x:c r="F36" s="159">
        <x:v>202</x:v>
      </x:c>
      <x:c r="G36" s="159">
        <x:v>60</x:v>
      </x:c>
      <x:c r="H36" s="159">
        <x:v>49</x:v>
      </x:c>
      <x:c r="I36" s="160" t="e">
        <x:f>ROUNDUP(PRODUCT(テーブル1[[#This Row],[高さ　H]:[奥行　D]])/10000/4,0)</x:f>
      </x:c>
      <x:c r="J36" s="161" t="e">
        <x:f>ROUNDUP((テーブル1[[#This Row],[ポイント　P]]*60%)/$I$122,0)</x:f>
      </x:c>
      <x:c r="K36" s="162"/>
      <x:c r="L36" s="163"/>
      <x:c r="M36" s="164">
        <x:f t="shared" si="0"/>
        <x:v>0</x:v>
      </x:c>
      <x:c r="N36" s="165" t="e">
        <x:f>SUM(テーブル1[[#This Row],[容量㎥]]*テーブル1[[#This Row],[数量]]/[2]トラック内寸!$N$4)</x:f>
      </x:c>
      <x:c r="O36" s="165" t="e">
        <x:f>SUM(テーブル1[[#This Row],[容量㎥]]*テーブル1[[#This Row],[数量]]/[2]トラック内寸!$N$7)</x:f>
      </x:c>
      <x:c r="P36" s="166" t="e">
        <x:f>SUM(テーブル1[[#This Row],[容量㎥]]*テーブル1[[#This Row],[数量]]/[2]トラック内寸!$N$10)</x:f>
      </x:c>
      <x:c r="Q36" s="167" t="e">
        <x:f>SUM($I36*$L36/[2]トラック内寸!$N$13)</x:f>
      </x:c>
      <x:c r="R36" s="150" t="e">
        <x:f>IFERROR(テーブル1[[#This Row],[高さ　H]]*テーブル1[[#This Row],[長さ　W]]*テーブル1[[#This Row],[奥行　D]]/1000000,"")</x:f>
      </x:c>
      <x:c r="U36" s="202"/>
      <x:c r="V36" s="185"/>
      <x:c r="W36" s="185"/>
      <x:c r="X36" s="185"/>
      <x:c r="AN36" s="205"/>
    </x:row>
    <x:row r="37" s="3" customFormat="1" ht="54.75" customHeight="1">
      <x:c r="A37" s="157">
        <x:v>36</x:v>
      </x:c>
      <x:c r="B37" s="182" t="s">
        <x:v>61</x:v>
      </x:c>
      <x:c r="C37" s="182" t="s">
        <x:v>19</x:v>
      </x:c>
      <x:c r="D37" s="139" t="s">
        <x:v>41</x:v>
      </x:c>
      <x:c r="E37" s="158" t="s">
        <x:v>64</x:v>
      </x:c>
      <x:c r="F37" s="159">
        <x:v>175</x:v>
      </x:c>
      <x:c r="G37" s="159">
        <x:v>88</x:v>
      </x:c>
      <x:c r="H37" s="159">
        <x:v>42</x:v>
      </x:c>
      <x:c r="I37" s="160" t="e">
        <x:f>ROUNDUP(PRODUCT(テーブル1[[#This Row],[高さ　H]:[奥行　D]])/10000/4,0)</x:f>
      </x:c>
      <x:c r="J37" s="161" t="e">
        <x:f>ROUNDUP((テーブル1[[#This Row],[ポイント　P]]*60%)/$I$122,0)</x:f>
      </x:c>
      <x:c r="K37" s="162"/>
      <x:c r="L37" s="163"/>
      <x:c r="M37" s="164">
        <x:f t="shared" si="0"/>
        <x:v>0</x:v>
      </x:c>
      <x:c r="N37" s="165" t="e">
        <x:f>SUM(テーブル1[[#This Row],[容量㎥]]*テーブル1[[#This Row],[数量]]/[2]トラック内寸!$N$4)</x:f>
      </x:c>
      <x:c r="O37" s="165" t="e">
        <x:f>SUM(テーブル1[[#This Row],[容量㎥]]*テーブル1[[#This Row],[数量]]/[2]トラック内寸!$N$7)</x:f>
      </x:c>
      <x:c r="P37" s="166" t="e">
        <x:f>SUM(テーブル1[[#This Row],[容量㎥]]*テーブル1[[#This Row],[数量]]/[2]トラック内寸!$N$10)</x:f>
      </x:c>
      <x:c r="Q37" s="167" t="e">
        <x:f>SUM($I37*$L37/[2]トラック内寸!$N$13)</x:f>
      </x:c>
      <x:c r="R37" s="150" t="e">
        <x:f>IFERROR(テーブル1[[#This Row],[高さ　H]]*テーブル1[[#This Row],[長さ　W]]*テーブル1[[#This Row],[奥行　D]]/1000000,"")</x:f>
      </x:c>
    </x:row>
    <x:row r="38" s="3" customFormat="1" ht="54.75" customHeight="1">
      <x:c r="A38" s="157">
        <x:v>37</x:v>
      </x:c>
      <x:c r="B38" s="182" t="s">
        <x:v>61</x:v>
      </x:c>
      <x:c r="C38" s="182" t="s">
        <x:v>19</x:v>
      </x:c>
      <x:c r="D38" s="139" t="s">
        <x:v>41</x:v>
      </x:c>
      <x:c r="E38" s="158" t="s">
        <x:v>65</x:v>
      </x:c>
      <x:c r="F38" s="159">
        <x:v>202</x:v>
      </x:c>
      <x:c r="G38" s="159">
        <x:v>160</x:v>
      </x:c>
      <x:c r="H38" s="159">
        <x:v>51</x:v>
      </x:c>
      <x:c r="I38" s="160" t="e">
        <x:f>ROUNDUP(PRODUCT(テーブル1[[#This Row],[高さ　H]:[奥行　D]])/10000/4,0)</x:f>
      </x:c>
      <x:c r="J38" s="161" t="e">
        <x:f>ROUNDUP((テーブル1[[#This Row],[ポイント　P]]*60%)/$I$122,0)</x:f>
      </x:c>
      <x:c r="K38" s="162"/>
      <x:c r="L38" s="163"/>
      <x:c r="M38" s="164">
        <x:f t="shared" si="0"/>
        <x:v>0</x:v>
      </x:c>
      <x:c r="N38" s="165" t="e">
        <x:f>SUM(テーブル1[[#This Row],[容量㎥]]*テーブル1[[#This Row],[数量]]/[2]トラック内寸!$N$4)</x:f>
      </x:c>
      <x:c r="O38" s="165" t="e">
        <x:f>SUM(テーブル1[[#This Row],[容量㎥]]*テーブル1[[#This Row],[数量]]/[2]トラック内寸!$N$7)</x:f>
      </x:c>
      <x:c r="P38" s="166" t="e">
        <x:f>SUM(テーブル1[[#This Row],[容量㎥]]*テーブル1[[#This Row],[数量]]/[2]トラック内寸!$N$10)</x:f>
      </x:c>
      <x:c r="Q38" s="167" t="e">
        <x:f>SUM($I38*$L38/[2]トラック内寸!$N$13)</x:f>
      </x:c>
      <x:c r="R38" s="150" t="e">
        <x:f>IFERROR(テーブル1[[#This Row],[高さ　H]]*テーブル1[[#This Row],[長さ　W]]*テーブル1[[#This Row],[奥行　D]]/1000000,"")</x:f>
      </x:c>
    </x:row>
    <x:row r="39" s="3" customFormat="1" ht="54.75" customHeight="1">
      <x:c r="A39" s="157">
        <x:v>38</x:v>
      </x:c>
      <x:c r="B39" s="182" t="s">
        <x:v>61</x:v>
      </x:c>
      <x:c r="C39" s="139" t="s">
        <x:v>37</x:v>
      </x:c>
      <x:c r="D39" s="139" t="s">
        <x:v>41</x:v>
      </x:c>
      <x:c r="E39" s="158" t="s">
        <x:v>66</x:v>
      </x:c>
      <x:c r="F39" s="159">
        <x:v>122.5</x:v>
      </x:c>
      <x:c r="G39" s="159">
        <x:v>48</x:v>
      </x:c>
      <x:c r="H39" s="159">
        <x:v>59.5</x:v>
      </x:c>
      <x:c r="I39" s="160" t="e">
        <x:f>ROUNDUP(PRODUCT(テーブル1[[#This Row],[高さ　H]:[奥行　D]])/10000/4,0)</x:f>
      </x:c>
      <x:c r="J39" s="161" t="e">
        <x:f>ROUNDUP((テーブル1[[#This Row],[ポイント　P]]*60%)/$I$122,0)</x:f>
      </x:c>
      <x:c r="K39" s="162"/>
      <x:c r="L39" s="163"/>
      <x:c r="M39" s="164">
        <x:f t="shared" si="0"/>
        <x:v>0</x:v>
      </x:c>
      <x:c r="N39" s="165" t="e">
        <x:f>SUM(テーブル1[[#This Row],[容量㎥]]*テーブル1[[#This Row],[数量]]/[2]トラック内寸!$N$4)</x:f>
      </x:c>
      <x:c r="O39" s="165" t="e">
        <x:f>SUM(テーブル1[[#This Row],[容量㎥]]*テーブル1[[#This Row],[数量]]/[2]トラック内寸!$N$7)</x:f>
      </x:c>
      <x:c r="P39" s="166" t="e">
        <x:f>SUM(テーブル1[[#This Row],[容量㎥]]*テーブル1[[#This Row],[数量]]/[2]トラック内寸!$N$10)</x:f>
      </x:c>
      <x:c r="Q39" s="167" t="e">
        <x:f>SUM($I39*$L39/[2]トラック内寸!$N$13)</x:f>
      </x:c>
      <x:c r="R39" s="150" t="e">
        <x:f>IFERROR(テーブル1[[#This Row],[高さ　H]]*テーブル1[[#This Row],[長さ　W]]*テーブル1[[#This Row],[奥行　D]]/1000000,"")</x:f>
      </x:c>
    </x:row>
    <x:row r="40" s="3" customFormat="1" ht="54.75" customHeight="1">
      <x:c r="A40" s="157">
        <x:v>39</x:v>
      </x:c>
      <x:c r="B40" s="182" t="s">
        <x:v>61</x:v>
      </x:c>
      <x:c r="C40" s="139" t="s">
        <x:v>37</x:v>
      </x:c>
      <x:c r="D40" s="139" t="s">
        <x:v>41</x:v>
      </x:c>
      <x:c r="E40" s="158" t="s">
        <x:v>67</x:v>
      </x:c>
      <x:c r="F40" s="159">
        <x:v>155.5</x:v>
      </x:c>
      <x:c r="G40" s="159">
        <x:v>54</x:v>
      </x:c>
      <x:c r="H40" s="159">
        <x:v>65.5</x:v>
      </x:c>
      <x:c r="I40" s="160" t="e">
        <x:f>ROUNDUP(PRODUCT(テーブル1[[#This Row],[高さ　H]:[奥行　D]])/10000/4,0)</x:f>
      </x:c>
      <x:c r="J40" s="161" t="e">
        <x:f>ROUNDUP((テーブル1[[#This Row],[ポイント　P]]*60%)/$I$122,0)</x:f>
      </x:c>
      <x:c r="K40" s="162"/>
      <x:c r="L40" s="163"/>
      <x:c r="M40" s="164">
        <x:f t="shared" si="0"/>
        <x:v>0</x:v>
      </x:c>
      <x:c r="N40" s="165" t="e">
        <x:f>SUM(テーブル1[[#This Row],[容量㎥]]*テーブル1[[#This Row],[数量]]/[2]トラック内寸!$N$4)</x:f>
      </x:c>
      <x:c r="O40" s="165" t="e">
        <x:f>SUM(テーブル1[[#This Row],[容量㎥]]*テーブル1[[#This Row],[数量]]/[2]トラック内寸!$N$7)</x:f>
      </x:c>
      <x:c r="P40" s="166" t="e">
        <x:f>SUM(テーブル1[[#This Row],[容量㎥]]*テーブル1[[#This Row],[数量]]/[2]トラック内寸!$N$10)</x:f>
      </x:c>
      <x:c r="Q40" s="167" t="e">
        <x:f>SUM($I40*$L40/[2]トラック内寸!$N$13)</x:f>
      </x:c>
      <x:c r="R40" s="150" t="e">
        <x:f>IFERROR(テーブル1[[#This Row],[高さ　H]]*テーブル1[[#This Row],[長さ　W]]*テーブル1[[#This Row],[奥行　D]]/1000000,"")</x:f>
      </x:c>
    </x:row>
    <x:row r="41" s="3" customFormat="1" ht="54.75" customHeight="1">
      <x:c r="A41" s="157">
        <x:v>40</x:v>
      </x:c>
      <x:c r="B41" s="182" t="s">
        <x:v>61</x:v>
      </x:c>
      <x:c r="C41" s="139" t="s">
        <x:v>37</x:v>
      </x:c>
      <x:c r="D41" s="139" t="s">
        <x:v>41</x:v>
      </x:c>
      <x:c r="E41" s="158" t="s">
        <x:v>68</x:v>
      </x:c>
      <x:c r="F41" s="159">
        <x:v>180</x:v>
      </x:c>
      <x:c r="G41" s="159">
        <x:v>60</x:v>
      </x:c>
      <x:c r="H41" s="159">
        <x:v>70</x:v>
      </x:c>
      <x:c r="I41" s="160" t="e">
        <x:f>ROUNDUP(PRODUCT(テーブル1[[#This Row],[高さ　H]:[奥行　D]])/10000/4,0)</x:f>
      </x:c>
      <x:c r="J41" s="161" t="e">
        <x:f>ROUNDUP((テーブル1[[#This Row],[ポイント　P]]*60%)/$I$122,0)</x:f>
      </x:c>
      <x:c r="K41" s="162"/>
      <x:c r="L41" s="163"/>
      <x:c r="M41" s="164">
        <x:f t="shared" si="0"/>
        <x:v>0</x:v>
      </x:c>
      <x:c r="N41" s="165" t="e">
        <x:f>SUM(テーブル1[[#This Row],[容量㎥]]*テーブル1[[#This Row],[数量]]/[2]トラック内寸!$N$4)</x:f>
      </x:c>
      <x:c r="O41" s="165" t="e">
        <x:f>SUM(テーブル1[[#This Row],[容量㎥]]*テーブル1[[#This Row],[数量]]/[2]トラック内寸!$N$7)</x:f>
      </x:c>
      <x:c r="P41" s="166" t="e">
        <x:f>SUM(テーブル1[[#This Row],[容量㎥]]*テーブル1[[#This Row],[数量]]/[2]トラック内寸!$N$10)</x:f>
      </x:c>
      <x:c r="Q41" s="167" t="e">
        <x:f>SUM($I41*$L41/[2]トラック内寸!$N$13)</x:f>
      </x:c>
      <x:c r="R41" s="150" t="e">
        <x:f>IFERROR(テーブル1[[#This Row],[高さ　H]]*テーブル1[[#This Row],[長さ　W]]*テーブル1[[#This Row],[奥行　D]]/1000000,"")</x:f>
      </x:c>
    </x:row>
    <x:row r="42" s="3" customFormat="1" ht="54.75" customHeight="1">
      <x:c r="A42" s="157">
        <x:v>41</x:v>
      </x:c>
      <x:c r="B42" s="182" t="s">
        <x:v>61</x:v>
      </x:c>
      <x:c r="C42" s="139" t="s">
        <x:v>37</x:v>
      </x:c>
      <x:c r="D42" s="139" t="s">
        <x:v>41</x:v>
      </x:c>
      <x:c r="E42" s="158" t="s">
        <x:v>69</x:v>
      </x:c>
      <x:c r="F42" s="159">
        <x:v>190</x:v>
      </x:c>
      <x:c r="G42" s="159">
        <x:v>68.5</x:v>
      </x:c>
      <x:c r="H42" s="159">
        <x:v>75</x:v>
      </x:c>
      <x:c r="I42" s="160" t="e">
        <x:f>ROUNDUP(PRODUCT(テーブル1[[#This Row],[高さ　H]:[奥行　D]])/10000/4,0)</x:f>
      </x:c>
      <x:c r="J42" s="161" t="e">
        <x:f>ROUNDUP((テーブル1[[#This Row],[ポイント　P]]*60%)/$I$122,0)</x:f>
      </x:c>
      <x:c r="K42" s="162"/>
      <x:c r="L42" s="163">
        <x:v>0</x:v>
      </x:c>
      <x:c r="M42" s="164">
        <x:f t="shared" si="0"/>
        <x:v>0</x:v>
      </x:c>
      <x:c r="N42" s="165" t="e">
        <x:f>SUM(テーブル1[[#This Row],[容量㎥]]*テーブル1[[#This Row],[数量]]/[2]トラック内寸!$N$4)</x:f>
      </x:c>
      <x:c r="O42" s="165" t="e">
        <x:f>SUM(テーブル1[[#This Row],[容量㎥]]*テーブル1[[#This Row],[数量]]/[2]トラック内寸!$N$7)</x:f>
      </x:c>
      <x:c r="P42" s="166" t="e">
        <x:f>SUM(テーブル1[[#This Row],[容量㎥]]*テーブル1[[#This Row],[数量]]/[2]トラック内寸!$N$10)</x:f>
      </x:c>
      <x:c r="Q42" s="167" t="e">
        <x:f>SUM($I42*$L42/[2]トラック内寸!$N$13)</x:f>
      </x:c>
      <x:c r="R42" s="150" t="e">
        <x:f>IFERROR(テーブル1[[#This Row],[高さ　H]]*テーブル1[[#This Row],[長さ　W]]*テーブル1[[#This Row],[奥行　D]]/1000000,"")</x:f>
      </x:c>
    </x:row>
    <x:row r="43" s="3" customFormat="1" ht="54.75" customHeight="1">
      <x:c r="A43" s="157">
        <x:v>42</x:v>
      </x:c>
      <x:c r="B43" s="182" t="s">
        <x:v>61</x:v>
      </x:c>
      <x:c r="C43" s="139" t="s">
        <x:v>37</x:v>
      </x:c>
      <x:c r="D43" s="139"/>
      <x:c r="E43" s="158" t="s">
        <x:v>70</x:v>
      </x:c>
      <x:c r="F43" s="159">
        <x:v>84.5</x:v>
      </x:c>
      <x:c r="G43" s="159">
        <x:v>55</x:v>
      </x:c>
      <x:c r="H43" s="159">
        <x:v>58</x:v>
      </x:c>
      <x:c r="I43" s="160" t="e">
        <x:f>ROUNDUP(PRODUCT(テーブル1[[#This Row],[高さ　H]:[奥行　D]])/10000/4,0)</x:f>
      </x:c>
      <x:c r="J43" s="161" t="e">
        <x:f>ROUNDUP((テーブル1[[#This Row],[ポイント　P]]*60%)/$I$122,0)</x:f>
      </x:c>
      <x:c r="K43" s="162"/>
      <x:c r="L43" s="163"/>
      <x:c r="M43" s="164">
        <x:f t="shared" si="0"/>
        <x:v>0</x:v>
      </x:c>
      <x:c r="N43" s="165" t="e">
        <x:f>SUM(テーブル1[[#This Row],[容量㎥]]*テーブル1[[#This Row],[数量]]/[2]トラック内寸!$N$4)</x:f>
      </x:c>
      <x:c r="O43" s="165" t="e">
        <x:f>SUM(テーブル1[[#This Row],[容量㎥]]*テーブル1[[#This Row],[数量]]/[2]トラック内寸!$N$7)</x:f>
      </x:c>
      <x:c r="P43" s="166" t="e">
        <x:f>SUM(テーブル1[[#This Row],[容量㎥]]*テーブル1[[#This Row],[数量]]/[2]トラック内寸!$N$10)</x:f>
      </x:c>
      <x:c r="Q43" s="167" t="e">
        <x:f>SUM($I43*$L43/[2]トラック内寸!$N$13)</x:f>
      </x:c>
      <x:c r="R43" s="150" t="e">
        <x:f>IFERROR(テーブル1[[#This Row],[高さ　H]]*テーブル1[[#This Row],[長さ　W]]*テーブル1[[#This Row],[奥行　D]]/1000000,"")</x:f>
      </x:c>
    </x:row>
    <x:row r="44" s="3" customFormat="1" ht="54.75" customHeight="1">
      <x:c r="A44" s="157">
        <x:v>43</x:v>
      </x:c>
      <x:c r="B44" s="182" t="s">
        <x:v>61</x:v>
      </x:c>
      <x:c r="C44" s="139" t="s">
        <x:v>37</x:v>
      </x:c>
      <x:c r="D44" s="139" t="s">
        <x:v>41</x:v>
      </x:c>
      <x:c r="E44" s="158" t="s">
        <x:v>71</x:v>
      </x:c>
      <x:c r="F44" s="159">
        <x:v>45.8</x:v>
      </x:c>
      <x:c r="G44" s="159">
        <x:v>40</x:v>
      </x:c>
      <x:c r="H44" s="159">
        <x:v>35.4</x:v>
      </x:c>
      <x:c r="I44" s="160" t="e">
        <x:f>ROUNDUP(PRODUCT(テーブル1[[#This Row],[高さ　H]:[奥行　D]])/10000/4,0)</x:f>
      </x:c>
      <x:c r="J44" s="161"/>
      <x:c r="K44" s="162"/>
      <x:c r="L44" s="163"/>
      <x:c r="M44" s="164">
        <x:f t="shared" si="0"/>
        <x:v>0</x:v>
      </x:c>
      <x:c r="N44" s="165" t="e">
        <x:f>SUM(テーブル1[[#This Row],[容量㎥]]*テーブル1[[#This Row],[数量]]/[2]トラック内寸!$N$4)</x:f>
      </x:c>
      <x:c r="O44" s="165" t="e">
        <x:f>SUM(テーブル1[[#This Row],[容量㎥]]*テーブル1[[#This Row],[数量]]/[2]トラック内寸!$N$7)</x:f>
      </x:c>
      <x:c r="P44" s="166" t="e">
        <x:f>SUM(テーブル1[[#This Row],[容量㎥]]*テーブル1[[#This Row],[数量]]/[2]トラック内寸!$N$10)</x:f>
      </x:c>
      <x:c r="Q44" s="167" t="e">
        <x:f>SUM($I44*$L44/[2]トラック内寸!$N$13)</x:f>
      </x:c>
      <x:c r="R44" s="150" t="e">
        <x:f>IFERROR(テーブル1[[#This Row],[高さ　H]]*テーブル1[[#This Row],[長さ　W]]*テーブル1[[#This Row],[奥行　D]]/1000000,"")</x:f>
      </x:c>
    </x:row>
    <x:row r="45" s="3" customFormat="1" ht="54.75" customHeight="1">
      <x:c r="A45" s="157">
        <x:v>44</x:v>
      </x:c>
      <x:c r="B45" s="182" t="s">
        <x:v>61</x:v>
      </x:c>
      <x:c r="C45" s="182" t="s">
        <x:v>19</x:v>
      </x:c>
      <x:c r="D45" s="139" t="s">
        <x:v>41</x:v>
      </x:c>
      <x:c r="E45" s="158" t="s">
        <x:v>72</x:v>
      </x:c>
      <x:c r="F45" s="159">
        <x:v>49</x:v>
      </x:c>
      <x:c r="G45" s="159">
        <x:v>131.5</x:v>
      </x:c>
      <x:c r="H45" s="159">
        <x:v>42.7</x:v>
      </x:c>
      <x:c r="I45" s="160" t="e">
        <x:f>ROUNDUP(PRODUCT(テーブル1[[#This Row],[高さ　H]:[奥行　D]])/10000/4,0)</x:f>
      </x:c>
      <x:c r="J45" s="161"/>
      <x:c r="K45" s="162"/>
      <x:c r="L45" s="163"/>
      <x:c r="M45" s="164">
        <x:f t="shared" si="0"/>
        <x:v>0</x:v>
      </x:c>
      <x:c r="N45" s="165" t="e">
        <x:f>SUM(テーブル1[[#This Row],[容量㎥]]*テーブル1[[#This Row],[数量]]/[2]トラック内寸!$N$4)</x:f>
      </x:c>
      <x:c r="O45" s="165" t="e">
        <x:f>SUM(テーブル1[[#This Row],[容量㎥]]*テーブル1[[#This Row],[数量]]/[2]トラック内寸!$N$7)</x:f>
      </x:c>
      <x:c r="P45" s="166" t="e">
        <x:f>SUM(テーブル1[[#This Row],[容量㎥]]*テーブル1[[#This Row],[数量]]/[2]トラック内寸!$N$10)</x:f>
      </x:c>
      <x:c r="Q45" s="167" t="e">
        <x:f>SUM($I45*$L45/[2]トラック内寸!$N$13)</x:f>
      </x:c>
      <x:c r="R45" s="150" t="e">
        <x:f>IFERROR(テーブル1[[#This Row],[高さ　H]]*テーブル1[[#This Row],[長さ　W]]*テーブル1[[#This Row],[奥行　D]]/1000000,"")</x:f>
      </x:c>
    </x:row>
    <x:row r="46" s="3" customFormat="1" ht="54.75" customHeight="1">
      <x:c r="A46" s="157">
        <x:v>45</x:v>
      </x:c>
      <x:c r="B46" s="182" t="s">
        <x:v>61</x:v>
      </x:c>
      <x:c r="C46" s="182" t="s">
        <x:v>37</x:v>
      </x:c>
      <x:c r="D46" s="182"/>
      <x:c r="E46" s="158" t="s">
        <x:v>73</x:v>
      </x:c>
      <x:c r="F46" s="159">
        <x:v>35.5</x:v>
      </x:c>
      <x:c r="G46" s="159">
        <x:v>49</x:v>
      </x:c>
      <x:c r="H46" s="159">
        <x:v>42.5</x:v>
      </x:c>
      <x:c r="I46" s="160" t="e">
        <x:f>ROUNDUP(PRODUCT(テーブル1[[#This Row],[高さ　H]:[奥行　D]])/10000/4,0)</x:f>
      </x:c>
      <x:c r="J46" s="161"/>
      <x:c r="K46" s="162"/>
      <x:c r="L46" s="163"/>
      <x:c r="M46" s="164">
        <x:f t="shared" si="0"/>
        <x:v>0</x:v>
      </x:c>
      <x:c r="N46" s="165" t="e">
        <x:f>SUM(テーブル1[[#This Row],[容量㎥]]*テーブル1[[#This Row],[数量]]/[2]トラック内寸!$N$4)</x:f>
      </x:c>
      <x:c r="O46" s="165" t="e">
        <x:f>SUM(テーブル1[[#This Row],[容量㎥]]*テーブル1[[#This Row],[数量]]/[2]トラック内寸!$N$7)</x:f>
      </x:c>
      <x:c r="P46" s="166" t="e">
        <x:f>SUM(テーブル1[[#This Row],[容量㎥]]*テーブル1[[#This Row],[数量]]/[2]トラック内寸!$N$10)</x:f>
      </x:c>
      <x:c r="Q46" s="167" t="e">
        <x:f>SUM($I46*$L46/[2]トラック内寸!$N$13)</x:f>
      </x:c>
      <x:c r="R46" s="150" t="e">
        <x:f>IFERROR(テーブル1[[#This Row],[高さ　H]]*テーブル1[[#This Row],[長さ　W]]*テーブル1[[#This Row],[奥行　D]]/1000000,"")</x:f>
      </x:c>
    </x:row>
    <x:row r="47" s="3" customFormat="1" ht="54.75" customHeight="1">
      <x:c r="A47" s="157">
        <x:v>46</x:v>
      </x:c>
      <x:c r="B47" s="182" t="s">
        <x:v>61</x:v>
      </x:c>
      <x:c r="C47" s="182" t="s">
        <x:v>37</x:v>
      </x:c>
      <x:c r="D47" s="182"/>
      <x:c r="E47" s="158" t="s">
        <x:v>74</x:v>
      </x:c>
      <x:c r="F47" s="159">
        <x:v>34</x:v>
      </x:c>
      <x:c r="G47" s="159">
        <x:v>35.5</x:v>
      </x:c>
      <x:c r="H47" s="159">
        <x:v>31</x:v>
      </x:c>
      <x:c r="I47" s="160" t="e">
        <x:f>ROUNDUP(PRODUCT(テーブル1[[#This Row],[高さ　H]:[奥行　D]])/10000/4,0)</x:f>
      </x:c>
      <x:c r="J47" s="161"/>
      <x:c r="K47" s="162"/>
      <x:c r="L47" s="163"/>
      <x:c r="M47" s="164">
        <x:f t="shared" si="0"/>
        <x:v>0</x:v>
      </x:c>
      <x:c r="N47" s="165" t="e">
        <x:f>SUM(テーブル1[[#This Row],[容量㎥]]*テーブル1[[#This Row],[数量]]/[2]トラック内寸!$N$4)</x:f>
      </x:c>
      <x:c r="O47" s="165" t="e">
        <x:f>SUM(テーブル1[[#This Row],[容量㎥]]*テーブル1[[#This Row],[数量]]/[2]トラック内寸!$N$7)</x:f>
      </x:c>
      <x:c r="P47" s="166" t="e">
        <x:f>SUM(テーブル1[[#This Row],[容量㎥]]*テーブル1[[#This Row],[数量]]/[2]トラック内寸!$N$10)</x:f>
      </x:c>
      <x:c r="Q47" s="167" t="e">
        <x:f>SUM($I47*$L47/[2]トラック内寸!$N$13)</x:f>
      </x:c>
      <x:c r="R47" s="150" t="e">
        <x:f>IFERROR(テーブル1[[#This Row],[高さ　H]]*テーブル1[[#This Row],[長さ　W]]*テーブル1[[#This Row],[奥行　D]]/1000000,"")</x:f>
      </x:c>
    </x:row>
    <x:row r="48" s="3" customFormat="1" ht="54.75" customHeight="1">
      <x:c r="A48" s="157">
        <x:v>47</x:v>
      </x:c>
      <x:c r="B48" s="182" t="s">
        <x:v>61</x:v>
      </x:c>
      <x:c r="C48" s="182" t="s">
        <x:v>75</x:v>
      </x:c>
      <x:c r="D48" s="182"/>
      <x:c r="E48" s="158" t="s">
        <x:v>76</x:v>
      </x:c>
      <x:c r="F48" s="159">
        <x:v>22</x:v>
      </x:c>
      <x:c r="G48" s="159">
        <x:v>56</x:v>
      </x:c>
      <x:c r="H48" s="159">
        <x:v>44.5</x:v>
      </x:c>
      <x:c r="I48" s="160" t="e">
        <x:f>ROUNDUP(PRODUCT(テーブル1[[#This Row],[高さ　H]:[奥行　D]])/10000/4,0)</x:f>
      </x:c>
      <x:c r="J48" s="161"/>
      <x:c r="K48" s="162"/>
      <x:c r="L48" s="163"/>
      <x:c r="M48" s="164">
        <x:f t="shared" si="0"/>
        <x:v>0</x:v>
      </x:c>
      <x:c r="N48" s="165" t="e">
        <x:f>SUM(テーブル1[[#This Row],[容量㎥]]*テーブル1[[#This Row],[数量]]/[2]トラック内寸!$N$4)</x:f>
      </x:c>
      <x:c r="O48" s="165" t="e">
        <x:f>SUM(テーブル1[[#This Row],[容量㎥]]*テーブル1[[#This Row],[数量]]/[2]トラック内寸!$N$7)</x:f>
      </x:c>
      <x:c r="P48" s="166" t="e">
        <x:f>SUM(テーブル1[[#This Row],[容量㎥]]*テーブル1[[#This Row],[数量]]/[2]トラック内寸!$N$10)</x:f>
      </x:c>
      <x:c r="Q48" s="167" t="e">
        <x:f>SUM($I48*$L48/[2]トラック内寸!$N$13)</x:f>
      </x:c>
      <x:c r="R48" s="150" t="e">
        <x:f>IFERROR(テーブル1[[#This Row],[高さ　H]]*テーブル1[[#This Row],[長さ　W]]*テーブル1[[#This Row],[奥行　D]]/1000000,"")</x:f>
      </x:c>
      <x:c r="AL48" s="185"/>
      <x:c r="AM48" s="185"/>
    </x:row>
    <x:row r="49" s="3" customFormat="1" ht="54.75" customHeight="1">
      <x:c r="A49" s="157">
        <x:v>48</x:v>
      </x:c>
      <x:c r="B49" s="182" t="s">
        <x:v>61</x:v>
      </x:c>
      <x:c r="C49" s="182" t="s">
        <x:v>19</x:v>
      </x:c>
      <x:c r="D49" s="139" t="s">
        <x:v>41</x:v>
      </x:c>
      <x:c r="E49" s="158" t="s">
        <x:v>77</x:v>
      </x:c>
      <x:c r="F49" s="159">
        <x:v>12</x:v>
      </x:c>
      <x:c r="G49" s="159">
        <x:v>130</x:v>
      </x:c>
      <x:c r="H49" s="159">
        <x:v>85</x:v>
      </x:c>
      <x:c r="I49" s="160" t="e">
        <x:f>ROUNDUP(PRODUCT(テーブル1[[#This Row],[高さ　H]:[奥行　D]])/10000/4,0)</x:f>
      </x:c>
      <x:c r="J49" s="161"/>
      <x:c r="K49" s="162"/>
      <x:c r="L49" s="163"/>
      <x:c r="M49" s="164">
        <x:f t="shared" si="0"/>
        <x:v>0</x:v>
      </x:c>
      <x:c r="N49" s="165" t="e">
        <x:f>SUM(テーブル1[[#This Row],[容量㎥]]*テーブル1[[#This Row],[数量]]/[2]トラック内寸!$N$4)</x:f>
      </x:c>
      <x:c r="O49" s="165" t="e">
        <x:f>SUM(テーブル1[[#This Row],[容量㎥]]*テーブル1[[#This Row],[数量]]/[2]トラック内寸!$N$7)</x:f>
      </x:c>
      <x:c r="P49" s="166" t="e">
        <x:f>SUM(テーブル1[[#This Row],[容量㎥]]*テーブル1[[#This Row],[数量]]/[2]トラック内寸!$N$10)</x:f>
      </x:c>
      <x:c r="Q49" s="167" t="e">
        <x:f>SUM($I49*$L49/[2]トラック内寸!$N$13)</x:f>
      </x:c>
      <x:c r="R49" s="150" t="e">
        <x:f>IFERROR(テーブル1[[#This Row],[高さ　H]]*テーブル1[[#This Row],[長さ　W]]*テーブル1[[#This Row],[奥行　D]]/1000000,"")</x:f>
      </x:c>
      <x:c r="AL49" s="5"/>
      <x:c r="AM49" s="5"/>
      <x:c r="AN49" s="185"/>
      <x:c r="AO49" s="203"/>
      <x:c r="AP49" s="205"/>
      <x:c r="AQ49" s="185"/>
      <x:c r="AR49" s="185"/>
      <x:c r="AS49" s="185"/>
      <x:c r="AT49" s="185"/>
      <x:c r="AU49" s="185"/>
      <x:c r="AV49" s="185"/>
      <x:c r="AW49" s="185"/>
      <x:c r="AX49" s="185"/>
      <x:c r="AY49" s="202"/>
    </x:row>
    <x:row r="50" s="3" customFormat="1" ht="54.75" customHeight="1">
      <x:c r="A50" s="157">
        <x:v>49</x:v>
      </x:c>
      <x:c r="B50" s="182" t="s">
        <x:v>61</x:v>
      </x:c>
      <x:c r="C50" s="182" t="s">
        <x:v>19</x:v>
      </x:c>
      <x:c r="D50" s="182"/>
      <x:c r="E50" s="158" t="s">
        <x:v>78</x:v>
      </x:c>
      <x:c r="F50" s="159">
        <x:v>34</x:v>
      </x:c>
      <x:c r="G50" s="159">
        <x:v>73</x:v>
      </x:c>
      <x:c r="H50" s="159">
        <x:v>59</x:v>
      </x:c>
      <x:c r="I50" s="160" t="e">
        <x:f>ROUNDUP(PRODUCT(テーブル1[[#This Row],[高さ　H]:[奥行　D]])/10000/4,0)</x:f>
      </x:c>
      <x:c r="J50" s="161" t="e">
        <x:f>ROUNDUP((テーブル1[[#This Row],[ポイント　P]]*60%)/$I$122,0)</x:f>
      </x:c>
      <x:c r="K50" s="162"/>
      <x:c r="L50" s="163"/>
      <x:c r="M50" s="164">
        <x:f t="shared" si="0"/>
        <x:v>0</x:v>
      </x:c>
      <x:c r="N50" s="165" t="e">
        <x:f>SUM(テーブル1[[#This Row],[容量㎥]]*テーブル1[[#This Row],[数量]]/[2]トラック内寸!$N$4)</x:f>
      </x:c>
      <x:c r="O50" s="165" t="e">
        <x:f>SUM(テーブル1[[#This Row],[容量㎥]]*テーブル1[[#This Row],[数量]]/[2]トラック内寸!$N$7)</x:f>
      </x:c>
      <x:c r="P50" s="166" t="e">
        <x:f>SUM(テーブル1[[#This Row],[容量㎥]]*テーブル1[[#This Row],[数量]]/[2]トラック内寸!$N$10)</x:f>
      </x:c>
      <x:c r="Q50" s="167" t="e">
        <x:f>SUM($I50*$L50/[2]トラック内寸!$N$13)</x:f>
      </x:c>
      <x:c r="R50" s="150" t="e">
        <x:f>IFERROR(テーブル1[[#This Row],[高さ　H]]*テーブル1[[#This Row],[長さ　W]]*テーブル1[[#This Row],[奥行　D]]/1000000,"")</x:f>
      </x:c>
      <x:c r="AH50" s="202"/>
      <x:c r="AI50" s="202"/>
      <x:c r="AJ50" s="172"/>
      <x:c r="AK50" s="185"/>
      <x:c r="AL50" s="5"/>
      <x:c r="AM50" s="5"/>
      <x:c r="AN50" s="5"/>
      <x:c r="AO50" s="206"/>
      <x:c r="AP50" s="207"/>
      <x:c r="AQ50" s="5"/>
      <x:c r="AR50" s="5"/>
      <x:c r="AS50" s="5"/>
      <x:c r="AT50" s="5"/>
      <x:c r="AU50" s="5"/>
      <x:c r="AV50" s="5"/>
      <x:c r="AW50" s="5"/>
      <x:c r="AX50" s="5"/>
      <x:c r="AY50" s="2"/>
    </x:row>
    <x:row r="51" ht="54.75" customHeight="1">
      <x:c r="A51" s="157">
        <x:v>50</x:v>
      </x:c>
      <x:c r="B51" s="182" t="s">
        <x:v>61</x:v>
      </x:c>
      <x:c r="C51" s="182" t="s">
        <x:v>19</x:v>
      </x:c>
      <x:c r="D51" s="182"/>
      <x:c r="E51" s="158" t="s">
        <x:v>79</x:v>
      </x:c>
      <x:c r="F51" s="159">
        <x:v>71.5</x:v>
      </x:c>
      <x:c r="G51" s="159">
        <x:v>45</x:v>
      </x:c>
      <x:c r="H51" s="159">
        <x:v>30</x:v>
      </x:c>
      <x:c r="I51" s="160" t="e">
        <x:f>ROUNDUP(PRODUCT(テーブル1[[#This Row],[高さ　H]:[奥行　D]])/10000/4,0)</x:f>
      </x:c>
      <x:c r="J51" s="161" t="e">
        <x:f>ROUNDUP((テーブル1[[#This Row],[ポイント　P]]*60%)/$I$122,0)</x:f>
      </x:c>
      <x:c r="K51" s="162"/>
      <x:c r="L51" s="163"/>
      <x:c r="M51" s="164">
        <x:f t="shared" si="0"/>
        <x:v>0</x:v>
      </x:c>
      <x:c r="N51" s="165" t="e">
        <x:f>SUM(テーブル1[[#This Row],[容量㎥]]*テーブル1[[#This Row],[数量]]/[2]トラック内寸!$N$4)</x:f>
      </x:c>
      <x:c r="O51" s="165" t="e">
        <x:f>SUM(テーブル1[[#This Row],[容量㎥]]*テーブル1[[#This Row],[数量]]/[2]トラック内寸!$N$7)</x:f>
      </x:c>
      <x:c r="P51" s="166" t="e">
        <x:f>SUM(テーブル1[[#This Row],[容量㎥]]*テーブル1[[#This Row],[数量]]/[2]トラック内寸!$N$10)</x:f>
      </x:c>
      <x:c r="Q51" s="167" t="e">
        <x:f>SUM($I51*$L51/[2]トラック内寸!$N$13)</x:f>
      </x:c>
      <x:c r="R51" s="150" t="e">
        <x:f>IFERROR(テーブル1[[#This Row],[高さ　H]]*テーブル1[[#This Row],[長さ　W]]*テーブル1[[#This Row],[奥行　D]]/1000000,"")</x:f>
      </x:c>
      <x:c r="S51" s="3"/>
      <x:c r="T51" s="3"/>
      <x:c r="U51" s="3"/>
      <x:c r="V51" s="3"/>
      <x:c r="W51" s="3"/>
      <x:c r="X51" s="3"/>
      <x:c r="Y51" s="3"/>
      <x:c r="Z51" s="3"/>
      <x:c r="AA51" s="208"/>
      <x:c r="AB51" s="3"/>
      <x:c r="AC51" s="209"/>
      <x:c r="AD51" s="209"/>
      <x:c r="AE51" s="209"/>
      <x:c r="AF51" s="254"/>
      <x:c r="AG51" s="254"/>
      <x:c r="AH51" s="2"/>
      <x:c r="AI51" s="2"/>
      <x:c r="AJ51" s="4"/>
      <x:c r="AK51" s="5"/>
      <x:c r="AL51" s="5"/>
      <x:c r="AM51" s="5"/>
      <x:c r="AN51" s="5"/>
      <x:c r="AO51" s="5"/>
      <x:c r="AP51" s="5"/>
      <x:c r="AQ51" s="5"/>
      <x:c r="AR51" s="5"/>
      <x:c r="AS51" s="5"/>
      <x:c r="AT51" s="5"/>
      <x:c r="AU51" s="5"/>
      <x:c r="AV51" s="5"/>
      <x:c r="AW51" s="5"/>
      <x:c r="AX51" s="5"/>
    </x:row>
    <x:row r="52" s="168" customFormat="1" ht="54.75" customHeight="1">
      <x:c r="A52" s="157">
        <x:v>51</x:v>
      </x:c>
      <x:c r="B52" s="182" t="s">
        <x:v>61</x:v>
      </x:c>
      <x:c r="C52" s="182" t="s">
        <x:v>19</x:v>
      </x:c>
      <x:c r="D52" s="182"/>
      <x:c r="E52" s="158" t="s">
        <x:v>80</x:v>
      </x:c>
      <x:c r="F52" s="159">
        <x:v>91</x:v>
      </x:c>
      <x:c r="G52" s="159">
        <x:v>120</x:v>
      </x:c>
      <x:c r="H52" s="159">
        <x:v>45</x:v>
      </x:c>
      <x:c r="I52" s="160" t="e">
        <x:f>ROUNDUP(PRODUCT(テーブル1[[#This Row],[高さ　H]:[奥行　D]])/10000/4,0)</x:f>
      </x:c>
      <x:c r="J52" s="161" t="e">
        <x:f>ROUNDUP((テーブル1[[#This Row],[ポイント　P]]*60%)/$I$122,0)</x:f>
      </x:c>
      <x:c r="K52" s="162"/>
      <x:c r="L52" s="163"/>
      <x:c r="M52" s="164">
        <x:f t="shared" si="0"/>
        <x:v>0</x:v>
      </x:c>
      <x:c r="N52" s="165" t="e">
        <x:f>SUM(テーブル1[[#This Row],[容量㎥]]*テーブル1[[#This Row],[数量]]/[2]トラック内寸!$N$4)</x:f>
      </x:c>
      <x:c r="O52" s="165" t="e">
        <x:f>SUM(テーブル1[[#This Row],[容量㎥]]*テーブル1[[#This Row],[数量]]/[2]トラック内寸!$N$7)</x:f>
      </x:c>
      <x:c r="P52" s="166" t="e">
        <x:f>SUM(テーブル1[[#This Row],[容量㎥]]*テーブル1[[#This Row],[数量]]/[2]トラック内寸!$N$10)</x:f>
      </x:c>
      <x:c r="Q52" s="167" t="e">
        <x:f>SUM($I52*$L52/[2]トラック内寸!$N$13)</x:f>
      </x:c>
      <x:c r="R52" s="150" t="e">
        <x:f>IFERROR(テーブル1[[#This Row],[高さ　H]]*テーブル1[[#This Row],[長さ　W]]*テーブル1[[#This Row],[奥行　D]]/1000000,"")</x:f>
      </x:c>
      <x:c r="U52" s="2"/>
      <x:c r="V52" s="2"/>
      <x:c r="W52" s="5"/>
      <x:c r="X52" s="5"/>
      <x:c r="Y52" s="3"/>
      <x:c r="Z52" s="3"/>
      <x:c r="AA52" s="208"/>
      <x:c r="AB52" s="3"/>
      <x:c r="AC52" s="209"/>
      <x:c r="AD52" s="209"/>
      <x:c r="AE52" s="209"/>
      <x:c r="AF52" s="254"/>
      <x:c r="AG52" s="254"/>
      <x:c r="AH52" s="2"/>
      <x:c r="AI52" s="4"/>
      <x:c r="AJ52" s="5"/>
      <x:c r="AK52" s="5"/>
      <x:c r="AN52" s="5"/>
      <x:c r="AO52" s="5"/>
      <x:c r="AP52" s="5"/>
      <x:c r="AQ52" s="5"/>
      <x:c r="AR52" s="5"/>
      <x:c r="AS52" s="5"/>
      <x:c r="AT52" s="5"/>
      <x:c r="AU52" s="5"/>
      <x:c r="AV52" s="5"/>
      <x:c r="AW52" s="5"/>
      <x:c r="AX52" s="5"/>
      <x:c r="AY52" s="2"/>
      <x:c r="AZ52" s="2"/>
      <x:c r="BA52" s="5"/>
      <x:c r="BB52" s="5"/>
      <x:c r="BC52" s="5"/>
      <x:c r="BD52" s="5"/>
      <x:c r="BE52" s="5"/>
      <x:c r="BF52" s="5"/>
    </x:row>
    <x:row r="53" s="168" customFormat="1" ht="54.75" customHeight="1">
      <x:c r="A53" s="157">
        <x:v>52</x:v>
      </x:c>
      <x:c r="B53" s="182" t="s">
        <x:v>81</x:v>
      </x:c>
      <x:c r="C53" s="182" t="s">
        <x:v>19</x:v>
      </x:c>
      <x:c r="D53" s="139" t="s">
        <x:v>41</x:v>
      </x:c>
      <x:c r="E53" s="158" t="s">
        <x:v>82</x:v>
      </x:c>
      <x:c r="F53" s="159">
        <x:v>42</x:v>
      </x:c>
      <x:c r="G53" s="159">
        <x:v>30</x:v>
      </x:c>
      <x:c r="H53" s="159">
        <x:v>88</x:v>
      </x:c>
      <x:c r="I53" s="160" t="e">
        <x:f>ROUNDUP(PRODUCT(テーブル1[[#This Row],[高さ　H]:[奥行　D]])/10000/4,0)</x:f>
      </x:c>
      <x:c r="J53" s="161" t="e">
        <x:f>ROUNDUP((テーブル1[[#This Row],[ポイント　P]]*60%)/$I$122,0)</x:f>
      </x:c>
      <x:c r="K53" s="162"/>
      <x:c r="L53" s="163"/>
      <x:c r="M53" s="164">
        <x:f t="shared" si="0"/>
        <x:v>0</x:v>
      </x:c>
      <x:c r="N53" s="165" t="e">
        <x:f>SUM(テーブル1[[#This Row],[容量㎥]]*テーブル1[[#This Row],[数量]]/[2]トラック内寸!$N$4)</x:f>
      </x:c>
      <x:c r="O53" s="165" t="e">
        <x:f>SUM(テーブル1[[#This Row],[容量㎥]]*テーブル1[[#This Row],[数量]]/[2]トラック内寸!$N$7)</x:f>
      </x:c>
      <x:c r="P53" s="166" t="e">
        <x:f>SUM(テーブル1[[#This Row],[容量㎥]]*テーブル1[[#This Row],[数量]]/[2]トラック内寸!$N$10)</x:f>
      </x:c>
      <x:c r="Q53" s="167" t="e">
        <x:f>SUM($I53*$L53/[2]トラック内寸!$N$13)</x:f>
      </x:c>
      <x:c r="R53" s="150" t="e">
        <x:f>IFERROR(テーブル1[[#This Row],[高さ　H]]*テーブル1[[#This Row],[長さ　W]]*テーブル1[[#This Row],[奥行　D]]/1000000,"")</x:f>
      </x:c>
      <x:c r="U53" s="2" t="s">
        <x:v>83</x:v>
      </x:c>
      <x:c r="V53" s="2"/>
      <x:c r="W53" s="5"/>
      <x:c r="X53" s="5"/>
      <x:c r="AO53" s="1"/>
      <x:c r="AP53" s="2"/>
      <x:c r="AX53" s="202"/>
      <x:c r="AY53" s="2"/>
      <x:c r="AZ53" s="2"/>
      <x:c r="BA53" s="5"/>
      <x:c r="BB53" s="5"/>
      <x:c r="BC53" s="5"/>
      <x:c r="BD53" s="5"/>
      <x:c r="BE53" s="5"/>
      <x:c r="BF53" s="5"/>
    </x:row>
    <x:row r="54" s="168" customFormat="1" ht="54.75" customHeight="1">
      <x:c r="A54" s="157">
        <x:v>53</x:v>
      </x:c>
      <x:c r="B54" s="182" t="s">
        <x:v>81</x:v>
      </x:c>
      <x:c r="C54" s="182" t="s">
        <x:v>75</x:v>
      </x:c>
      <x:c r="D54" s="182"/>
      <x:c r="E54" s="158" t="s">
        <x:v>84</x:v>
      </x:c>
      <x:c r="F54" s="159">
        <x:v>45</x:v>
      </x:c>
      <x:c r="G54" s="159">
        <x:v>45</x:v>
      </x:c>
      <x:c r="H54" s="159">
        <x:v>45</x:v>
      </x:c>
      <x:c r="I54" s="160" t="e">
        <x:f>ROUNDUP(PRODUCT(テーブル1[[#This Row],[高さ　H]:[奥行　D]])/10000/4,0)</x:f>
      </x:c>
      <x:c r="J54" s="161"/>
      <x:c r="K54" s="162"/>
      <x:c r="L54" s="163"/>
      <x:c r="M54" s="164">
        <x:f t="shared" si="0"/>
        <x:v>0</x:v>
      </x:c>
      <x:c r="N54" s="165" t="e">
        <x:f>SUM(テーブル1[[#This Row],[容量㎥]]*テーブル1[[#This Row],[数量]]/[2]トラック内寸!$N$4)</x:f>
      </x:c>
      <x:c r="O54" s="165" t="e">
        <x:f>SUM(テーブル1[[#This Row],[容量㎥]]*テーブル1[[#This Row],[数量]]/[2]トラック内寸!$N$7)</x:f>
      </x:c>
      <x:c r="P54" s="166" t="e">
        <x:f>SUM(テーブル1[[#This Row],[容量㎥]]*テーブル1[[#This Row],[数量]]/[2]トラック内寸!$N$10)</x:f>
      </x:c>
      <x:c r="Q54" s="167" t="e">
        <x:f>SUM($I54*$L54/[2]トラック内寸!$N$13)</x:f>
      </x:c>
      <x:c r="R54" s="150" t="e">
        <x:f>IFERROR(テーブル1[[#This Row],[高さ　H]]*テーブル1[[#This Row],[長さ　W]]*テーブル1[[#This Row],[奥行　D]]/1000000,"")</x:f>
      </x:c>
      <x:c r="U54" s="2"/>
      <x:c r="AP54" s="2"/>
      <x:c r="AQ54" s="185"/>
      <x:c r="AR54" s="185"/>
      <x:c r="AS54" s="185"/>
      <x:c r="AT54" s="185"/>
      <x:c r="AU54" s="185"/>
      <x:c r="AV54" s="185"/>
      <x:c r="AW54" s="185"/>
      <x:c r="AX54" s="202"/>
      <x:c r="AY54" s="2"/>
      <x:c r="AZ54" s="2"/>
      <x:c r="BA54" s="5"/>
      <x:c r="BB54" s="5"/>
      <x:c r="BC54" s="5"/>
      <x:c r="BD54" s="5"/>
      <x:c r="BE54" s="5"/>
      <x:c r="BF54" s="5"/>
    </x:row>
    <x:row r="55" s="168" customFormat="1" ht="54.75" customHeight="1">
      <x:c r="A55" s="157">
        <x:v>54</x:v>
      </x:c>
      <x:c r="B55" s="182" t="s">
        <x:v>81</x:v>
      </x:c>
      <x:c r="C55" s="182" t="s">
        <x:v>75</x:v>
      </x:c>
      <x:c r="D55" s="182"/>
      <x:c r="E55" s="158" t="s">
        <x:v>85</x:v>
      </x:c>
      <x:c r="F55" s="159">
        <x:v>45</x:v>
      </x:c>
      <x:c r="G55" s="159">
        <x:v>45</x:v>
      </x:c>
      <x:c r="H55" s="159">
        <x:v>45</x:v>
      </x:c>
      <x:c r="I55" s="160" t="e">
        <x:f>ROUNDUP(PRODUCT(テーブル1[[#This Row],[高さ　H]:[奥行　D]])/10000/4,0)</x:f>
      </x:c>
      <x:c r="J55" s="161"/>
      <x:c r="K55" s="162"/>
      <x:c r="L55" s="163"/>
      <x:c r="M55" s="164">
        <x:f t="shared" si="0"/>
        <x:v>0</x:v>
      </x:c>
      <x:c r="N55" s="165" t="e">
        <x:f>SUM(テーブル1[[#This Row],[容量㎥]]*テーブル1[[#This Row],[数量]]/[2]トラック内寸!$N$4)</x:f>
      </x:c>
      <x:c r="O55" s="165" t="e">
        <x:f>SUM(テーブル1[[#This Row],[容量㎥]]*テーブル1[[#This Row],[数量]]/[2]トラック内寸!$N$7)</x:f>
      </x:c>
      <x:c r="P55" s="166" t="e">
        <x:f>SUM(テーブル1[[#This Row],[容量㎥]]*テーブル1[[#This Row],[数量]]/[2]トラック内寸!$N$10)</x:f>
      </x:c>
      <x:c r="Q55" s="167" t="e">
        <x:f>SUM($I55*$L55/[2]トラック内寸!$N$13)</x:f>
      </x:c>
      <x:c r="R55" s="150" t="e">
        <x:f>IFERROR(テーブル1[[#This Row],[高さ　H]]*テーブル1[[#This Row],[長さ　W]]*テーブル1[[#This Row],[奥行　D]]/1000000,"")</x:f>
      </x:c>
      <x:c r="U55" s="210"/>
      <x:c r="Y55" s="185"/>
      <x:c r="Z55" s="185"/>
      <x:c r="AA55" s="185"/>
      <x:c r="AB55" s="185"/>
      <x:c r="AC55" s="185"/>
      <x:c r="AD55" s="185"/>
      <x:c r="AE55" s="202"/>
      <x:c r="AF55" s="202"/>
      <x:c r="AG55" s="202"/>
      <x:c r="AH55" s="172"/>
      <x:c r="AI55" s="185"/>
      <x:c r="AJ55" s="185"/>
      <x:c r="AK55" s="185"/>
      <x:c r="AL55" s="185"/>
      <x:c r="AM55" s="203"/>
      <x:c r="AP55" s="2"/>
      <x:c r="AQ55" s="185"/>
      <x:c r="AR55" s="185"/>
      <x:c r="AS55" s="185"/>
      <x:c r="AT55" s="185"/>
      <x:c r="AU55" s="185"/>
      <x:c r="AV55" s="185"/>
      <x:c r="AW55" s="185"/>
      <x:c r="AX55" s="202"/>
      <x:c r="AY55" s="202"/>
      <x:c r="AZ55" s="202"/>
    </x:row>
    <x:row r="56" ht="54.75" customHeight="1">
      <x:c r="A56" s="157">
        <x:v>55</x:v>
      </x:c>
      <x:c r="B56" s="182" t="s">
        <x:v>81</x:v>
      </x:c>
      <x:c r="C56" s="182" t="s">
        <x:v>19</x:v>
      </x:c>
      <x:c r="D56" s="139" t="s">
        <x:v>41</x:v>
      </x:c>
      <x:c r="E56" s="158" t="s">
        <x:v>86</x:v>
      </x:c>
      <x:c r="F56" s="159">
        <x:v>99.5</x:v>
      </x:c>
      <x:c r="G56" s="159">
        <x:v>76.5</x:v>
      </x:c>
      <x:c r="H56" s="159">
        <x:v>29</x:v>
      </x:c>
      <x:c r="I56" s="160" t="e">
        <x:f>ROUNDUP(PRODUCT(テーブル1[[#This Row],[高さ　H]:[奥行　D]])/10000/4,0)</x:f>
      </x:c>
      <x:c r="J56" s="161" t="e">
        <x:f>ROUNDUP((テーブル1[[#This Row],[ポイント　P]]*60%)/$I$122,0)</x:f>
      </x:c>
      <x:c r="K56" s="162"/>
      <x:c r="L56" s="163"/>
      <x:c r="M56" s="164">
        <x:f t="shared" si="0"/>
        <x:v>0</x:v>
      </x:c>
      <x:c r="N56" s="165" t="e">
        <x:f>SUM(テーブル1[[#This Row],[容量㎥]]*テーブル1[[#This Row],[数量]]/[2]トラック内寸!$N$4)</x:f>
      </x:c>
      <x:c r="O56" s="165" t="e">
        <x:f>SUM(テーブル1[[#This Row],[容量㎥]]*テーブル1[[#This Row],[数量]]/[2]トラック内寸!$N$7)</x:f>
      </x:c>
      <x:c r="P56" s="166" t="e">
        <x:f>SUM(テーブル1[[#This Row],[容量㎥]]*テーブル1[[#This Row],[数量]]/[2]トラック内寸!$N$10)</x:f>
      </x:c>
      <x:c r="Q56" s="167" t="e">
        <x:f>SUM($I56*$L56/[2]トラック内寸!$N$13)</x:f>
      </x:c>
      <x:c r="R56" s="150" t="e">
        <x:f>IFERROR(テーブル1[[#This Row],[高さ　H]]*テーブル1[[#This Row],[長さ　W]]*テーブル1[[#This Row],[奥行　D]]/1000000,"")</x:f>
      </x:c>
      <x:c r="S56" s="202"/>
      <x:c r="U56" s="210"/>
      <x:c r="V56" s="185"/>
      <x:c r="AE56" s="202"/>
      <x:c r="AH56" s="172"/>
      <x:c r="AI56" s="185"/>
      <x:c r="AM56" s="203"/>
      <x:c r="AN56" s="205"/>
      <x:c r="AO56" s="185"/>
      <x:c r="AP56" s="210"/>
      <x:c r="AQ56" s="184"/>
      <x:c r="AR56" s="184"/>
      <x:c r="AS56" s="184"/>
      <x:c r="AT56" s="184"/>
      <x:c r="AU56" s="184"/>
      <x:c r="AV56" s="184"/>
      <x:c r="AW56" s="184"/>
      <x:c r="AX56" s="183"/>
    </x:row>
    <x:row r="57" ht="54.75" customHeight="1">
      <x:c r="A57" s="157">
        <x:v>56</x:v>
      </x:c>
      <x:c r="B57" s="182" t="s">
        <x:v>81</x:v>
      </x:c>
      <x:c r="C57" s="182" t="s">
        <x:v>19</x:v>
      </x:c>
      <x:c r="D57" s="139" t="s">
        <x:v>41</x:v>
      </x:c>
      <x:c r="E57" s="158" t="s">
        <x:v>87</x:v>
      </x:c>
      <x:c r="F57" s="159">
        <x:v>180</x:v>
      </x:c>
      <x:c r="G57" s="159">
        <x:v>60</x:v>
      </x:c>
      <x:c r="H57" s="159">
        <x:v>39</x:v>
      </x:c>
      <x:c r="I57" s="160" t="e">
        <x:f>ROUNDUP(PRODUCT(テーブル1[[#This Row],[高さ　H]:[奥行　D]])/10000/4,0)</x:f>
      </x:c>
      <x:c r="J57" s="161" t="e">
        <x:f>ROUNDUP((テーブル1[[#This Row],[ポイント　P]]*60%)/$I$122,0)</x:f>
      </x:c>
      <x:c r="K57" s="162"/>
      <x:c r="L57" s="163"/>
      <x:c r="M57" s="164">
        <x:f t="shared" si="0"/>
        <x:v>0</x:v>
      </x:c>
      <x:c r="N57" s="165" t="e">
        <x:f>SUM(テーブル1[[#This Row],[容量㎥]]*テーブル1[[#This Row],[数量]]/[2]トラック内寸!$N$4)</x:f>
      </x:c>
      <x:c r="O57" s="165" t="e">
        <x:f>SUM(テーブル1[[#This Row],[容量㎥]]*テーブル1[[#This Row],[数量]]/[2]トラック内寸!$N$7)</x:f>
      </x:c>
      <x:c r="P57" s="166" t="e">
        <x:f>SUM(テーブル1[[#This Row],[容量㎥]]*テーブル1[[#This Row],[数量]]/[2]トラック内寸!$N$10)</x:f>
      </x:c>
      <x:c r="Q57" s="167" t="e">
        <x:f>SUM($I57*$L57/[2]トラック内寸!$N$13)</x:f>
      </x:c>
      <x:c r="R57" s="150" t="e">
        <x:f>IFERROR(テーブル1[[#This Row],[高さ　H]]*テーブル1[[#This Row],[長さ　W]]*テーブル1[[#This Row],[奥行　D]]/1000000,"")</x:f>
      </x:c>
      <x:c r="S57" s="202"/>
      <x:c r="U57" s="210"/>
      <x:c r="V57" s="185"/>
      <x:c r="Y57" s="184"/>
      <x:c r="Z57" s="184"/>
      <x:c r="AA57" s="184"/>
      <x:c r="AB57" s="184"/>
      <x:c r="AC57" s="184"/>
      <x:c r="AD57" s="184"/>
      <x:c r="AE57" s="184"/>
      <x:c r="AF57" s="184"/>
      <x:c r="AG57" s="184"/>
      <x:c r="AH57" s="184"/>
      <x:c r="AI57" s="184"/>
      <x:c r="AJ57" s="184"/>
      <x:c r="AK57" s="184"/>
      <x:c r="AL57" s="184"/>
      <x:c r="AM57" s="184"/>
      <x:c r="AN57" s="205"/>
      <x:c r="AO57" s="185"/>
      <x:c r="AP57" s="210"/>
      <x:c r="AQ57" s="184"/>
      <x:c r="AR57" s="184"/>
      <x:c r="AS57" s="184"/>
      <x:c r="AT57" s="184"/>
      <x:c r="AU57" s="184"/>
      <x:c r="AV57" s="184"/>
      <x:c r="AW57" s="184"/>
      <x:c r="AX57" s="183"/>
    </x:row>
    <x:row r="58" s="184" customFormat="1" ht="54.75" customHeight="1">
      <x:c r="A58" s="157">
        <x:v>57</x:v>
      </x:c>
      <x:c r="B58" s="182" t="s">
        <x:v>81</x:v>
      </x:c>
      <x:c r="C58" s="182" t="s">
        <x:v>19</x:v>
      </x:c>
      <x:c r="D58" s="139" t="s">
        <x:v>41</x:v>
      </x:c>
      <x:c r="E58" s="158" t="s">
        <x:v>88</x:v>
      </x:c>
      <x:c r="F58" s="159">
        <x:v>183</x:v>
      </x:c>
      <x:c r="G58" s="159">
        <x:v>90</x:v>
      </x:c>
      <x:c r="H58" s="159">
        <x:v>45</x:v>
      </x:c>
      <x:c r="I58" s="160" t="e">
        <x:f>ROUNDUP(PRODUCT(テーブル1[[#This Row],[高さ　H]:[奥行　D]])/10000/4,0)</x:f>
      </x:c>
      <x:c r="J58" s="161" t="e">
        <x:f>ROUNDUP((テーブル1[[#This Row],[ポイント　P]]*60%)/$I$122,0)</x:f>
      </x:c>
      <x:c r="K58" s="162"/>
      <x:c r="L58" s="163"/>
      <x:c r="M58" s="164">
        <x:f t="shared" si="0"/>
        <x:v>0</x:v>
      </x:c>
      <x:c r="N58" s="165" t="e">
        <x:f>SUM(テーブル1[[#This Row],[容量㎥]]*テーブル1[[#This Row],[数量]]/[2]トラック内寸!$N$4)</x:f>
      </x:c>
      <x:c r="O58" s="165" t="e">
        <x:f>SUM(テーブル1[[#This Row],[容量㎥]]*テーブル1[[#This Row],[数量]]/[2]トラック内寸!$N$7)</x:f>
      </x:c>
      <x:c r="P58" s="166" t="e">
        <x:f>SUM(テーブル1[[#This Row],[容量㎥]]*テーブル1[[#This Row],[数量]]/[2]トラック内寸!$N$10)</x:f>
      </x:c>
      <x:c r="Q58" s="167" t="e">
        <x:f>SUM($I58*$L58/[2]トラック内寸!$N$13)</x:f>
      </x:c>
      <x:c r="R58" s="150" t="e">
        <x:f>IFERROR(テーブル1[[#This Row],[高さ　H]]*テーブル1[[#This Row],[長さ　W]]*テーブル1[[#This Row],[奥行　D]]/1000000,"")</x:f>
      </x:c>
      <x:c r="U58" s="183"/>
      <x:c r="AP58" s="210"/>
      <x:c r="AX58" s="183"/>
      <x:c r="AY58" s="183"/>
      <x:c r="AZ58" s="183"/>
    </x:row>
    <x:row r="59" s="184" customFormat="1" ht="54.75" customHeight="1">
      <x:c r="A59" s="157">
        <x:v>58</x:v>
      </x:c>
      <x:c r="B59" s="182" t="s">
        <x:v>81</x:v>
      </x:c>
      <x:c r="C59" s="182" t="s">
        <x:v>19</x:v>
      </x:c>
      <x:c r="D59" s="139" t="s">
        <x:v>41</x:v>
      </x:c>
      <x:c r="E59" s="158" t="s">
        <x:v>89</x:v>
      </x:c>
      <x:c r="F59" s="159">
        <x:v>73</x:v>
      </x:c>
      <x:c r="G59" s="159">
        <x:v>95</x:v>
      </x:c>
      <x:c r="H59" s="159">
        <x:v>55</x:v>
      </x:c>
      <x:c r="I59" s="160" t="e">
        <x:f>ROUNDUP(PRODUCT(テーブル1[[#This Row],[高さ　H]:[奥行　D]])/10000/4,0)</x:f>
      </x:c>
      <x:c r="J59" s="161"/>
      <x:c r="K59" s="162"/>
      <x:c r="L59" s="163"/>
      <x:c r="M59" s="164">
        <x:f t="shared" si="0"/>
        <x:v>0</x:v>
      </x:c>
      <x:c r="N59" s="165" t="e">
        <x:f>SUM(テーブル1[[#This Row],[容量㎥]]*テーブル1[[#This Row],[数量]]/[2]トラック内寸!$N$4)</x:f>
      </x:c>
      <x:c r="O59" s="165" t="e">
        <x:f>SUM(テーブル1[[#This Row],[容量㎥]]*テーブル1[[#This Row],[数量]]/[2]トラック内寸!$N$7)</x:f>
      </x:c>
      <x:c r="P59" s="166" t="e">
        <x:f>SUM(テーブル1[[#This Row],[容量㎥]]*テーブル1[[#This Row],[数量]]/[2]トラック内寸!$N$10)</x:f>
      </x:c>
      <x:c r="Q59" s="167" t="e">
        <x:f>SUM($I59*$L59/[2]トラック内寸!$N$13)</x:f>
      </x:c>
      <x:c r="R59" s="150" t="e">
        <x:f>IFERROR(テーブル1[[#This Row],[高さ　H]]*テーブル1[[#This Row],[長さ　W]]*テーブル1[[#This Row],[奥行　D]]/1000000,"")</x:f>
      </x:c>
      <x:c r="U59" s="183"/>
      <x:c r="AP59" s="183"/>
      <x:c r="AX59" s="183"/>
      <x:c r="AY59" s="183"/>
      <x:c r="AZ59" s="183"/>
    </x:row>
    <x:row r="60" s="184" customFormat="1" ht="54.75" customHeight="1">
      <x:c r="A60" s="157">
        <x:v>59</x:v>
      </x:c>
      <x:c r="B60" s="182" t="s">
        <x:v>81</x:v>
      </x:c>
      <x:c r="C60" s="182" t="s">
        <x:v>19</x:v>
      </x:c>
      <x:c r="D60" s="182"/>
      <x:c r="E60" s="158" t="s">
        <x:v>90</x:v>
      </x:c>
      <x:c r="F60" s="159">
        <x:v>79</x:v>
      </x:c>
      <x:c r="G60" s="159">
        <x:v>111</x:v>
      </x:c>
      <x:c r="H60" s="159">
        <x:v>68</x:v>
      </x:c>
      <x:c r="I60" s="160" t="e">
        <x:f>ROUNDUP(PRODUCT(テーブル1[[#This Row],[高さ　H]:[奥行　D]])/10000/4,0)</x:f>
      </x:c>
      <x:c r="J60" s="161"/>
      <x:c r="K60" s="162"/>
      <x:c r="L60" s="163"/>
      <x:c r="M60" s="164">
        <x:f t="shared" si="0"/>
        <x:v>0</x:v>
      </x:c>
      <x:c r="N60" s="165" t="e">
        <x:f>SUM(テーブル1[[#This Row],[容量㎥]]*テーブル1[[#This Row],[数量]]/[2]トラック内寸!$N$4)</x:f>
      </x:c>
      <x:c r="O60" s="165" t="e">
        <x:f>SUM(テーブル1[[#This Row],[容量㎥]]*テーブル1[[#This Row],[数量]]/[2]トラック内寸!$N$7)</x:f>
      </x:c>
      <x:c r="P60" s="166" t="e">
        <x:f>SUM(テーブル1[[#This Row],[容量㎥]]*テーブル1[[#This Row],[数量]]/[2]トラック内寸!$N$10)</x:f>
      </x:c>
      <x:c r="Q60" s="167" t="e">
        <x:f>SUM($I60*$L60/[2]トラック内寸!$N$13)</x:f>
      </x:c>
      <x:c r="R60" s="150" t="e">
        <x:f>IFERROR(テーブル1[[#This Row],[高さ　H]]*テーブル1[[#This Row],[長さ　W]]*テーブル1[[#This Row],[奥行　D]]/1000000,"")</x:f>
      </x:c>
      <x:c r="U60" s="183"/>
      <x:c r="AP60" s="183"/>
      <x:c r="AX60" s="183"/>
      <x:c r="AY60" s="183"/>
      <x:c r="AZ60" s="183"/>
    </x:row>
    <x:row r="61" s="184" customFormat="1" ht="54.75" customHeight="1">
      <x:c r="A61" s="157">
        <x:v>60</x:v>
      </x:c>
      <x:c r="B61" s="182" t="s">
        <x:v>81</x:v>
      </x:c>
      <x:c r="C61" s="182" t="s">
        <x:v>37</x:v>
      </x:c>
      <x:c r="D61" s="182"/>
      <x:c r="E61" s="158" t="s">
        <x:v>91</x:v>
      </x:c>
      <x:c r="F61" s="159">
        <x:v>78</x:v>
      </x:c>
      <x:c r="G61" s="159">
        <x:v>140</x:v>
      </x:c>
      <x:c r="H61" s="159">
        <x:v>28</x:v>
      </x:c>
      <x:c r="I61" s="160" t="e">
        <x:f>ROUNDUP(PRODUCT(テーブル1[[#This Row],[高さ　H]:[奥行　D]])/10000/4,0)</x:f>
      </x:c>
      <x:c r="J61" s="161"/>
      <x:c r="K61" s="162"/>
      <x:c r="L61" s="163"/>
      <x:c r="M61" s="164">
        <x:f t="shared" si="0"/>
        <x:v>0</x:v>
      </x:c>
      <x:c r="N61" s="165" t="e">
        <x:f>SUM(テーブル1[[#This Row],[容量㎥]]*テーブル1[[#This Row],[数量]]/[2]トラック内寸!$N$4)</x:f>
      </x:c>
      <x:c r="O61" s="165" t="e">
        <x:f>SUM(テーブル1[[#This Row],[容量㎥]]*テーブル1[[#This Row],[数量]]/[2]トラック内寸!$N$7)</x:f>
      </x:c>
      <x:c r="P61" s="166" t="e">
        <x:f>SUM(テーブル1[[#This Row],[容量㎥]]*テーブル1[[#This Row],[数量]]/[2]トラック内寸!$N$10)</x:f>
      </x:c>
      <x:c r="Q61" s="167" t="e">
        <x:f>SUM($I61*$L61/[2]トラック内寸!$N$13)</x:f>
      </x:c>
      <x:c r="R61" s="150" t="e">
        <x:f>IFERROR(テーブル1[[#This Row],[高さ　H]]*テーブル1[[#This Row],[長さ　W]]*テーブル1[[#This Row],[奥行　D]]/1000000,"")</x:f>
      </x:c>
      <x:c r="U61" s="183"/>
      <x:c r="AP61" s="183"/>
      <x:c r="AX61" s="183"/>
      <x:c r="AY61" s="183"/>
      <x:c r="AZ61" s="183"/>
    </x:row>
    <x:row r="62" s="184" customFormat="1" ht="54.75" customHeight="1">
      <x:c r="A62" s="157">
        <x:v>61</x:v>
      </x:c>
      <x:c r="B62" s="182" t="s">
        <x:v>81</x:v>
      </x:c>
      <x:c r="C62" s="182" t="s">
        <x:v>37</x:v>
      </x:c>
      <x:c r="D62" s="182"/>
      <x:c r="E62" s="158" t="s">
        <x:v>92</x:v>
      </x:c>
      <x:c r="F62" s="159">
        <x:v>44</x:v>
      </x:c>
      <x:c r="G62" s="159">
        <x:v>32</x:v>
      </x:c>
      <x:c r="H62" s="159">
        <x:v>28</x:v>
      </x:c>
      <x:c r="I62" s="160" t="e">
        <x:f>ROUNDUP(PRODUCT(テーブル1[[#This Row],[高さ　H]:[奥行　D]])/10000/4,0)</x:f>
      </x:c>
      <x:c r="J62" s="161"/>
      <x:c r="K62" s="162"/>
      <x:c r="L62" s="163"/>
      <x:c r="M62" s="164">
        <x:f t="shared" si="0"/>
        <x:v>0</x:v>
      </x:c>
      <x:c r="N62" s="165" t="e">
        <x:f>SUM(テーブル1[[#This Row],[容量㎥]]*テーブル1[[#This Row],[数量]]/[2]トラック内寸!$N$4)</x:f>
      </x:c>
      <x:c r="O62" s="165" t="e">
        <x:f>SUM(テーブル1[[#This Row],[容量㎥]]*テーブル1[[#This Row],[数量]]/[2]トラック内寸!$N$7)</x:f>
      </x:c>
      <x:c r="P62" s="166" t="e">
        <x:f>SUM(テーブル1[[#This Row],[容量㎥]]*テーブル1[[#This Row],[数量]]/[2]トラック内寸!$N$10)</x:f>
      </x:c>
      <x:c r="Q62" s="167" t="e">
        <x:f>SUM($I62*$L62/[2]トラック内寸!$N$13)</x:f>
      </x:c>
      <x:c r="R62" s="150" t="e">
        <x:f>IFERROR(テーブル1[[#This Row],[高さ　H]]*テーブル1[[#This Row],[長さ　W]]*テーブル1[[#This Row],[奥行　D]]/1000000,"")</x:f>
      </x:c>
      <x:c r="U62" s="183"/>
      <x:c r="AP62" s="183"/>
      <x:c r="AX62" s="183"/>
      <x:c r="AY62" s="183"/>
      <x:c r="AZ62" s="183"/>
    </x:row>
    <x:row r="63" s="184" customFormat="1" ht="54.75" customHeight="1">
      <x:c r="A63" s="157">
        <x:v>62</x:v>
      </x:c>
      <x:c r="B63" s="182" t="s">
        <x:v>81</x:v>
      </x:c>
      <x:c r="C63" s="182" t="s">
        <x:v>37</x:v>
      </x:c>
      <x:c r="D63" s="182"/>
      <x:c r="E63" s="158" t="s">
        <x:v>93</x:v>
      </x:c>
      <x:c r="F63" s="159">
        <x:v>51</x:v>
      </x:c>
      <x:c r="G63" s="159">
        <x:v>42</x:v>
      </x:c>
      <x:c r="H63" s="159">
        <x:v>36</x:v>
      </x:c>
      <x:c r="I63" s="160" t="e">
        <x:f>ROUNDUP(PRODUCT(テーブル1[[#This Row],[高さ　H]:[奥行　D]])/10000/4,0)</x:f>
      </x:c>
      <x:c r="J63" s="161"/>
      <x:c r="K63" s="162"/>
      <x:c r="L63" s="163"/>
      <x:c r="M63" s="164">
        <x:f t="shared" si="0"/>
        <x:v>0</x:v>
      </x:c>
      <x:c r="N63" s="165" t="e">
        <x:f>SUM(テーブル1[[#This Row],[容量㎥]]*テーブル1[[#This Row],[数量]]/[2]トラック内寸!$N$4)</x:f>
      </x:c>
      <x:c r="O63" s="165" t="e">
        <x:f>SUM(テーブル1[[#This Row],[容量㎥]]*テーブル1[[#This Row],[数量]]/[2]トラック内寸!$N$7)</x:f>
      </x:c>
      <x:c r="P63" s="166" t="e">
        <x:f>SUM(テーブル1[[#This Row],[容量㎥]]*テーブル1[[#This Row],[数量]]/[2]トラック内寸!$N$10)</x:f>
      </x:c>
      <x:c r="Q63" s="167" t="e">
        <x:f>SUM($I63*$L63/[2]トラック内寸!$N$13)</x:f>
      </x:c>
      <x:c r="R63" s="150" t="e">
        <x:f>IFERROR(テーブル1[[#This Row],[高さ　H]]*テーブル1[[#This Row],[長さ　W]]*テーブル1[[#This Row],[奥行　D]]/1000000,"")</x:f>
      </x:c>
      <x:c r="U63" s="183"/>
      <x:c r="AP63" s="183"/>
      <x:c r="AX63" s="183"/>
      <x:c r="AY63" s="183"/>
      <x:c r="AZ63" s="183"/>
    </x:row>
    <x:row r="64" s="184" customFormat="1" ht="54.75" customHeight="1">
      <x:c r="A64" s="157">
        <x:v>63</x:v>
      </x:c>
      <x:c r="B64" s="182" t="s">
        <x:v>81</x:v>
      </x:c>
      <x:c r="C64" s="182" t="s">
        <x:v>19</x:v>
      </x:c>
      <x:c r="D64" s="182"/>
      <x:c r="E64" s="158" t="s">
        <x:v>94</x:v>
      </x:c>
      <x:c r="F64" s="159">
        <x:v>120</x:v>
      </x:c>
      <x:c r="G64" s="159">
        <x:v>60</x:v>
      </x:c>
      <x:c r="H64" s="159">
        <x:v>40</x:v>
      </x:c>
      <x:c r="I64" s="160" t="e">
        <x:f>ROUNDUP(PRODUCT(テーブル1[[#This Row],[高さ　H]:[奥行　D]])/10000/4,0)</x:f>
      </x:c>
      <x:c r="J64" s="161"/>
      <x:c r="K64" s="162"/>
      <x:c r="L64" s="163"/>
      <x:c r="M64" s="164">
        <x:f t="shared" si="0"/>
        <x:v>0</x:v>
      </x:c>
      <x:c r="N64" s="165" t="e">
        <x:f>SUM(テーブル1[[#This Row],[容量㎥]]*テーブル1[[#This Row],[数量]]/[2]トラック内寸!$N$4)</x:f>
      </x:c>
      <x:c r="O64" s="165" t="e">
        <x:f>SUM(テーブル1[[#This Row],[容量㎥]]*テーブル1[[#This Row],[数量]]/[2]トラック内寸!$N$7)</x:f>
      </x:c>
      <x:c r="P64" s="166" t="e">
        <x:f>SUM(テーブル1[[#This Row],[容量㎥]]*テーブル1[[#This Row],[数量]]/[2]トラック内寸!$N$10)</x:f>
      </x:c>
      <x:c r="Q64" s="167" t="e">
        <x:f>SUM($I64*$L64/[2]トラック内寸!$N$13)</x:f>
      </x:c>
      <x:c r="R64" s="150" t="e">
        <x:f>IFERROR(テーブル1[[#This Row],[高さ　H]]*テーブル1[[#This Row],[長さ　W]]*テーブル1[[#This Row],[奥行　D]]/1000000,"")</x:f>
      </x:c>
      <x:c r="U64" s="183"/>
      <x:c r="AP64" s="183"/>
      <x:c r="AX64" s="183"/>
      <x:c r="AY64" s="183"/>
      <x:c r="AZ64" s="183"/>
    </x:row>
    <x:row r="65" s="184" customFormat="1" ht="54.75" customHeight="1">
      <x:c r="A65" s="157">
        <x:v>64</x:v>
      </x:c>
      <x:c r="B65" s="182" t="s">
        <x:v>81</x:v>
      </x:c>
      <x:c r="C65" s="182" t="s">
        <x:v>19</x:v>
      </x:c>
      <x:c r="D65" s="139" t="s">
        <x:v>41</x:v>
      </x:c>
      <x:c r="E65" s="211" t="s">
        <x:v>95</x:v>
      </x:c>
      <x:c r="F65" s="159">
        <x:v>190</x:v>
      </x:c>
      <x:c r="G65" s="159">
        <x:v>100</x:v>
      </x:c>
      <x:c r="H65" s="159">
        <x:v>60</x:v>
      </x:c>
      <x:c r="I65" s="160" t="e">
        <x:f>ROUNDUP(PRODUCT(テーブル1[[#This Row],[高さ　H]:[奥行　D]])/10000/4,0)</x:f>
      </x:c>
      <x:c r="J65" s="161"/>
      <x:c r="K65" s="162"/>
      <x:c r="L65" s="163"/>
      <x:c r="M65" s="164">
        <x:f t="shared" si="0"/>
        <x:v>0</x:v>
      </x:c>
      <x:c r="N65" s="165" t="e">
        <x:f>SUM(テーブル1[[#This Row],[容量㎥]]*テーブル1[[#This Row],[数量]]/[2]トラック内寸!$N$4)</x:f>
      </x:c>
      <x:c r="O65" s="165" t="e">
        <x:f>SUM(テーブル1[[#This Row],[容量㎥]]*テーブル1[[#This Row],[数量]]/[2]トラック内寸!$N$7)</x:f>
      </x:c>
      <x:c r="P65" s="166" t="e">
        <x:f>SUM(テーブル1[[#This Row],[容量㎥]]*テーブル1[[#This Row],[数量]]/[2]トラック内寸!$N$10)</x:f>
      </x:c>
      <x:c r="Q65" s="167" t="e">
        <x:f>SUM($I65*$L65/[2]トラック内寸!$N$13)</x:f>
      </x:c>
      <x:c r="R65" s="150" t="e">
        <x:f>IFERROR(テーブル1[[#This Row],[高さ　H]]*テーブル1[[#This Row],[長さ　W]]*テーブル1[[#This Row],[奥行　D]]/1000000,"")</x:f>
      </x:c>
      <x:c r="U65" s="183"/>
      <x:c r="AP65" s="183"/>
      <x:c r="AQ65" s="185"/>
      <x:c r="AR65" s="185"/>
      <x:c r="AS65" s="185"/>
      <x:c r="AT65" s="185"/>
      <x:c r="AU65" s="185"/>
      <x:c r="AV65" s="185"/>
      <x:c r="AW65" s="185"/>
      <x:c r="AX65" s="202"/>
      <x:c r="AY65" s="183"/>
      <x:c r="AZ65" s="183"/>
    </x:row>
    <x:row r="66" s="184" customFormat="1" ht="54.75" customHeight="1">
      <x:c r="A66" s="157">
        <x:v>65</x:v>
      </x:c>
      <x:c r="B66" s="182" t="s">
        <x:v>81</x:v>
      </x:c>
      <x:c r="C66" s="182" t="s">
        <x:v>19</x:v>
      </x:c>
      <x:c r="D66" s="139" t="s">
        <x:v>41</x:v>
      </x:c>
      <x:c r="E66" s="211" t="s">
        <x:v>96</x:v>
      </x:c>
      <x:c r="F66" s="159">
        <x:v>200</x:v>
      </x:c>
      <x:c r="G66" s="159">
        <x:v>120</x:v>
      </x:c>
      <x:c r="H66" s="159">
        <x:v>60</x:v>
      </x:c>
      <x:c r="I66" s="160" t="e">
        <x:f>ROUNDUP(PRODUCT(テーブル1[[#This Row],[高さ　H]:[奥行　D]])/10000/4,0)</x:f>
      </x:c>
      <x:c r="J66" s="161"/>
      <x:c r="K66" s="162"/>
      <x:c r="L66" s="163"/>
      <x:c r="M66" s="164">
        <x:f t="shared" si="0"/>
        <x:v>0</x:v>
      </x:c>
      <x:c r="N66" s="165" t="e">
        <x:f>SUM(テーブル1[[#This Row],[容量㎥]]*テーブル1[[#This Row],[数量]]/[2]トラック内寸!$N$4)</x:f>
      </x:c>
      <x:c r="O66" s="165" t="e">
        <x:f>SUM(テーブル1[[#This Row],[容量㎥]]*テーブル1[[#This Row],[数量]]/[2]トラック内寸!$N$7)</x:f>
      </x:c>
      <x:c r="P66" s="166" t="e">
        <x:f>SUM(テーブル1[[#This Row],[容量㎥]]*テーブル1[[#This Row],[数量]]/[2]トラック内寸!$N$10)</x:f>
      </x:c>
      <x:c r="Q66" s="167" t="e">
        <x:f>SUM($I66*$L66/[2]トラック内寸!$N$13)</x:f>
      </x:c>
      <x:c r="R66" s="150" t="e">
        <x:f>IFERROR(テーブル1[[#This Row],[高さ　H]]*テーブル1[[#This Row],[長さ　W]]*テーブル1[[#This Row],[奥行　D]]/1000000,"")</x:f>
      </x:c>
      <x:c r="U66" s="183"/>
      <x:c r="Y66" s="185"/>
      <x:c r="Z66" s="185"/>
      <x:c r="AA66" s="185"/>
      <x:c r="AB66" s="185"/>
      <x:c r="AC66" s="185"/>
      <x:c r="AD66" s="185"/>
      <x:c r="AE66" s="202"/>
      <x:c r="AF66" s="202"/>
      <x:c r="AG66" s="202"/>
      <x:c r="AH66" s="172"/>
      <x:c r="AI66" s="185"/>
      <x:c r="AJ66" s="185"/>
      <x:c r="AK66" s="185"/>
      <x:c r="AL66" s="185"/>
      <x:c r="AM66" s="203"/>
      <x:c r="AP66" s="183"/>
      <x:c r="AQ66" s="185"/>
      <x:c r="AR66" s="185"/>
      <x:c r="AS66" s="185"/>
      <x:c r="AT66" s="185"/>
      <x:c r="AU66" s="185"/>
      <x:c r="AV66" s="185"/>
      <x:c r="AW66" s="185"/>
      <x:c r="AX66" s="202"/>
      <x:c r="AY66" s="183"/>
      <x:c r="AZ66" s="183"/>
    </x:row>
    <x:row r="67" ht="54.75" customHeight="1">
      <x:c r="A67" s="157">
        <x:v>66</x:v>
      </x:c>
      <x:c r="B67" s="182" t="s">
        <x:v>81</x:v>
      </x:c>
      <x:c r="C67" s="182" t="s">
        <x:v>19</x:v>
      </x:c>
      <x:c r="D67" s="139" t="s">
        <x:v>41</x:v>
      </x:c>
      <x:c r="E67" s="211" t="s">
        <x:v>97</x:v>
      </x:c>
      <x:c r="F67" s="159">
        <x:v>120</x:v>
      </x:c>
      <x:c r="G67" s="159">
        <x:v>100</x:v>
      </x:c>
      <x:c r="H67" s="159">
        <x:v>60</x:v>
      </x:c>
      <x:c r="I67" s="160" t="e">
        <x:f>ROUNDUP(PRODUCT(テーブル1[[#This Row],[高さ　H]:[奥行　D]])/10000/4,0)</x:f>
      </x:c>
      <x:c r="J67" s="161" t="e">
        <x:f>ROUNDUP((テーブル1[[#This Row],[ポイント　P]]*60%)/$I$122,0)</x:f>
      </x:c>
      <x:c r="K67" s="162"/>
      <x:c r="L67" s="163"/>
      <x:c r="M67" s="164">
        <x:f t="shared" si="0"/>
        <x:v>0</x:v>
      </x:c>
      <x:c r="N67" s="165" t="e">
        <x:f>SUM(テーブル1[[#This Row],[容量㎥]]*テーブル1[[#This Row],[数量]]/[2]トラック内寸!$N$4)</x:f>
      </x:c>
      <x:c r="O67" s="165" t="e">
        <x:f>SUM(テーブル1[[#This Row],[容量㎥]]*テーブル1[[#This Row],[数量]]/[2]トラック内寸!$N$7)</x:f>
      </x:c>
      <x:c r="P67" s="166" t="e">
        <x:f>SUM(テーブル1[[#This Row],[容量㎥]]*テーブル1[[#This Row],[数量]]/[2]トラック内寸!$N$10)</x:f>
      </x:c>
      <x:c r="Q67" s="167" t="e">
        <x:f>SUM($I67*$L67/[2]トラック内寸!$N$13)</x:f>
      </x:c>
      <x:c r="R67" s="150" t="e">
        <x:f>IFERROR(テーブル1[[#This Row],[高さ　H]]*テーブル1[[#This Row],[長さ　W]]*テーブル1[[#This Row],[奥行　D]]/1000000,"")</x:f>
      </x:c>
      <x:c r="S67" s="202"/>
      <x:c r="V67" s="185"/>
      <x:c r="AE67" s="202"/>
      <x:c r="AH67" s="172"/>
      <x:c r="AI67" s="185"/>
      <x:c r="AM67" s="203"/>
      <x:c r="AN67" s="205"/>
      <x:c r="AO67" s="185"/>
      <x:c r="AP67" s="183"/>
    </x:row>
    <x:row r="68" ht="54.75" customHeight="1">
      <x:c r="A68" s="157">
        <x:v>67</x:v>
      </x:c>
      <x:c r="B68" s="182" t="s">
        <x:v>81</x:v>
      </x:c>
      <x:c r="C68" s="182" t="s">
        <x:v>19</x:v>
      </x:c>
      <x:c r="D68" s="139" t="s">
        <x:v>41</x:v>
      </x:c>
      <x:c r="E68" s="211" t="s">
        <x:v>98</x:v>
      </x:c>
      <x:c r="F68" s="159">
        <x:v>92</x:v>
      </x:c>
      <x:c r="G68" s="159">
        <x:v>51</x:v>
      </x:c>
      <x:c r="H68" s="159">
        <x:v>41</x:v>
      </x:c>
      <x:c r="I68" s="160" t="e">
        <x:f>ROUNDUP(PRODUCT(テーブル1[[#This Row],[高さ　H]:[奥行　D]])/10000/4,0)</x:f>
      </x:c>
      <x:c r="J68" s="161" t="e">
        <x:f>ROUNDUP((テーブル1[[#This Row],[ポイント　P]]*60%)/$I$122,0)</x:f>
      </x:c>
      <x:c r="K68" s="162"/>
      <x:c r="L68" s="163"/>
      <x:c r="M68" s="164" t="e">
        <x:f t="shared" ref="M68:M126" si="1">ROUNDUP(SUM(J68*L68),0)</x:f>
      </x:c>
      <x:c r="N68" s="165" t="e">
        <x:f>SUM(テーブル1[[#This Row],[容量㎥]]*テーブル1[[#This Row],[数量]]/[2]トラック内寸!$N$4)</x:f>
      </x:c>
      <x:c r="O68" s="165" t="e">
        <x:f>SUM(テーブル1[[#This Row],[容量㎥]]*テーブル1[[#This Row],[数量]]/[2]トラック内寸!$N$7)</x:f>
      </x:c>
      <x:c r="P68" s="166" t="e">
        <x:f>SUM(テーブル1[[#This Row],[容量㎥]]*テーブル1[[#This Row],[数量]]/[2]トラック内寸!$N$10)</x:f>
      </x:c>
      <x:c r="Q68" s="167" t="e">
        <x:f>SUM($I68*$L68/[2]トラック内寸!$N$13)</x:f>
      </x:c>
      <x:c r="R68" s="150" t="e">
        <x:f>IFERROR(テーブル1[[#This Row],[高さ　H]]*テーブル1[[#This Row],[長さ　W]]*テーブル1[[#This Row],[奥行　D]]/1000000,"")</x:f>
      </x:c>
      <x:c r="S68" s="202"/>
      <x:c r="V68" s="185"/>
      <x:c r="AE68" s="202"/>
      <x:c r="AH68" s="172"/>
      <x:c r="AI68" s="185"/>
      <x:c r="AM68" s="203"/>
      <x:c r="AN68" s="205"/>
      <x:c r="AO68" s="185"/>
    </x:row>
    <x:row r="69" ht="54.75" customHeight="1">
      <x:c r="A69" s="157">
        <x:v>68</x:v>
      </x:c>
      <x:c r="B69" s="182" t="s">
        <x:v>81</x:v>
      </x:c>
      <x:c r="C69" s="182" t="s">
        <x:v>19</x:v>
      </x:c>
      <x:c r="D69" s="139" t="s">
        <x:v>41</x:v>
      </x:c>
      <x:c r="E69" s="211" t="s">
        <x:v>99</x:v>
      </x:c>
      <x:c r="F69" s="159">
        <x:v>90</x:v>
      </x:c>
      <x:c r="G69" s="159">
        <x:v>80</x:v>
      </x:c>
      <x:c r="H69" s="159">
        <x:v>40</x:v>
      </x:c>
      <x:c r="I69" s="160" t="e">
        <x:f>ROUNDUP(PRODUCT(テーブル1[[#This Row],[高さ　H]:[奥行　D]])/10000/4,0)</x:f>
      </x:c>
      <x:c r="J69" s="161" t="e">
        <x:f>ROUNDUP((テーブル1[[#This Row],[ポイント　P]]*60%)/$I$122,0)</x:f>
      </x:c>
      <x:c r="K69" s="162"/>
      <x:c r="L69" s="163"/>
      <x:c r="M69" s="164">
        <x:f t="shared" si="1"/>
        <x:v>0</x:v>
      </x:c>
      <x:c r="N69" s="165" t="e">
        <x:f>SUM(テーブル1[[#This Row],[容量㎥]]*テーブル1[[#This Row],[数量]]/[2]トラック内寸!$N$4)</x:f>
      </x:c>
      <x:c r="O69" s="165" t="e">
        <x:f>SUM(テーブル1[[#This Row],[容量㎥]]*テーブル1[[#This Row],[数量]]/[2]トラック内寸!$N$7)</x:f>
      </x:c>
      <x:c r="P69" s="166" t="e">
        <x:f>SUM(テーブル1[[#This Row],[容量㎥]]*テーブル1[[#This Row],[数量]]/[2]トラック内寸!$N$10)</x:f>
      </x:c>
      <x:c r="Q69" s="167" t="e">
        <x:f>SUM($I69*$L69/[2]トラック内寸!$N$13)</x:f>
      </x:c>
      <x:c r="R69" s="150" t="e">
        <x:f>IFERROR(テーブル1[[#This Row],[高さ　H]]*テーブル1[[#This Row],[長さ　W]]*テーブル1[[#This Row],[奥行　D]]/1000000,"")</x:f>
      </x:c>
      <x:c r="S69" s="202"/>
      <x:c r="V69" s="185"/>
      <x:c r="AN69" s="205"/>
      <x:c r="AO69" s="185"/>
    </x:row>
    <x:row r="70" ht="54.75" customHeight="1">
      <x:c r="A70" s="157">
        <x:v>69</x:v>
      </x:c>
      <x:c r="B70" s="182" t="s">
        <x:v>81</x:v>
      </x:c>
      <x:c r="C70" s="182" t="s">
        <x:v>19</x:v>
      </x:c>
      <x:c r="D70" s="139" t="s">
        <x:v>41</x:v>
      </x:c>
      <x:c r="E70" s="211" t="s">
        <x:v>100</x:v>
      </x:c>
      <x:c r="F70" s="159">
        <x:v>137</x:v>
      </x:c>
      <x:c r="G70" s="159">
        <x:v>100</x:v>
      </x:c>
      <x:c r="H70" s="159">
        <x:v>42</x:v>
      </x:c>
      <x:c r="I70" s="160" t="e">
        <x:f>ROUNDUP(PRODUCT(テーブル1[[#This Row],[高さ　H]:[奥行　D]])/10000/4,0)</x:f>
      </x:c>
      <x:c r="J70" s="161" t="e">
        <x:f>ROUNDUP((テーブル1[[#This Row],[ポイント　P]]*60%)/$I$122,0)</x:f>
      </x:c>
      <x:c r="K70" s="162"/>
      <x:c r="L70" s="163"/>
      <x:c r="M70" s="164">
        <x:f t="shared" si="1"/>
        <x:v>0</x:v>
      </x:c>
      <x:c r="N70" s="165" t="e">
        <x:f>SUM(テーブル1[[#This Row],[容量㎥]]*テーブル1[[#This Row],[数量]]/[2]トラック内寸!$N$4)</x:f>
      </x:c>
      <x:c r="O70" s="165" t="e">
        <x:f>SUM(テーブル1[[#This Row],[容量㎥]]*テーブル1[[#This Row],[数量]]/[2]トラック内寸!$N$7)</x:f>
      </x:c>
      <x:c r="P70" s="166" t="e">
        <x:f>SUM(テーブル1[[#This Row],[容量㎥]]*テーブル1[[#This Row],[数量]]/[2]トラック内寸!$N$10)</x:f>
      </x:c>
      <x:c r="Q70" s="167" t="e">
        <x:f>SUM($I70*$L70/[2]トラック内寸!$N$13)</x:f>
      </x:c>
      <x:c r="R70" s="150" t="e">
        <x:f>IFERROR(テーブル1[[#This Row],[高さ　H]]*テーブル1[[#This Row],[長さ　W]]*テーブル1[[#This Row],[奥行　D]]/1000000,"")</x:f>
      </x:c>
      <x:c r="S70" s="202"/>
    </x:row>
    <x:row r="71" ht="54.75" customHeight="1">
      <x:c r="A71" s="157">
        <x:v>70</x:v>
      </x:c>
      <x:c r="B71" s="182" t="s">
        <x:v>81</x:v>
      </x:c>
      <x:c r="C71" s="182" t="s">
        <x:v>19</x:v>
      </x:c>
      <x:c r="D71" s="182"/>
      <x:c r="E71" s="158" t="s">
        <x:v>101</x:v>
      </x:c>
      <x:c r="F71" s="159">
        <x:v>180</x:v>
      </x:c>
      <x:c r="G71" s="159">
        <x:v>55</x:v>
      </x:c>
      <x:c r="H71" s="159">
        <x:v>50</x:v>
      </x:c>
      <x:c r="I71" s="160" t="e">
        <x:f>ROUNDUP(PRODUCT(テーブル1[[#This Row],[高さ　H]:[奥行　D]])/10000/4,0)</x:f>
      </x:c>
      <x:c r="J71" s="161" t="e">
        <x:f>ROUNDUP((テーブル1[[#This Row],[ポイント　P]]*60%)/$I$122,0)</x:f>
      </x:c>
      <x:c r="K71" s="162"/>
      <x:c r="L71" s="163"/>
      <x:c r="M71" s="164">
        <x:f t="shared" si="1"/>
        <x:v>0</x:v>
      </x:c>
      <x:c r="N71" s="165" t="e">
        <x:f>SUM(テーブル1[[#This Row],[容量㎥]]*テーブル1[[#This Row],[数量]]/[2]トラック内寸!$N$4)</x:f>
      </x:c>
      <x:c r="O71" s="165" t="e">
        <x:f>SUM(テーブル1[[#This Row],[容量㎥]]*テーブル1[[#This Row],[数量]]/[2]トラック内寸!$N$7)</x:f>
      </x:c>
      <x:c r="P71" s="166" t="e">
        <x:f>SUM(テーブル1[[#This Row],[容量㎥]]*テーブル1[[#This Row],[数量]]/[2]トラック内寸!$N$10)</x:f>
      </x:c>
      <x:c r="Q71" s="167" t="e">
        <x:f>SUM($I71*$L71/[2]トラック内寸!$N$13)</x:f>
      </x:c>
      <x:c r="R71" s="150" t="e">
        <x:f>IFERROR(テーブル1[[#This Row],[高さ　H]]*テーブル1[[#This Row],[長さ　W]]*テーブル1[[#This Row],[奥行　D]]/1000000,"")</x:f>
      </x:c>
      <x:c r="S71" s="202"/>
    </x:row>
    <x:row r="72" ht="54.75" customHeight="1">
      <x:c r="A72" s="157">
        <x:v>71</x:v>
      </x:c>
      <x:c r="B72" s="182" t="s">
        <x:v>81</x:v>
      </x:c>
      <x:c r="C72" s="182" t="s">
        <x:v>19</x:v>
      </x:c>
      <x:c r="D72" s="182"/>
      <x:c r="E72" s="158" t="s">
        <x:v>102</x:v>
      </x:c>
      <x:c r="F72" s="159">
        <x:v>43</x:v>
      </x:c>
      <x:c r="G72" s="159">
        <x:v>93</x:v>
      </x:c>
      <x:c r="H72" s="159">
        <x:v>44</x:v>
      </x:c>
      <x:c r="I72" s="160" t="e">
        <x:f>ROUNDUP(PRODUCT(テーブル1[[#This Row],[高さ　H]:[奥行　D]])/10000/4,0)</x:f>
      </x:c>
      <x:c r="J72" s="161" t="e">
        <x:f>ROUNDUP((テーブル1[[#This Row],[ポイント　P]]*60%)/$I$122,0)</x:f>
      </x:c>
      <x:c r="K72" s="162"/>
      <x:c r="L72" s="163"/>
      <x:c r="M72" s="164">
        <x:f t="shared" si="1"/>
        <x:v>0</x:v>
      </x:c>
      <x:c r="N72" s="165" t="e">
        <x:f>SUM(テーブル1[[#This Row],[容量㎥]]*テーブル1[[#This Row],[数量]]/[2]トラック内寸!$N$4)</x:f>
      </x:c>
      <x:c r="O72" s="165" t="e">
        <x:f>SUM(テーブル1[[#This Row],[容量㎥]]*テーブル1[[#This Row],[数量]]/[2]トラック内寸!$N$7)</x:f>
      </x:c>
      <x:c r="P72" s="166" t="e">
        <x:f>SUM(テーブル1[[#This Row],[容量㎥]]*テーブル1[[#This Row],[数量]]/[2]トラック内寸!$N$10)</x:f>
      </x:c>
      <x:c r="Q72" s="167" t="e">
        <x:f>SUM($I72*$L72/[2]トラック内寸!$N$13)</x:f>
      </x:c>
      <x:c r="R72" s="150" t="e">
        <x:f>IFERROR(テーブル1[[#This Row],[高さ　H]]*テーブル1[[#This Row],[長さ　W]]*テーブル1[[#This Row],[奥行　D]]/1000000,"")</x:f>
      </x:c>
      <x:c r="S72" s="202"/>
    </x:row>
    <x:row r="73" ht="54.75" customHeight="1">
      <x:c r="A73" s="157">
        <x:v>72</x:v>
      </x:c>
      <x:c r="B73" s="182" t="s">
        <x:v>81</x:v>
      </x:c>
      <x:c r="C73" s="182" t="s">
        <x:v>19</x:v>
      </x:c>
      <x:c r="D73" s="182"/>
      <x:c r="E73" s="158" t="s">
        <x:v>103</x:v>
      </x:c>
      <x:c r="F73" s="159">
        <x:v>86</x:v>
      </x:c>
      <x:c r="G73" s="159">
        <x:v>93</x:v>
      </x:c>
      <x:c r="H73" s="159">
        <x:v>44</x:v>
      </x:c>
      <x:c r="I73" s="160" t="e">
        <x:f>ROUNDUP(PRODUCT(テーブル1[[#This Row],[高さ　H]:[奥行　D]])/10000/4,0)</x:f>
      </x:c>
      <x:c r="J73" s="161" t="e">
        <x:f>ROUNDUP((テーブル1[[#This Row],[ポイント　P]]*60%)/$I$122,0)</x:f>
      </x:c>
      <x:c r="K73" s="162"/>
      <x:c r="L73" s="163"/>
      <x:c r="M73" s="164">
        <x:f t="shared" si="1"/>
        <x:v>0</x:v>
      </x:c>
      <x:c r="N73" s="165" t="e">
        <x:f>SUM(テーブル1[[#This Row],[容量㎥]]*テーブル1[[#This Row],[数量]]/[2]トラック内寸!$N$4)</x:f>
      </x:c>
      <x:c r="O73" s="165" t="e">
        <x:f>SUM(テーブル1[[#This Row],[容量㎥]]*テーブル1[[#This Row],[数量]]/[2]トラック内寸!$N$7)</x:f>
      </x:c>
      <x:c r="P73" s="166" t="e">
        <x:f>SUM(テーブル1[[#This Row],[容量㎥]]*テーブル1[[#This Row],[数量]]/[2]トラック内寸!$N$10)</x:f>
      </x:c>
      <x:c r="Q73" s="167" t="e">
        <x:f>SUM($I73*$L73/[2]トラック内寸!$N$13)</x:f>
      </x:c>
      <x:c r="R73" s="150" t="e">
        <x:f>IFERROR(テーブル1[[#This Row],[高さ　H]]*テーブル1[[#This Row],[長さ　W]]*テーブル1[[#This Row],[奥行　D]]/1000000,"")</x:f>
      </x:c>
      <x:c r="S73" s="202"/>
    </x:row>
    <x:row r="74" ht="54.75" customHeight="1">
      <x:c r="A74" s="157">
        <x:v>73</x:v>
      </x:c>
      <x:c r="B74" s="182" t="s">
        <x:v>81</x:v>
      </x:c>
      <x:c r="C74" s="182" t="s">
        <x:v>19</x:v>
      </x:c>
      <x:c r="D74" s="182"/>
      <x:c r="E74" s="158" t="s">
        <x:v>104</x:v>
      </x:c>
      <x:c r="F74" s="159">
        <x:v>129</x:v>
      </x:c>
      <x:c r="G74" s="159">
        <x:v>93</x:v>
      </x:c>
      <x:c r="H74" s="159">
        <x:v>44</x:v>
      </x:c>
      <x:c r="I74" s="160" t="e">
        <x:f>ROUNDUP(PRODUCT(テーブル1[[#This Row],[高さ　H]:[奥行　D]])/10000/4,0)</x:f>
      </x:c>
      <x:c r="J74" s="161" t="e">
        <x:f>ROUNDUP((テーブル1[[#This Row],[ポイント　P]]*60%)/$I$122,0)</x:f>
      </x:c>
      <x:c r="K74" s="162"/>
      <x:c r="L74" s="163"/>
      <x:c r="M74" s="164">
        <x:f t="shared" si="1"/>
        <x:v>0</x:v>
      </x:c>
      <x:c r="N74" s="165" t="e">
        <x:f>SUM(テーブル1[[#This Row],[容量㎥]]*テーブル1[[#This Row],[数量]]/[2]トラック内寸!$N$4)</x:f>
      </x:c>
      <x:c r="O74" s="165" t="e">
        <x:f>SUM(テーブル1[[#This Row],[容量㎥]]*テーブル1[[#This Row],[数量]]/[2]トラック内寸!$N$7)</x:f>
      </x:c>
      <x:c r="P74" s="166" t="e">
        <x:f>SUM(テーブル1[[#This Row],[容量㎥]]*テーブル1[[#This Row],[数量]]/[2]トラック内寸!$N$10)</x:f>
      </x:c>
      <x:c r="Q74" s="167" t="e">
        <x:f>SUM($I74*$L74/[2]トラック内寸!$N$13)</x:f>
      </x:c>
      <x:c r="R74" s="150" t="e">
        <x:f>IFERROR(テーブル1[[#This Row],[高さ　H]]*テーブル1[[#This Row],[長さ　W]]*テーブル1[[#This Row],[奥行　D]]/1000000,"")</x:f>
      </x:c>
      <x:c r="S74" s="202"/>
    </x:row>
    <x:row r="75" ht="54.75" customHeight="1">
      <x:c r="A75" s="157">
        <x:v>74</x:v>
      </x:c>
      <x:c r="B75" s="182" t="s">
        <x:v>81</x:v>
      </x:c>
      <x:c r="C75" s="182" t="s">
        <x:v>19</x:v>
      </x:c>
      <x:c r="D75" s="182"/>
      <x:c r="E75" s="158" t="s">
        <x:v>105</x:v>
      </x:c>
      <x:c r="F75" s="159">
        <x:v>66</x:v>
      </x:c>
      <x:c r="G75" s="159">
        <x:v>75</x:v>
      </x:c>
      <x:c r="H75" s="159">
        <x:v>75</x:v>
      </x:c>
      <x:c r="I75" s="160" t="e">
        <x:f>ROUNDUP(PRODUCT(テーブル1[[#This Row],[高さ　H]:[奥行　D]])/10000/4,0)</x:f>
      </x:c>
      <x:c r="J75" s="161" t="e">
        <x:f>ROUNDUP((テーブル1[[#This Row],[ポイント　P]]*60%)/$I$122,0)</x:f>
      </x:c>
      <x:c r="K75" s="162"/>
      <x:c r="L75" s="163"/>
      <x:c r="M75" s="164">
        <x:f t="shared" si="1"/>
        <x:v>0</x:v>
      </x:c>
      <x:c r="N75" s="165" t="e">
        <x:f>SUM(テーブル1[[#This Row],[容量㎥]]*テーブル1[[#This Row],[数量]]/[2]トラック内寸!$N$4)</x:f>
      </x:c>
      <x:c r="O75" s="165" t="e">
        <x:f>SUM(テーブル1[[#This Row],[容量㎥]]*テーブル1[[#This Row],[数量]]/[2]トラック内寸!$N$7)</x:f>
      </x:c>
      <x:c r="P75" s="166" t="e">
        <x:f>SUM(テーブル1[[#This Row],[容量㎥]]*テーブル1[[#This Row],[数量]]/[2]トラック内寸!$N$10)</x:f>
      </x:c>
      <x:c r="Q75" s="167" t="e">
        <x:f>SUM($I75*$L75/[2]トラック内寸!$N$13)</x:f>
      </x:c>
      <x:c r="R75" s="150" t="e">
        <x:f>IFERROR(テーブル1[[#This Row],[高さ　H]]*テーブル1[[#This Row],[長さ　W]]*テーブル1[[#This Row],[奥行　D]]/1000000,"")</x:f>
      </x:c>
      <x:c r="S75" s="202"/>
    </x:row>
    <x:row r="76" ht="54.75" customHeight="1">
      <x:c r="A76" s="157">
        <x:v>75</x:v>
      </x:c>
      <x:c r="B76" s="182" t="s">
        <x:v>81</x:v>
      </x:c>
      <x:c r="C76" s="182" t="s">
        <x:v>19</x:v>
      </x:c>
      <x:c r="D76" s="139" t="s">
        <x:v>41</x:v>
      </x:c>
      <x:c r="E76" s="158" t="s">
        <x:v>106</x:v>
      </x:c>
      <x:c r="F76" s="159">
        <x:v>30</x:v>
      </x:c>
      <x:c r="G76" s="159">
        <x:v>44</x:v>
      </x:c>
      <x:c r="H76" s="159">
        <x:v>73</x:v>
      </x:c>
      <x:c r="I76" s="160" t="e">
        <x:f>ROUNDUP(PRODUCT(テーブル1[[#This Row],[高さ　H]:[奥行　D]])/10000/4,0)</x:f>
      </x:c>
      <x:c r="J76" s="170"/>
      <x:c r="K76" s="162"/>
      <x:c r="L76" s="163"/>
      <x:c r="M76" s="164">
        <x:f t="shared" si="1"/>
        <x:v>0</x:v>
      </x:c>
      <x:c r="N76" s="165" t="e">
        <x:f>SUM(テーブル1[[#This Row],[容量㎥]]*テーブル1[[#This Row],[数量]]/[2]トラック内寸!$N$4)</x:f>
      </x:c>
      <x:c r="O76" s="165" t="e">
        <x:f>SUM(テーブル1[[#This Row],[容量㎥]]*テーブル1[[#This Row],[数量]]/[2]トラック内寸!$N$7)</x:f>
      </x:c>
      <x:c r="P76" s="166" t="e">
        <x:f>SUM(テーブル1[[#This Row],[容量㎥]]*テーブル1[[#This Row],[数量]]/[2]トラック内寸!$N$10)</x:f>
      </x:c>
      <x:c r="Q76" s="167" t="e">
        <x:f>SUM($I76*$L76/[2]トラック内寸!$N$13)</x:f>
      </x:c>
      <x:c r="R76" s="150" t="e">
        <x:f>IFERROR(テーブル1[[#This Row],[高さ　H]]*テーブル1[[#This Row],[長さ　W]]*テーブル1[[#This Row],[奥行　D]]/1000000,"")</x:f>
      </x:c>
      <x:c r="S76" s="202"/>
    </x:row>
    <x:row r="77" ht="54.75" customHeight="1">
      <x:c r="A77" s="157">
        <x:v>76</x:v>
      </x:c>
      <x:c r="B77" s="182"/>
      <x:c r="C77" s="212"/>
      <x:c r="D77" s="213"/>
      <x:c r="E77" s="214"/>
      <x:c r="F77" s="159"/>
      <x:c r="G77" s="159"/>
      <x:c r="H77" s="159"/>
      <x:c r="I77" s="160" t="e">
        <x:f>ROUNDUP(PRODUCT(テーブル1[[#This Row],[高さ　H]:[奥行　D]])/10000/4,0)</x:f>
      </x:c>
      <x:c r="J77" s="170"/>
      <x:c r="K77" s="162"/>
      <x:c r="L77" s="163"/>
      <x:c r="M77" s="164">
        <x:f t="shared" si="1"/>
        <x:v>0</x:v>
      </x:c>
      <x:c r="N77" s="165" t="e">
        <x:f>SUM(テーブル1[[#This Row],[容量㎥]]*テーブル1[[#This Row],[数量]]/[2]トラック内寸!$N$4)</x:f>
      </x:c>
      <x:c r="O77" s="165" t="e">
        <x:f>SUM(テーブル1[[#This Row],[容量㎥]]*テーブル1[[#This Row],[数量]]/[2]トラック内寸!$N$7)</x:f>
      </x:c>
      <x:c r="P77" s="166" t="e">
        <x:f>SUM(テーブル1[[#This Row],[容量㎥]]*テーブル1[[#This Row],[数量]]/[2]トラック内寸!$N$10)</x:f>
      </x:c>
      <x:c r="Q77" s="167" t="e">
        <x:f>SUM($I77*$L77/[2]トラック内寸!$N$13)</x:f>
      </x:c>
      <x:c r="R77" s="150" t="e">
        <x:f>IFERROR(テーブル1[[#This Row],[高さ　H]]*テーブル1[[#This Row],[長さ　W]]*テーブル1[[#This Row],[奥行　D]]/1000000,"")</x:f>
      </x:c>
      <x:c r="S77" s="202"/>
    </x:row>
    <x:row r="78" ht="54.75" customHeight="1">
      <x:c r="A78" s="157">
        <x:v>77</x:v>
      </x:c>
      <x:c r="B78" s="182" t="s">
        <x:v>81</x:v>
      </x:c>
      <x:c r="C78" s="182" t="s">
        <x:v>19</x:v>
      </x:c>
      <x:c r="D78" s="139" t="s">
        <x:v>41</x:v>
      </x:c>
      <x:c r="E78" s="158" t="s">
        <x:v>107</x:v>
      </x:c>
      <x:c r="F78" s="159">
        <x:v>62.5</x:v>
      </x:c>
      <x:c r="G78" s="159">
        <x:v>37</x:v>
      </x:c>
      <x:c r="H78" s="159">
        <x:v>70</x:v>
      </x:c>
      <x:c r="I78" s="160" t="e">
        <x:f>ROUNDUP(PRODUCT(テーブル1[[#This Row],[高さ　H]:[奥行　D]])/10000/4,0)</x:f>
      </x:c>
      <x:c r="J78" s="170" t="e">
        <x:f>ROUNDUP((テーブル1[[#This Row],[ポイント　P]]*60%)/$I$122,0)</x:f>
      </x:c>
      <x:c r="K78" s="162"/>
      <x:c r="L78" s="163"/>
      <x:c r="M78" s="164">
        <x:f t="shared" si="1"/>
        <x:v>0</x:v>
      </x:c>
      <x:c r="N78" s="165" t="e">
        <x:f>SUM(テーブル1[[#This Row],[容量㎥]]*テーブル1[[#This Row],[数量]]/[2]トラック内寸!$N$4)</x:f>
      </x:c>
      <x:c r="O78" s="165" t="e">
        <x:f>SUM(テーブル1[[#This Row],[容量㎥]]*テーブル1[[#This Row],[数量]]/[2]トラック内寸!$N$7)</x:f>
      </x:c>
      <x:c r="P78" s="166" t="e">
        <x:f>SUM(テーブル1[[#This Row],[容量㎥]]*テーブル1[[#This Row],[数量]]/[2]トラック内寸!$N$10)</x:f>
      </x:c>
      <x:c r="Q78" s="167" t="e">
        <x:f>SUM($I78*$L78/[2]トラック内寸!$N$13)</x:f>
      </x:c>
      <x:c r="R78" s="150" t="e">
        <x:f>IFERROR(テーブル1[[#This Row],[高さ　H]]*テーブル1[[#This Row],[長さ　W]]*テーブル1[[#This Row],[奥行　D]]/1000000,"")</x:f>
      </x:c>
      <x:c r="S78" s="202"/>
    </x:row>
    <x:row r="79" ht="54.75" customHeight="1">
      <x:c r="A79" s="157">
        <x:v>78</x:v>
      </x:c>
      <x:c r="B79" s="182" t="s">
        <x:v>81</x:v>
      </x:c>
      <x:c r="C79" s="182" t="s">
        <x:v>19</x:v>
      </x:c>
      <x:c r="D79" s="139" t="s">
        <x:v>41</x:v>
      </x:c>
      <x:c r="E79" s="158" t="s">
        <x:v>107</x:v>
      </x:c>
      <x:c r="F79" s="159">
        <x:v>62.5</x:v>
      </x:c>
      <x:c r="G79" s="159">
        <x:v>75</x:v>
      </x:c>
      <x:c r="H79" s="159">
        <x:v>70</x:v>
      </x:c>
      <x:c r="I79" s="160" t="e">
        <x:f>ROUNDUP(PRODUCT(テーブル1[[#This Row],[高さ　H]:[奥行　D]])/10000/4,0)</x:f>
      </x:c>
      <x:c r="J79" s="170" t="e">
        <x:f>ROUNDUP((テーブル1[[#This Row],[ポイント　P]]*60%)/$I$122,0)</x:f>
      </x:c>
      <x:c r="K79" s="162"/>
      <x:c r="L79" s="163"/>
      <x:c r="M79" s="164">
        <x:f t="shared" si="1"/>
        <x:v>0</x:v>
      </x:c>
      <x:c r="N79" s="165" t="e">
        <x:f>SUM(テーブル1[[#This Row],[容量㎥]]*テーブル1[[#This Row],[数量]]/[2]トラック内寸!$N$4)</x:f>
      </x:c>
      <x:c r="O79" s="165" t="e">
        <x:f>SUM(テーブル1[[#This Row],[容量㎥]]*テーブル1[[#This Row],[数量]]/[2]トラック内寸!$N$7)</x:f>
      </x:c>
      <x:c r="P79" s="166" t="e">
        <x:f>SUM(テーブル1[[#This Row],[容量㎥]]*テーブル1[[#This Row],[数量]]/[2]トラック内寸!$N$10)</x:f>
      </x:c>
      <x:c r="Q79" s="167" t="e">
        <x:f>SUM($I79*$L79/[2]トラック内寸!$N$13)</x:f>
      </x:c>
      <x:c r="R79" s="150" t="e">
        <x:f>IFERROR(テーブル1[[#This Row],[高さ　H]]*テーブル1[[#This Row],[長さ　W]]*テーブル1[[#This Row],[奥行　D]]/1000000,"")</x:f>
      </x:c>
      <x:c r="S79" s="202"/>
    </x:row>
    <x:row r="80" ht="54.75" customHeight="1">
      <x:c r="A80" s="157">
        <x:v>79</x:v>
      </x:c>
      <x:c r="B80" s="182" t="s">
        <x:v>81</x:v>
      </x:c>
      <x:c r="C80" s="182" t="s">
        <x:v>19</x:v>
      </x:c>
      <x:c r="D80" s="182"/>
      <x:c r="E80" s="158" t="s">
        <x:v>108</x:v>
      </x:c>
      <x:c r="F80" s="159">
        <x:v>45</x:v>
      </x:c>
      <x:c r="G80" s="159">
        <x:v>60</x:v>
      </x:c>
      <x:c r="H80" s="159">
        <x:v>60</x:v>
      </x:c>
      <x:c r="I80" s="160" t="e">
        <x:f>ROUNDUP(PRODUCT(テーブル1[[#This Row],[高さ　H]:[奥行　D]])/10000/4,0)</x:f>
      </x:c>
      <x:c r="J80" s="170"/>
      <x:c r="K80" s="162"/>
      <x:c r="L80" s="163"/>
      <x:c r="M80" s="164">
        <x:f t="shared" si="1"/>
        <x:v>0</x:v>
      </x:c>
      <x:c r="N80" s="165" t="e">
        <x:f>SUM(テーブル1[[#This Row],[容量㎥]]*テーブル1[[#This Row],[数量]]/[2]トラック内寸!$N$4)</x:f>
      </x:c>
      <x:c r="O80" s="165" t="e">
        <x:f>SUM(テーブル1[[#This Row],[容量㎥]]*テーブル1[[#This Row],[数量]]/[2]トラック内寸!$N$7)</x:f>
      </x:c>
      <x:c r="P80" s="166" t="e">
        <x:f>SUM(テーブル1[[#This Row],[容量㎥]]*テーブル1[[#This Row],[数量]]/[2]トラック内寸!$N$10)</x:f>
      </x:c>
      <x:c r="Q80" s="167" t="e">
        <x:f>SUM($I80*$L80/[2]トラック内寸!$N$13)</x:f>
      </x:c>
      <x:c r="R80" s="150" t="e">
        <x:f>IFERROR(テーブル1[[#This Row],[高さ　H]]*テーブル1[[#This Row],[長さ　W]]*テーブル1[[#This Row],[奥行　D]]/1000000,"")</x:f>
      </x:c>
      <x:c r="S80" s="202"/>
    </x:row>
    <x:row r="81" ht="54.75" customHeight="1">
      <x:c r="A81" s="157">
        <x:v>80</x:v>
      </x:c>
      <x:c r="B81" s="182" t="s">
        <x:v>81</x:v>
      </x:c>
      <x:c r="C81" s="182" t="s">
        <x:v>19</x:v>
      </x:c>
      <x:c r="D81" s="182"/>
      <x:c r="E81" s="158" t="s">
        <x:v>109</x:v>
      </x:c>
      <x:c r="F81" s="159">
        <x:v>180</x:v>
      </x:c>
      <x:c r="G81" s="159">
        <x:v>80</x:v>
      </x:c>
      <x:c r="H81" s="159">
        <x:v>50</x:v>
      </x:c>
      <x:c r="I81" s="160" t="e">
        <x:f>ROUNDUP(PRODUCT(テーブル1[[#This Row],[高さ　H]:[奥行　D]])/10000/4,0)</x:f>
      </x:c>
      <x:c r="J81" s="170"/>
      <x:c r="K81" s="162"/>
      <x:c r="L81" s="163"/>
      <x:c r="M81" s="164">
        <x:f t="shared" si="1"/>
        <x:v>0</x:v>
      </x:c>
      <x:c r="N81" s="165" t="e">
        <x:f>SUM(テーブル1[[#This Row],[容量㎥]]*テーブル1[[#This Row],[数量]]/[2]トラック内寸!$N$4)</x:f>
      </x:c>
      <x:c r="O81" s="165" t="e">
        <x:f>SUM(テーブル1[[#This Row],[容量㎥]]*テーブル1[[#This Row],[数量]]/[2]トラック内寸!$N$7)</x:f>
      </x:c>
      <x:c r="P81" s="166" t="e">
        <x:f>SUM(テーブル1[[#This Row],[容量㎥]]*テーブル1[[#This Row],[数量]]/[2]トラック内寸!$N$10)</x:f>
      </x:c>
      <x:c r="Q81" s="167" t="e">
        <x:f>SUM($I81*$L81/[2]トラック内寸!$N$13)</x:f>
      </x:c>
      <x:c r="R81" s="150" t="e">
        <x:f>IFERROR(テーブル1[[#This Row],[高さ　H]]*テーブル1[[#This Row],[長さ　W]]*テーブル1[[#This Row],[奥行　D]]/1000000,"")</x:f>
      </x:c>
      <x:c r="S81" s="202"/>
    </x:row>
    <x:row r="82" ht="54.75" customHeight="1">
      <x:c r="A82" s="157">
        <x:v>81</x:v>
      </x:c>
      <x:c r="B82" s="182" t="s">
        <x:v>81</x:v>
      </x:c>
      <x:c r="C82" s="182" t="s">
        <x:v>19</x:v>
      </x:c>
      <x:c r="D82" s="182"/>
      <x:c r="E82" s="158" t="s">
        <x:v>110</x:v>
      </x:c>
      <x:c r="F82" s="159">
        <x:v>90</x:v>
      </x:c>
      <x:c r="G82" s="159">
        <x:v>81</x:v>
      </x:c>
      <x:c r="H82" s="159">
        <x:v>30</x:v>
      </x:c>
      <x:c r="I82" s="160" t="e">
        <x:f>ROUNDUP(PRODUCT(テーブル1[[#This Row],[高さ　H]:[奥行　D]])/10000/4,0)</x:f>
      </x:c>
      <x:c r="J82" s="170"/>
      <x:c r="K82" s="215"/>
      <x:c r="L82" s="163"/>
      <x:c r="M82" s="164">
        <x:f t="shared" si="1"/>
        <x:v>0</x:v>
      </x:c>
      <x:c r="N82" s="165" t="e">
        <x:f>SUM(テーブル1[[#This Row],[容量㎥]]*テーブル1[[#This Row],[数量]]/[2]トラック内寸!$N$4)</x:f>
      </x:c>
      <x:c r="O82" s="165" t="e">
        <x:f>SUM(テーブル1[[#This Row],[容量㎥]]*テーブル1[[#This Row],[数量]]/[2]トラック内寸!$N$7)</x:f>
      </x:c>
      <x:c r="P82" s="166" t="e">
        <x:f>SUM(テーブル1[[#This Row],[容量㎥]]*テーブル1[[#This Row],[数量]]/[2]トラック内寸!$N$10)</x:f>
      </x:c>
      <x:c r="Q82" s="167" t="e">
        <x:f>SUM($I82*$L82/[2]トラック内寸!$N$13)</x:f>
      </x:c>
      <x:c r="R82" s="150" t="e">
        <x:f>IFERROR(テーブル1[[#This Row],[高さ　H]]*テーブル1[[#This Row],[長さ　W]]*テーブル1[[#This Row],[奥行　D]]/1000000,"")</x:f>
      </x:c>
      <x:c r="S82" s="202"/>
    </x:row>
    <x:row r="83" ht="54.75" customHeight="1">
      <x:c r="A83" s="157">
        <x:v>82</x:v>
      </x:c>
      <x:c r="B83" s="182" t="s">
        <x:v>81</x:v>
      </x:c>
      <x:c r="C83" s="182" t="s">
        <x:v>19</x:v>
      </x:c>
      <x:c r="D83" s="182"/>
      <x:c r="E83" s="158" t="s">
        <x:v>111</x:v>
      </x:c>
      <x:c r="F83" s="159">
        <x:v>90</x:v>
      </x:c>
      <x:c r="G83" s="159">
        <x:v>81</x:v>
      </x:c>
      <x:c r="H83" s="159">
        <x:v>45</x:v>
      </x:c>
      <x:c r="I83" s="160" t="e">
        <x:f>ROUNDUP(PRODUCT(テーブル1[[#This Row],[高さ　H]:[奥行　D]])/10000/4,0)</x:f>
      </x:c>
      <x:c r="J83" s="170"/>
      <x:c r="K83" s="162"/>
      <x:c r="L83" s="163"/>
      <x:c r="M83" s="164">
        <x:f t="shared" si="1"/>
        <x:v>0</x:v>
      </x:c>
      <x:c r="N83" s="165" t="e">
        <x:f>SUM(テーブル1[[#This Row],[容量㎥]]*テーブル1[[#This Row],[数量]]/[2]トラック内寸!$N$4)</x:f>
      </x:c>
      <x:c r="O83" s="165" t="e">
        <x:f>SUM(テーブル1[[#This Row],[容量㎥]]*テーブル1[[#This Row],[数量]]/[2]トラック内寸!$N$7)</x:f>
      </x:c>
      <x:c r="P83" s="166" t="e">
        <x:f>SUM(テーブル1[[#This Row],[容量㎥]]*テーブル1[[#This Row],[数量]]/[2]トラック内寸!$N$10)</x:f>
      </x:c>
      <x:c r="Q83" s="167" t="e">
        <x:f>SUM($I83*$L83/[2]トラック内寸!$N$13)</x:f>
      </x:c>
      <x:c r="R83" s="150" t="e">
        <x:f>IFERROR(テーブル1[[#This Row],[高さ　H]]*テーブル1[[#This Row],[長さ　W]]*テーブル1[[#This Row],[奥行　D]]/1000000,"")</x:f>
      </x:c>
      <x:c r="S83" s="202"/>
    </x:row>
    <x:row r="84" ht="54.75" customHeight="1">
      <x:c r="A84" s="157">
        <x:v>83</x:v>
      </x:c>
      <x:c r="B84" s="182" t="s">
        <x:v>81</x:v>
      </x:c>
      <x:c r="C84" s="182" t="s">
        <x:v>19</x:v>
      </x:c>
      <x:c r="D84" s="182"/>
      <x:c r="E84" s="158" t="s">
        <x:v>112</x:v>
      </x:c>
      <x:c r="F84" s="159">
        <x:v>70</x:v>
      </x:c>
      <x:c r="G84" s="159">
        <x:v>60</x:v>
      </x:c>
      <x:c r="H84" s="159">
        <x:v>50</x:v>
      </x:c>
      <x:c r="I84" s="160" t="e">
        <x:f>ROUNDUP(PRODUCT(テーブル1[[#This Row],[高さ　H]:[奥行　D]])/10000/4,0)</x:f>
      </x:c>
      <x:c r="J84" s="170" t="e">
        <x:f>ROUNDUP((テーブル1[[#This Row],[ポイント　P]]*60%)/$I$122,0)</x:f>
      </x:c>
      <x:c r="K84" s="215"/>
      <x:c r="L84" s="163"/>
      <x:c r="M84" s="164">
        <x:f t="shared" si="1"/>
        <x:v>0</x:v>
      </x:c>
      <x:c r="N84" s="165" t="e">
        <x:f>SUM(テーブル1[[#This Row],[容量㎥]]*テーブル1[[#This Row],[数量]]/[2]トラック内寸!$N$4)</x:f>
      </x:c>
      <x:c r="O84" s="165" t="e">
        <x:f>SUM(テーブル1[[#This Row],[容量㎥]]*テーブル1[[#This Row],[数量]]/[2]トラック内寸!$N$7)</x:f>
      </x:c>
      <x:c r="P84" s="166" t="e">
        <x:f>SUM(テーブル1[[#This Row],[容量㎥]]*テーブル1[[#This Row],[数量]]/[2]トラック内寸!$N$10)</x:f>
      </x:c>
      <x:c r="Q84" s="167" t="e">
        <x:f>SUM($I84*$L84/[2]トラック内寸!$N$13)</x:f>
      </x:c>
      <x:c r="R84" s="150" t="e">
        <x:f>IFERROR(テーブル1[[#This Row],[高さ　H]]*テーブル1[[#This Row],[長さ　W]]*テーブル1[[#This Row],[奥行　D]]/1000000,"")</x:f>
      </x:c>
      <x:c r="S84" s="202"/>
    </x:row>
    <x:row r="85" ht="54.75" customHeight="1">
      <x:c r="A85" s="157">
        <x:v>84</x:v>
      </x:c>
      <x:c r="B85" s="182" t="s">
        <x:v>81</x:v>
      </x:c>
      <x:c r="C85" s="182" t="s">
        <x:v>19</x:v>
      </x:c>
      <x:c r="D85" s="139" t="s">
        <x:v>41</x:v>
      </x:c>
      <x:c r="E85" s="158" t="s">
        <x:v>113</x:v>
      </x:c>
      <x:c r="F85" s="159">
        <x:v>148</x:v>
      </x:c>
      <x:c r="G85" s="159">
        <x:v>28</x:v>
      </x:c>
      <x:c r="H85" s="159">
        <x:v>10</x:v>
      </x:c>
      <x:c r="I85" s="160" t="e">
        <x:f>ROUNDUP(PRODUCT(テーブル1[[#This Row],[高さ　H]:[奥行　D]])/10000/4,0)</x:f>
      </x:c>
      <x:c r="J85" s="170"/>
      <x:c r="K85" s="215"/>
      <x:c r="L85" s="163"/>
      <x:c r="M85" s="164">
        <x:f t="shared" si="1"/>
        <x:v>0</x:v>
      </x:c>
      <x:c r="N85" s="165" t="e">
        <x:f>SUM(テーブル1[[#This Row],[容量㎥]]*テーブル1[[#This Row],[数量]]/[2]トラック内寸!$N$4)</x:f>
      </x:c>
      <x:c r="O85" s="165" t="e">
        <x:f>SUM(テーブル1[[#This Row],[容量㎥]]*テーブル1[[#This Row],[数量]]/[2]トラック内寸!$N$7)</x:f>
      </x:c>
      <x:c r="P85" s="166" t="e">
        <x:f>SUM(テーブル1[[#This Row],[容量㎥]]*テーブル1[[#This Row],[数量]]/[2]トラック内寸!$N$10)</x:f>
      </x:c>
      <x:c r="Q85" s="167" t="e">
        <x:f>SUM($I85*$L85/[2]トラック内寸!$N$13)</x:f>
      </x:c>
      <x:c r="R85" s="150" t="e">
        <x:f>IFERROR(テーブル1[[#This Row],[高さ　H]]*テーブル1[[#This Row],[長さ　W]]*テーブル1[[#This Row],[奥行　D]]/1000000,"")</x:f>
      </x:c>
      <x:c r="S85" s="202"/>
    </x:row>
    <x:row r="86" ht="54.75" customHeight="1">
      <x:c r="A86" s="157">
        <x:v>85</x:v>
      </x:c>
      <x:c r="B86" s="182" t="s">
        <x:v>81</x:v>
      </x:c>
      <x:c r="C86" s="182" t="s">
        <x:v>19</x:v>
      </x:c>
      <x:c r="D86" s="139"/>
      <x:c r="E86" s="216" t="s">
        <x:v>114</x:v>
      </x:c>
      <x:c r="F86" s="159">
        <x:v>112</x:v>
      </x:c>
      <x:c r="G86" s="159">
        <x:v>53</x:v>
      </x:c>
      <x:c r="H86" s="159">
        <x:v>29.5</x:v>
      </x:c>
      <x:c r="I86" s="160" t="e">
        <x:f>ROUNDUP(PRODUCT(テーブル1[[#This Row],[高さ　H]:[奥行　D]])/10000/4,0)</x:f>
      </x:c>
      <x:c r="J86" s="170" t="e">
        <x:f>ROUNDUP((テーブル1[[#This Row],[ポイント　P]]*60%)/$I$122,0)</x:f>
      </x:c>
      <x:c r="K86" s="215"/>
      <x:c r="L86" s="163"/>
      <x:c r="M86" s="164">
        <x:f t="shared" si="1"/>
        <x:v>0</x:v>
      </x:c>
      <x:c r="N86" s="165" t="e">
        <x:f>SUM(テーブル1[[#This Row],[容量㎥]]*テーブル1[[#This Row],[数量]]/[2]トラック内寸!$N$4)</x:f>
      </x:c>
      <x:c r="O86" s="165" t="e">
        <x:f>SUM(テーブル1[[#This Row],[容量㎥]]*テーブル1[[#This Row],[数量]]/[2]トラック内寸!$N$7)</x:f>
      </x:c>
      <x:c r="P86" s="166" t="e">
        <x:f>SUM(テーブル1[[#This Row],[容量㎥]]*テーブル1[[#This Row],[数量]]/[2]トラック内寸!$N$10)</x:f>
      </x:c>
      <x:c r="Q86" s="167" t="e">
        <x:f>SUM($I86*$L86/[2]トラック内寸!$N$13)</x:f>
      </x:c>
      <x:c r="R86" s="150" t="e">
        <x:f>IFERROR(テーブル1[[#This Row],[高さ　H]]*テーブル1[[#This Row],[長さ　W]]*テーブル1[[#This Row],[奥行　D]]/1000000,"")</x:f>
      </x:c>
      <x:c r="S86" s="202"/>
    </x:row>
    <x:row r="87" ht="54.75" customHeight="1">
      <x:c r="A87" s="157">
        <x:v>86</x:v>
      </x:c>
      <x:c r="B87" s="182" t="s">
        <x:v>81</x:v>
      </x:c>
      <x:c r="C87" s="182" t="s">
        <x:v>115</x:v>
      </x:c>
      <x:c r="D87" s="182"/>
      <x:c r="E87" s="158" t="s">
        <x:v>116</x:v>
      </x:c>
      <x:c r="F87" s="159">
        <x:v>40</x:v>
      </x:c>
      <x:c r="G87" s="159">
        <x:v>120</x:v>
      </x:c>
      <x:c r="H87" s="159">
        <x:v>50</x:v>
      </x:c>
      <x:c r="I87" s="160" t="e">
        <x:f>ROUNDUP(PRODUCT(テーブル1[[#This Row],[高さ　H]:[奥行　D]])/10000/4,0)</x:f>
      </x:c>
      <x:c r="J87" s="170"/>
      <x:c r="K87" s="215"/>
      <x:c r="L87" s="163"/>
      <x:c r="M87" s="164">
        <x:f t="shared" si="1"/>
        <x:v>0</x:v>
      </x:c>
      <x:c r="N87" s="165" t="e">
        <x:f>SUM(テーブル1[[#This Row],[容量㎥]]*テーブル1[[#This Row],[数量]]/[2]トラック内寸!$N$4)</x:f>
      </x:c>
      <x:c r="O87" s="165" t="e">
        <x:f>SUM(テーブル1[[#This Row],[容量㎥]]*テーブル1[[#This Row],[数量]]/[2]トラック内寸!$N$7)</x:f>
      </x:c>
      <x:c r="P87" s="166" t="e">
        <x:f>SUM(テーブル1[[#This Row],[容量㎥]]*テーブル1[[#This Row],[数量]]/[2]トラック内寸!$N$10)</x:f>
      </x:c>
      <x:c r="Q87" s="167" t="e">
        <x:f>SUM($I87*$L87/[2]トラック内寸!$N$13)</x:f>
      </x:c>
      <x:c r="R87" s="150" t="e">
        <x:f>IFERROR(テーブル1[[#This Row],[高さ　H]]*テーブル1[[#This Row],[長さ　W]]*テーブル1[[#This Row],[奥行　D]]/1000000,"")</x:f>
      </x:c>
      <x:c r="S87" s="202"/>
    </x:row>
    <x:row r="88" ht="54.75" customHeight="1">
      <x:c r="A88" s="157">
        <x:v>87</x:v>
      </x:c>
      <x:c r="B88" s="182" t="s">
        <x:v>81</x:v>
      </x:c>
      <x:c r="C88" s="182" t="s">
        <x:v>115</x:v>
      </x:c>
      <x:c r="D88" s="139" t="s">
        <x:v>41</x:v>
      </x:c>
      <x:c r="E88" s="158" t="s">
        <x:v>117</x:v>
      </x:c>
      <x:c r="F88" s="159">
        <x:v>20</x:v>
      </x:c>
      <x:c r="G88" s="159">
        <x:v>200</x:v>
      </x:c>
      <x:c r="H88" s="159">
        <x:v>90</x:v>
      </x:c>
      <x:c r="I88" s="160" t="e">
        <x:f>ROUNDUP(PRODUCT(テーブル1[[#This Row],[高さ　H]:[奥行　D]])/10000/4,0)</x:f>
      </x:c>
      <x:c r="J88" s="170"/>
      <x:c r="K88" s="215"/>
      <x:c r="L88" s="163"/>
      <x:c r="M88" s="164">
        <x:f t="shared" si="1"/>
        <x:v>0</x:v>
      </x:c>
      <x:c r="N88" s="165" t="e">
        <x:f>SUM(テーブル1[[#This Row],[容量㎥]]*テーブル1[[#This Row],[数量]]/[2]トラック内寸!$N$4)</x:f>
      </x:c>
      <x:c r="O88" s="165" t="e">
        <x:f>SUM(テーブル1[[#This Row],[容量㎥]]*テーブル1[[#This Row],[数量]]/[2]トラック内寸!$N$7)</x:f>
      </x:c>
      <x:c r="P88" s="166" t="e">
        <x:f>SUM(テーブル1[[#This Row],[容量㎥]]*テーブル1[[#This Row],[数量]]/[2]トラック内寸!$N$10)</x:f>
      </x:c>
      <x:c r="Q88" s="167" t="e">
        <x:f>SUM($I88*$L88/[2]トラック内寸!$N$13)</x:f>
      </x:c>
      <x:c r="R88" s="150" t="e">
        <x:f>IFERROR(テーブル1[[#This Row],[高さ　H]]*テーブル1[[#This Row],[長さ　W]]*テーブル1[[#This Row],[奥行　D]]/1000000,"")</x:f>
      </x:c>
      <x:c r="S88" s="202"/>
    </x:row>
    <x:row r="89" ht="54.75" customHeight="1">
      <x:c r="A89" s="157">
        <x:v>88</x:v>
      </x:c>
      <x:c r="B89" s="182" t="s">
        <x:v>81</x:v>
      </x:c>
      <x:c r="C89" s="182" t="s">
        <x:v>115</x:v>
      </x:c>
      <x:c r="D89" s="139" t="s">
        <x:v>41</x:v>
      </x:c>
      <x:c r="E89" s="158" t="s">
        <x:v>118</x:v>
      </x:c>
      <x:c r="F89" s="159">
        <x:v>40</x:v>
      </x:c>
      <x:c r="G89" s="159">
        <x:v>200</x:v>
      </x:c>
      <x:c r="H89" s="159">
        <x:v>90</x:v>
      </x:c>
      <x:c r="I89" s="160" t="e">
        <x:f>ROUNDUP(PRODUCT(テーブル1[[#This Row],[高さ　H]:[奥行　D]])/10000/4,0)</x:f>
      </x:c>
      <x:c r="J89" s="170" t="e">
        <x:f>ROUNDUP((テーブル1[[#This Row],[ポイント　P]]*60%)/$I$122/2,0)</x:f>
      </x:c>
      <x:c r="K89" s="215"/>
      <x:c r="L89" s="163"/>
      <x:c r="M89" s="164">
        <x:f t="shared" si="1"/>
        <x:v>0</x:v>
      </x:c>
      <x:c r="N89" s="165" t="e">
        <x:f>SUM(テーブル1[[#This Row],[容量㎥]]*テーブル1[[#This Row],[数量]]/[2]トラック内寸!$N$4)</x:f>
      </x:c>
      <x:c r="O89" s="165" t="e">
        <x:f>SUM(テーブル1[[#This Row],[容量㎥]]*テーブル1[[#This Row],[数量]]/[2]トラック内寸!$N$7)</x:f>
      </x:c>
      <x:c r="P89" s="166" t="e">
        <x:f>SUM(テーブル1[[#This Row],[容量㎥]]*テーブル1[[#This Row],[数量]]/[2]トラック内寸!$N$10)</x:f>
      </x:c>
      <x:c r="Q89" s="167" t="e">
        <x:f>SUM($I89*$L89/[2]トラック内寸!$N$13)</x:f>
      </x:c>
      <x:c r="R89" s="150" t="e">
        <x:f>IFERROR(テーブル1[[#This Row],[高さ　H]]*テーブル1[[#This Row],[長さ　W]]*テーブル1[[#This Row],[奥行　D]]/1000000,"")</x:f>
      </x:c>
      <x:c r="S89" s="202"/>
    </x:row>
    <x:row r="90" ht="54.75" customHeight="1">
      <x:c r="A90" s="157">
        <x:v>89</x:v>
      </x:c>
      <x:c r="B90" s="182" t="s">
        <x:v>81</x:v>
      </x:c>
      <x:c r="C90" s="182" t="s">
        <x:v>115</x:v>
      </x:c>
      <x:c r="D90" s="182"/>
      <x:c r="E90" s="158" t="s">
        <x:v>119</x:v>
      </x:c>
      <x:c r="F90" s="159">
        <x:v>30</x:v>
      </x:c>
      <x:c r="G90" s="159">
        <x:v>200</x:v>
      </x:c>
      <x:c r="H90" s="159">
        <x:v>90</x:v>
      </x:c>
      <x:c r="I90" s="160" t="e">
        <x:f>ROUNDUP(PRODUCT(テーブル1[[#This Row],[高さ　H]:[奥行　D]])/10000/4,0)</x:f>
      </x:c>
      <x:c r="J90" s="170"/>
      <x:c r="K90" s="215"/>
      <x:c r="L90" s="163"/>
      <x:c r="M90" s="164">
        <x:f t="shared" si="1"/>
        <x:v>0</x:v>
      </x:c>
      <x:c r="N90" s="165" t="e">
        <x:f>SUM(テーブル1[[#This Row],[容量㎥]]*テーブル1[[#This Row],[数量]]/[2]トラック内寸!$N$4)</x:f>
      </x:c>
      <x:c r="O90" s="165" t="e">
        <x:f>SUM(テーブル1[[#This Row],[容量㎥]]*テーブル1[[#This Row],[数量]]/[2]トラック内寸!$N$7)</x:f>
      </x:c>
      <x:c r="P90" s="166" t="e">
        <x:f>SUM(テーブル1[[#This Row],[容量㎥]]*テーブル1[[#This Row],[数量]]/[2]トラック内寸!$N$10)</x:f>
      </x:c>
      <x:c r="Q90" s="167" t="e">
        <x:f>SUM($I90*$L90/[2]トラック内寸!$N$13)</x:f>
      </x:c>
      <x:c r="R90" s="150" t="e">
        <x:f>IFERROR(テーブル1[[#This Row],[高さ　H]]*テーブル1[[#This Row],[長さ　W]]*テーブル1[[#This Row],[奥行　D]]/1000000,"")</x:f>
      </x:c>
      <x:c r="S90" s="202"/>
    </x:row>
    <x:row r="91" ht="54.75" customHeight="1">
      <x:c r="A91" s="157">
        <x:v>90</x:v>
      </x:c>
      <x:c r="B91" s="182" t="s">
        <x:v>81</x:v>
      </x:c>
      <x:c r="C91" s="182" t="s">
        <x:v>115</x:v>
      </x:c>
      <x:c r="D91" s="182"/>
      <x:c r="E91" s="158" t="s">
        <x:v>120</x:v>
      </x:c>
      <x:c r="F91" s="159">
        <x:v>98</x:v>
      </x:c>
      <x:c r="G91" s="159">
        <x:v>207</x:v>
      </x:c>
      <x:c r="H91" s="159">
        <x:v>98</x:v>
      </x:c>
      <x:c r="I91" s="160" t="e">
        <x:f>ROUNDUP(PRODUCT(テーブル1[[#This Row],[高さ　H]:[奥行　D]])/10000/4,0)</x:f>
      </x:c>
      <x:c r="J91" s="170"/>
      <x:c r="K91" s="215"/>
      <x:c r="L91" s="163"/>
      <x:c r="M91" s="164">
        <x:f t="shared" si="1"/>
        <x:v>0</x:v>
      </x:c>
      <x:c r="N91" s="165" t="e">
        <x:f>SUM(テーブル1[[#This Row],[容量㎥]]*テーブル1[[#This Row],[数量]]/[2]トラック内寸!$N$4)</x:f>
      </x:c>
      <x:c r="O91" s="165" t="e">
        <x:f>SUM(テーブル1[[#This Row],[容量㎥]]*テーブル1[[#This Row],[数量]]/[2]トラック内寸!$N$7)</x:f>
      </x:c>
      <x:c r="P91" s="166" t="e">
        <x:f>SUM(テーブル1[[#This Row],[容量㎥]]*テーブル1[[#This Row],[数量]]/[2]トラック内寸!$N$10)</x:f>
      </x:c>
      <x:c r="Q91" s="167" t="e">
        <x:f>SUM($I91*$L91/[2]トラック内寸!$N$13)</x:f>
      </x:c>
      <x:c r="R91" s="150" t="e">
        <x:f>IFERROR(テーブル1[[#This Row],[高さ　H]]*テーブル1[[#This Row],[長さ　W]]*テーブル1[[#This Row],[奥行　D]]/1000000,"")</x:f>
      </x:c>
      <x:c r="S91" s="202"/>
    </x:row>
    <x:row r="92" ht="54.75" customHeight="1">
      <x:c r="A92" s="157">
        <x:v>91</x:v>
      </x:c>
      <x:c r="B92" s="182" t="s">
        <x:v>81</x:v>
      </x:c>
      <x:c r="C92" s="182" t="s">
        <x:v>75</x:v>
      </x:c>
      <x:c r="D92" s="182"/>
      <x:c r="E92" s="158" t="s">
        <x:v>121</x:v>
      </x:c>
      <x:c r="F92" s="159">
        <x:v>74</x:v>
      </x:c>
      <x:c r="G92" s="159">
        <x:v>52</x:v>
      </x:c>
      <x:c r="H92" s="159">
        <x:v>31</x:v>
      </x:c>
      <x:c r="I92" s="160" t="e">
        <x:f>ROUNDUP(PRODUCT(テーブル1[[#This Row],[高さ　H]:[奥行　D]])/10000/4,0)</x:f>
      </x:c>
      <x:c r="J92" s="170"/>
      <x:c r="K92" s="215"/>
      <x:c r="L92" s="163"/>
      <x:c r="M92" s="164">
        <x:f t="shared" si="1"/>
        <x:v>0</x:v>
      </x:c>
      <x:c r="N92" s="165" t="e">
        <x:f>SUM(テーブル1[[#This Row],[容量㎥]]*テーブル1[[#This Row],[数量]]/[2]トラック内寸!$N$4)</x:f>
      </x:c>
      <x:c r="O92" s="165" t="e">
        <x:f>SUM(テーブル1[[#This Row],[容量㎥]]*テーブル1[[#This Row],[数量]]/[2]トラック内寸!$N$7)</x:f>
      </x:c>
      <x:c r="P92" s="166" t="e">
        <x:f>SUM(テーブル1[[#This Row],[容量㎥]]*テーブル1[[#This Row],[数量]]/[2]トラック内寸!$N$10)</x:f>
      </x:c>
      <x:c r="Q92" s="167" t="e">
        <x:f>SUM($I92*$L92/[2]トラック内寸!$N$13)</x:f>
      </x:c>
      <x:c r="R92" s="150" t="e">
        <x:f>IFERROR(テーブル1[[#This Row],[高さ　H]]*テーブル1[[#This Row],[長さ　W]]*テーブル1[[#This Row],[奥行　D]]/1000000,"")</x:f>
      </x:c>
      <x:c r="S92" s="202"/>
    </x:row>
    <x:row r="93" ht="54.75" customHeight="1">
      <x:c r="A93" s="157">
        <x:v>92</x:v>
      </x:c>
      <x:c r="B93" s="182" t="s">
        <x:v>81</x:v>
      </x:c>
      <x:c r="C93" s="182" t="s">
        <x:v>19</x:v>
      </x:c>
      <x:c r="D93" s="182"/>
      <x:c r="E93" s="158" t="s">
        <x:v>122</x:v>
      </x:c>
      <x:c r="F93" s="159">
        <x:v>45</x:v>
      </x:c>
      <x:c r="G93" s="159">
        <x:v>80</x:v>
      </x:c>
      <x:c r="H93" s="159">
        <x:v>80</x:v>
      </x:c>
      <x:c r="I93" s="160" t="e">
        <x:f>ROUNDUP(PRODUCT(テーブル1[[#This Row],[高さ　H]:[奥行　D]])/10000/4,0)</x:f>
      </x:c>
      <x:c r="J93" s="170"/>
      <x:c r="K93" s="215"/>
      <x:c r="L93" s="163"/>
      <x:c r="M93" s="164">
        <x:f t="shared" si="1"/>
        <x:v>0</x:v>
      </x:c>
      <x:c r="N93" s="165" t="e">
        <x:f>SUM(テーブル1[[#This Row],[容量㎥]]*テーブル1[[#This Row],[数量]]/[2]トラック内寸!$N$4)</x:f>
      </x:c>
      <x:c r="O93" s="165" t="e">
        <x:f>SUM(テーブル1[[#This Row],[容量㎥]]*テーブル1[[#This Row],[数量]]/[2]トラック内寸!$N$7)</x:f>
      </x:c>
      <x:c r="P93" s="166" t="e">
        <x:f>SUM(テーブル1[[#This Row],[容量㎥]]*テーブル1[[#This Row],[数量]]/[2]トラック内寸!$N$10)</x:f>
      </x:c>
      <x:c r="Q93" s="167" t="e">
        <x:f>SUM($I93*$L93/[2]トラック内寸!$N$13)</x:f>
      </x:c>
      <x:c r="R93" s="150" t="e">
        <x:f>IFERROR(テーブル1[[#This Row],[高さ　H]]*テーブル1[[#This Row],[長さ　W]]*テーブル1[[#This Row],[奥行　D]]/1000000,"")</x:f>
      </x:c>
      <x:c r="S93" s="202"/>
    </x:row>
    <x:row r="94" ht="54.75" customHeight="1">
      <x:c r="A94" s="157">
        <x:v>93</x:v>
      </x:c>
      <x:c r="B94" s="182" t="s">
        <x:v>81</x:v>
      </x:c>
      <x:c r="C94" s="182" t="s">
        <x:v>19</x:v>
      </x:c>
      <x:c r="D94" s="182"/>
      <x:c r="E94" s="158" t="s">
        <x:v>123</x:v>
      </x:c>
      <x:c r="F94" s="159">
        <x:v>45</x:v>
      </x:c>
      <x:c r="G94" s="159">
        <x:v>120</x:v>
      </x:c>
      <x:c r="H94" s="159">
        <x:v>80</x:v>
      </x:c>
      <x:c r="I94" s="160" t="e">
        <x:f>ROUNDUP(PRODUCT(テーブル1[[#This Row],[高さ　H]:[奥行　D]])/10000/4,0)</x:f>
      </x:c>
      <x:c r="J94" s="170"/>
      <x:c r="K94" s="215"/>
      <x:c r="L94" s="163"/>
      <x:c r="M94" s="164">
        <x:f t="shared" si="1"/>
        <x:v>0</x:v>
      </x:c>
      <x:c r="N94" s="165" t="e">
        <x:f>SUM(テーブル1[[#This Row],[容量㎥]]*テーブル1[[#This Row],[数量]]/[2]トラック内寸!$N$4)</x:f>
      </x:c>
      <x:c r="O94" s="165" t="e">
        <x:f>SUM(テーブル1[[#This Row],[容量㎥]]*テーブル1[[#This Row],[数量]]/[2]トラック内寸!$N$7)</x:f>
      </x:c>
      <x:c r="P94" s="166" t="e">
        <x:f>SUM(テーブル1[[#This Row],[容量㎥]]*テーブル1[[#This Row],[数量]]/[2]トラック内寸!$N$10)</x:f>
      </x:c>
      <x:c r="Q94" s="167" t="e">
        <x:f>SUM($I94*$L94/[2]トラック内寸!$N$13)</x:f>
      </x:c>
      <x:c r="R94" s="150" t="e">
        <x:f>IFERROR(テーブル1[[#This Row],[高さ　H]]*テーブル1[[#This Row],[長さ　W]]*テーブル1[[#This Row],[奥行　D]]/1000000,"")</x:f>
      </x:c>
      <x:c r="S94" s="202"/>
    </x:row>
    <x:row r="95" ht="54.75" customHeight="1">
      <x:c r="A95" s="157">
        <x:v>94</x:v>
      </x:c>
      <x:c r="B95" s="182" t="s">
        <x:v>124</x:v>
      </x:c>
      <x:c r="C95" s="182" t="s">
        <x:v>37</x:v>
      </x:c>
      <x:c r="D95" s="139" t="s">
        <x:v>41</x:v>
      </x:c>
      <x:c r="E95" s="158" t="s">
        <x:v>125</x:v>
      </x:c>
      <x:c r="F95" s="159">
        <x:v>92</x:v>
      </x:c>
      <x:c r="G95" s="159">
        <x:v>51.5</x:v>
      </x:c>
      <x:c r="H95" s="159">
        <x:v>52.5</x:v>
      </x:c>
      <x:c r="I95" s="160" t="e">
        <x:f>ROUNDUP(PRODUCT(テーブル1[[#This Row],[高さ　H]:[奥行　D]])/10000/4,0)</x:f>
      </x:c>
      <x:c r="J95" s="170"/>
      <x:c r="K95" s="215"/>
      <x:c r="L95" s="163"/>
      <x:c r="M95" s="164">
        <x:f t="shared" si="1"/>
        <x:v>0</x:v>
      </x:c>
      <x:c r="N95" s="165" t="e">
        <x:f>SUM(テーブル1[[#This Row],[容量㎥]]*テーブル1[[#This Row],[数量]]/[2]トラック内寸!$N$4)</x:f>
      </x:c>
      <x:c r="O95" s="165" t="e">
        <x:f>SUM(テーブル1[[#This Row],[容量㎥]]*テーブル1[[#This Row],[数量]]/[2]トラック内寸!$N$7)</x:f>
      </x:c>
      <x:c r="P95" s="166" t="e">
        <x:f>SUM(テーブル1[[#This Row],[容量㎥]]*テーブル1[[#This Row],[数量]]/[2]トラック内寸!$N$10)</x:f>
      </x:c>
      <x:c r="Q95" s="167" t="e">
        <x:f>SUM($I95*$L95/[2]トラック内寸!$N$13)</x:f>
      </x:c>
      <x:c r="R95" s="150" t="e">
        <x:f>IFERROR(テーブル1[[#This Row],[高さ　H]]*テーブル1[[#This Row],[長さ　W]]*テーブル1[[#This Row],[奥行　D]]/1000000,"")</x:f>
      </x:c>
      <x:c r="S95" s="202"/>
    </x:row>
    <x:row r="96" ht="54.75" customHeight="1">
      <x:c r="A96" s="157">
        <x:v>95</x:v>
      </x:c>
      <x:c r="B96" s="182" t="s">
        <x:v>124</x:v>
      </x:c>
      <x:c r="C96" s="182" t="s">
        <x:v>37</x:v>
      </x:c>
      <x:c r="D96" s="139" t="s">
        <x:v>41</x:v>
      </x:c>
      <x:c r="E96" s="158" t="s">
        <x:v>126</x:v>
      </x:c>
      <x:c r="F96" s="159">
        <x:v>100</x:v>
      </x:c>
      <x:c r="G96" s="159">
        <x:v>64</x:v>
      </x:c>
      <x:c r="H96" s="159">
        <x:v>72</x:v>
      </x:c>
      <x:c r="I96" s="160" t="e">
        <x:f>ROUNDUP(PRODUCT(テーブル1[[#This Row],[高さ　H]:[奥行　D]])/10000/4,0)</x:f>
      </x:c>
      <x:c r="J96" s="170"/>
      <x:c r="K96" s="162"/>
      <x:c r="L96" s="163"/>
      <x:c r="M96" s="164">
        <x:f t="shared" si="1"/>
        <x:v>0</x:v>
      </x:c>
      <x:c r="N96" s="165" t="e">
        <x:f>SUM(テーブル1[[#This Row],[容量㎥]]*テーブル1[[#This Row],[数量]]/[2]トラック内寸!$N$4)</x:f>
      </x:c>
      <x:c r="O96" s="165" t="e">
        <x:f>SUM(テーブル1[[#This Row],[容量㎥]]*テーブル1[[#This Row],[数量]]/[2]トラック内寸!$N$7)</x:f>
      </x:c>
      <x:c r="P96" s="166" t="e">
        <x:f>SUM(テーブル1[[#This Row],[容量㎥]]*テーブル1[[#This Row],[数量]]/[2]トラック内寸!$N$10)</x:f>
      </x:c>
      <x:c r="Q96" s="167" t="e">
        <x:f>SUM($I96*$L96/[2]トラック内寸!$N$13)</x:f>
      </x:c>
      <x:c r="R96" s="150" t="e">
        <x:f>IFERROR(テーブル1[[#This Row],[高さ　H]]*テーブル1[[#This Row],[長さ　W]]*テーブル1[[#This Row],[奥行　D]]/1000000,"")</x:f>
      </x:c>
      <x:c r="S96" s="202"/>
    </x:row>
    <x:row r="97" ht="54.75" customHeight="1">
      <x:c r="A97" s="157">
        <x:v>96</x:v>
      </x:c>
      <x:c r="B97" s="182" t="s">
        <x:v>124</x:v>
      </x:c>
      <x:c r="C97" s="182" t="s">
        <x:v>37</x:v>
      </x:c>
      <x:c r="D97" s="182"/>
      <x:c r="E97" s="158" t="s">
        <x:v>127</x:v>
      </x:c>
      <x:c r="F97" s="159">
        <x:v>100</x:v>
      </x:c>
      <x:c r="G97" s="159">
        <x:v>64</x:v>
      </x:c>
      <x:c r="H97" s="159">
        <x:v>72</x:v>
      </x:c>
      <x:c r="I97" s="160" t="e">
        <x:f>ROUNDUP(PRODUCT(テーブル1[[#This Row],[高さ　H]:[奥行　D]])/10000/4,0)</x:f>
      </x:c>
      <x:c r="J97" s="170"/>
      <x:c r="K97" s="215"/>
      <x:c r="L97" s="163"/>
      <x:c r="M97" s="164">
        <x:f t="shared" si="1"/>
        <x:v>0</x:v>
      </x:c>
      <x:c r="N97" s="165" t="e">
        <x:f>SUM(テーブル1[[#This Row],[容量㎥]]*テーブル1[[#This Row],[数量]]/[2]トラック内寸!$N$4)</x:f>
      </x:c>
      <x:c r="O97" s="165" t="e">
        <x:f>SUM(テーブル1[[#This Row],[容量㎥]]*テーブル1[[#This Row],[数量]]/[2]トラック内寸!$N$7)</x:f>
      </x:c>
      <x:c r="P97" s="166" t="e">
        <x:f>SUM(テーブル1[[#This Row],[容量㎥]]*テーブル1[[#This Row],[数量]]/[2]トラック内寸!$N$10)</x:f>
      </x:c>
      <x:c r="Q97" s="167" t="e">
        <x:f>SUM($I97*$L97/[2]トラック内寸!$N$13)</x:f>
      </x:c>
      <x:c r="R97" s="150" t="e">
        <x:f>IFERROR(テーブル1[[#This Row],[高さ　H]]*テーブル1[[#This Row],[長さ　W]]*テーブル1[[#This Row],[奥行　D]]/1000000,"")</x:f>
      </x:c>
      <x:c r="S97" s="202"/>
    </x:row>
    <x:row r="98" ht="54.75" customHeight="1">
      <x:c r="A98" s="157">
        <x:v>97</x:v>
      </x:c>
      <x:c r="B98" s="182" t="s">
        <x:v>128</x:v>
      </x:c>
      <x:c r="C98" s="182" t="s">
        <x:v>37</x:v>
      </x:c>
      <x:c r="D98" s="182"/>
      <x:c r="E98" s="158" t="s">
        <x:v>129</x:v>
      </x:c>
      <x:c r="F98" s="159">
        <x:v>65</x:v>
      </x:c>
      <x:c r="G98" s="159">
        <x:v>42</x:v>
      </x:c>
      <x:c r="H98" s="159">
        <x:v>36</x:v>
      </x:c>
      <x:c r="I98" s="160" t="e">
        <x:f>ROUNDUP(PRODUCT(テーブル1[[#This Row],[高さ　H]:[奥行　D]])/10000/4,0)</x:f>
      </x:c>
      <x:c r="J98" s="170"/>
      <x:c r="K98" s="162"/>
      <x:c r="L98" s="163"/>
      <x:c r="M98" s="164">
        <x:f t="shared" si="1"/>
        <x:v>0</x:v>
      </x:c>
      <x:c r="N98" s="165" t="e">
        <x:f>SUM(テーブル1[[#This Row],[容量㎥]]*テーブル1[[#This Row],[数量]]/[2]トラック内寸!$N$4)</x:f>
      </x:c>
      <x:c r="O98" s="165" t="e">
        <x:f>SUM(テーブル1[[#This Row],[容量㎥]]*テーブル1[[#This Row],[数量]]/[2]トラック内寸!$N$7)</x:f>
      </x:c>
      <x:c r="P98" s="166" t="e">
        <x:f>SUM(テーブル1[[#This Row],[容量㎥]]*テーブル1[[#This Row],[数量]]/[2]トラック内寸!$N$10)</x:f>
      </x:c>
      <x:c r="Q98" s="167" t="e">
        <x:f>SUM($I98*$L98/[2]トラック内寸!$N$13)</x:f>
      </x:c>
      <x:c r="R98" s="150" t="e">
        <x:f>IFERROR(テーブル1[[#This Row],[高さ　H]]*テーブル1[[#This Row],[長さ　W]]*テーブル1[[#This Row],[奥行　D]]/1000000,"")</x:f>
      </x:c>
      <x:c r="S98" s="202"/>
    </x:row>
    <x:row r="99" ht="54.75" customHeight="1">
      <x:c r="A99" s="157">
        <x:v>98</x:v>
      </x:c>
      <x:c r="B99" s="182" t="s">
        <x:v>130</x:v>
      </x:c>
      <x:c r="C99" s="182" t="s">
        <x:v>75</x:v>
      </x:c>
      <x:c r="D99" s="139" t="s">
        <x:v>41</x:v>
      </x:c>
      <x:c r="E99" s="158" t="s">
        <x:v>131</x:v>
      </x:c>
      <x:c r="F99" s="159">
        <x:v>90</x:v>
      </x:c>
      <x:c r="G99" s="159">
        <x:v>140</x:v>
      </x:c>
      <x:c r="H99" s="159">
        <x:v>45</x:v>
      </x:c>
      <x:c r="I99" s="160" t="e">
        <x:f>ROUNDUP(PRODUCT(テーブル1[[#This Row],[高さ　H]:[奥行　D]])/10000/4,0)</x:f>
      </x:c>
      <x:c r="J99" s="170"/>
      <x:c r="K99" s="162"/>
      <x:c r="L99" s="163"/>
      <x:c r="M99" s="164">
        <x:f t="shared" si="1"/>
        <x:v>0</x:v>
      </x:c>
      <x:c r="N99" s="165" t="e">
        <x:f>SUM(テーブル1[[#This Row],[容量㎥]]*テーブル1[[#This Row],[数量]]/[2]トラック内寸!$N$4)</x:f>
      </x:c>
      <x:c r="O99" s="165" t="e">
        <x:f>SUM(テーブル1[[#This Row],[容量㎥]]*テーブル1[[#This Row],[数量]]/[2]トラック内寸!$N$7)</x:f>
      </x:c>
      <x:c r="P99" s="166" t="e">
        <x:f>SUM(テーブル1[[#This Row],[容量㎥]]*テーブル1[[#This Row],[数量]]/[2]トラック内寸!$N$10)</x:f>
      </x:c>
      <x:c r="Q99" s="167" t="e">
        <x:f>SUM($I99*$L99/[2]トラック内寸!$N$13)</x:f>
      </x:c>
      <x:c r="R99" s="150" t="e">
        <x:f>IFERROR(テーブル1[[#This Row],[高さ　H]]*テーブル1[[#This Row],[長さ　W]]*テーブル1[[#This Row],[奥行　D]]/1000000,"")</x:f>
      </x:c>
      <x:c r="S99" s="202"/>
    </x:row>
    <x:row r="100" ht="54.75" customHeight="1">
      <x:c r="A100" s="157">
        <x:v>99</x:v>
      </x:c>
      <x:c r="B100" s="182" t="s">
        <x:v>130</x:v>
      </x:c>
      <x:c r="C100" s="182" t="s">
        <x:v>75</x:v>
      </x:c>
      <x:c r="D100" s="139"/>
      <x:c r="E100" s="216" t="s">
        <x:v>132</x:v>
      </x:c>
      <x:c r="F100" s="159">
        <x:v>45</x:v>
      </x:c>
      <x:c r="G100" s="159">
        <x:v>80</x:v>
      </x:c>
      <x:c r="H100" s="159">
        <x:v>40</x:v>
      </x:c>
      <x:c r="I100" s="160" t="e">
        <x:f>ROUNDUP(PRODUCT(テーブル1[[#This Row],[高さ　H]:[奥行　D]])/10000/4,0)</x:f>
      </x:c>
      <x:c r="J100" s="170"/>
      <x:c r="K100" s="162"/>
      <x:c r="L100" s="163"/>
      <x:c r="M100" s="164">
        <x:f t="shared" si="1"/>
        <x:v>0</x:v>
      </x:c>
      <x:c r="N100" s="165" t="e">
        <x:f>SUM(テーブル1[[#This Row],[容量㎥]]*テーブル1[[#This Row],[数量]]/[2]トラック内寸!$N$4)</x:f>
      </x:c>
      <x:c r="O100" s="165" t="e">
        <x:f>SUM(テーブル1[[#This Row],[容量㎥]]*テーブル1[[#This Row],[数量]]/[2]トラック内寸!$N$7)</x:f>
      </x:c>
      <x:c r="P100" s="166" t="e">
        <x:f>SUM(テーブル1[[#This Row],[容量㎥]]*テーブル1[[#This Row],[数量]]/[2]トラック内寸!$N$10)</x:f>
      </x:c>
      <x:c r="Q100" s="167" t="e">
        <x:f>SUM($I100*$L100/[2]トラック内寸!$N$13)</x:f>
      </x:c>
      <x:c r="R100" s="150" t="e">
        <x:f>IFERROR(テーブル1[[#This Row],[高さ　H]]*テーブル1[[#This Row],[長さ　W]]*テーブル1[[#This Row],[奥行　D]]/1000000,"")</x:f>
      </x:c>
      <x:c r="S100" s="202"/>
    </x:row>
    <x:row r="101" ht="54.75" customHeight="1">
      <x:c r="A101" s="157">
        <x:v>100</x:v>
      </x:c>
      <x:c r="B101" s="182" t="s">
        <x:v>130</x:v>
      </x:c>
      <x:c r="C101" s="182" t="s">
        <x:v>75</x:v>
      </x:c>
      <x:c r="D101" s="182"/>
      <x:c r="E101" s="158" t="s">
        <x:v>133</x:v>
      </x:c>
      <x:c r="F101" s="159"/>
      <x:c r="G101" s="159"/>
      <x:c r="H101" s="159"/>
      <x:c r="I101" s="160" t="e">
        <x:f>ROUNDUP(PRODUCT(テーブル1[[#This Row],[高さ　H]:[奥行　D]])/10000/4,0)</x:f>
      </x:c>
      <x:c r="J101" s="170"/>
      <x:c r="K101" s="162"/>
      <x:c r="L101" s="163"/>
      <x:c r="M101" s="164">
        <x:f t="shared" si="1"/>
        <x:v>0</x:v>
      </x:c>
      <x:c r="N101" s="165" t="e">
        <x:f>SUM(テーブル1[[#This Row],[容量㎥]]*テーブル1[[#This Row],[数量]]/[2]トラック内寸!$N$4)</x:f>
      </x:c>
      <x:c r="O101" s="165" t="e">
        <x:f>SUM(テーブル1[[#This Row],[容量㎥]]*テーブル1[[#This Row],[数量]]/[2]トラック内寸!$N$7)</x:f>
      </x:c>
      <x:c r="P101" s="166" t="e">
        <x:f>SUM(テーブル1[[#This Row],[容量㎥]]*テーブル1[[#This Row],[数量]]/[2]トラック内寸!$N$10)</x:f>
      </x:c>
      <x:c r="Q101" s="167" t="e">
        <x:f>SUM($I101*$L101/[2]トラック内寸!$N$13)</x:f>
      </x:c>
      <x:c r="R101" s="150" t="e">
        <x:f>IFERROR(テーブル1[[#This Row],[高さ　H]]*テーブル1[[#This Row],[長さ　W]]*テーブル1[[#This Row],[奥行　D]]/1000000,"")</x:f>
      </x:c>
      <x:c r="S101" s="202"/>
    </x:row>
    <x:row r="102" ht="54.75" customHeight="1">
      <x:c r="A102" s="157">
        <x:v>101</x:v>
      </x:c>
      <x:c r="B102" s="182" t="s">
        <x:v>130</x:v>
      </x:c>
      <x:c r="C102" s="182" t="s">
        <x:v>75</x:v>
      </x:c>
      <x:c r="D102" s="182"/>
      <x:c r="E102" s="158" t="s">
        <x:v>134</x:v>
      </x:c>
      <x:c r="F102" s="159">
        <x:v>160</x:v>
      </x:c>
      <x:c r="G102" s="159">
        <x:v>20</x:v>
      </x:c>
      <x:c r="H102" s="159">
        <x:v>10</x:v>
      </x:c>
      <x:c r="I102" s="160" t="e">
        <x:f>ROUNDUP(PRODUCT(テーブル1[[#This Row],[高さ　H]:[奥行　D]])/10000/4,0)</x:f>
      </x:c>
      <x:c r="J102" s="170"/>
      <x:c r="K102" s="162"/>
      <x:c r="L102" s="163"/>
      <x:c r="M102" s="164">
        <x:f t="shared" si="1"/>
        <x:v>0</x:v>
      </x:c>
      <x:c r="N102" s="165" t="e">
        <x:f>SUM(テーブル1[[#This Row],[容量㎥]]*テーブル1[[#This Row],[数量]]/[2]トラック内寸!$N$4)</x:f>
      </x:c>
      <x:c r="O102" s="165" t="e">
        <x:f>SUM(テーブル1[[#This Row],[容量㎥]]*テーブル1[[#This Row],[数量]]/[2]トラック内寸!$N$7)</x:f>
      </x:c>
      <x:c r="P102" s="166" t="e">
        <x:f>SUM(テーブル1[[#This Row],[容量㎥]]*テーブル1[[#This Row],[数量]]/[2]トラック内寸!$N$10)</x:f>
      </x:c>
      <x:c r="Q102" s="167" t="e">
        <x:f>SUM($I102*$L102/[2]トラック内寸!$N$13)</x:f>
      </x:c>
      <x:c r="R102" s="150" t="e">
        <x:f>IFERROR(テーブル1[[#This Row],[高さ　H]]*テーブル1[[#This Row],[長さ　W]]*テーブル1[[#This Row],[奥行　D]]/1000000,"")</x:f>
      </x:c>
      <x:c r="S102" s="202"/>
    </x:row>
    <x:row r="103" ht="54.75" customHeight="1">
      <x:c r="A103" s="157">
        <x:v>102</x:v>
      </x:c>
      <x:c r="B103" s="182" t="s">
        <x:v>130</x:v>
      </x:c>
      <x:c r="C103" s="182" t="s">
        <x:v>75</x:v>
      </x:c>
      <x:c r="D103" s="182"/>
      <x:c r="E103" s="158" t="s">
        <x:v>135</x:v>
      </x:c>
      <x:c r="F103" s="159">
        <x:v>160</x:v>
      </x:c>
      <x:c r="G103" s="159">
        <x:v>30</x:v>
      </x:c>
      <x:c r="H103" s="159">
        <x:v>10</x:v>
      </x:c>
      <x:c r="I103" s="160" t="e">
        <x:f>ROUNDUP(PRODUCT(テーブル1[[#This Row],[高さ　H]:[奥行　D]])/10000/4,0)</x:f>
      </x:c>
      <x:c r="J103" s="170"/>
      <x:c r="K103" s="162"/>
      <x:c r="L103" s="163"/>
      <x:c r="M103" s="164">
        <x:f t="shared" si="1"/>
        <x:v>0</x:v>
      </x:c>
      <x:c r="N103" s="165" t="e">
        <x:f>SUM(テーブル1[[#This Row],[容量㎥]]*テーブル1[[#This Row],[数量]]/[2]トラック内寸!$N$4)</x:f>
      </x:c>
      <x:c r="O103" s="165" t="e">
        <x:f>SUM(テーブル1[[#This Row],[容量㎥]]*テーブル1[[#This Row],[数量]]/[2]トラック内寸!$N$7)</x:f>
      </x:c>
      <x:c r="P103" s="166" t="e">
        <x:f>SUM(テーブル1[[#This Row],[容量㎥]]*テーブル1[[#This Row],[数量]]/[2]トラック内寸!$N$10)</x:f>
      </x:c>
      <x:c r="Q103" s="167" t="e">
        <x:f>SUM($I103*$L103/[2]トラック内寸!$N$13)</x:f>
      </x:c>
      <x:c r="R103" s="150" t="e">
        <x:f>IFERROR(テーブル1[[#This Row],[高さ　H]]*テーブル1[[#This Row],[長さ　W]]*テーブル1[[#This Row],[奥行　D]]/1000000,"")</x:f>
      </x:c>
      <x:c r="S103" s="202"/>
    </x:row>
    <x:row r="104" ht="54.75" customHeight="1">
      <x:c r="A104" s="157">
        <x:v>103</x:v>
      </x:c>
      <x:c r="B104" s="182" t="s">
        <x:v>130</x:v>
      </x:c>
      <x:c r="C104" s="182" t="s">
        <x:v>75</x:v>
      </x:c>
      <x:c r="D104" s="182"/>
      <x:c r="E104" s="158" t="s">
        <x:v>136</x:v>
      </x:c>
      <x:c r="F104" s="159">
        <x:v>130</x:v>
      </x:c>
      <x:c r="G104" s="159">
        <x:v>45</x:v>
      </x:c>
      <x:c r="H104" s="159">
        <x:v>45</x:v>
      </x:c>
      <x:c r="I104" s="160" t="e">
        <x:f>ROUNDUP(PRODUCT(テーブル1[[#This Row],[高さ　H]:[奥行　D]])/10000/4,0)</x:f>
      </x:c>
      <x:c r="J104" s="170"/>
      <x:c r="K104" s="162"/>
      <x:c r="L104" s="163"/>
      <x:c r="M104" s="164">
        <x:f t="shared" si="1"/>
        <x:v>0</x:v>
      </x:c>
      <x:c r="N104" s="165" t="e">
        <x:f>SUM(テーブル1[[#This Row],[容量㎥]]*テーブル1[[#This Row],[数量]]/[2]トラック内寸!$N$4)</x:f>
      </x:c>
      <x:c r="O104" s="165" t="e">
        <x:f>SUM(テーブル1[[#This Row],[容量㎥]]*テーブル1[[#This Row],[数量]]/[2]トラック内寸!$N$7)</x:f>
      </x:c>
      <x:c r="P104" s="166" t="e">
        <x:f>SUM(テーブル1[[#This Row],[容量㎥]]*テーブル1[[#This Row],[数量]]/[2]トラック内寸!$N$10)</x:f>
      </x:c>
      <x:c r="Q104" s="167" t="e">
        <x:f>SUM($I104*$L104/[2]トラック内寸!$N$13)</x:f>
      </x:c>
      <x:c r="R104" s="150" t="e">
        <x:f>IFERROR(テーブル1[[#This Row],[高さ　H]]*テーブル1[[#This Row],[長さ　W]]*テーブル1[[#This Row],[奥行　D]]/1000000,"")</x:f>
      </x:c>
      <x:c r="S104" s="202"/>
    </x:row>
    <x:row r="105" ht="54.75" customHeight="1">
      <x:c r="A105" s="157">
        <x:v>104</x:v>
      </x:c>
      <x:c r="B105" s="182" t="s">
        <x:v>130</x:v>
      </x:c>
      <x:c r="C105" s="182" t="s">
        <x:v>75</x:v>
      </x:c>
      <x:c r="D105" s="182"/>
      <x:c r="E105" s="158" t="s">
        <x:v>137</x:v>
      </x:c>
      <x:c r="F105" s="159">
        <x:v>120</x:v>
      </x:c>
      <x:c r="G105" s="159">
        <x:v>60</x:v>
      </x:c>
      <x:c r="H105" s="159">
        <x:v>60</x:v>
      </x:c>
      <x:c r="I105" s="160" t="e">
        <x:f>ROUNDUP(PRODUCT(テーブル1[[#This Row],[高さ　H]:[奥行　D]])/10000/4,0)</x:f>
      </x:c>
      <x:c r="J105" s="170"/>
      <x:c r="K105" s="162"/>
      <x:c r="L105" s="163"/>
      <x:c r="M105" s="164">
        <x:f t="shared" si="1"/>
        <x:v>0</x:v>
      </x:c>
      <x:c r="N105" s="165" t="e">
        <x:f>SUM(テーブル1[[#This Row],[容量㎥]]*テーブル1[[#This Row],[数量]]/[2]トラック内寸!$N$4)</x:f>
      </x:c>
      <x:c r="O105" s="165" t="e">
        <x:f>SUM(テーブル1[[#This Row],[容量㎥]]*テーブル1[[#This Row],[数量]]/[2]トラック内寸!$N$7)</x:f>
      </x:c>
      <x:c r="P105" s="166" t="e">
        <x:f>SUM(テーブル1[[#This Row],[容量㎥]]*テーブル1[[#This Row],[数量]]/[2]トラック内寸!$N$10)</x:f>
      </x:c>
      <x:c r="Q105" s="167" t="e">
        <x:f>SUM($I105*$L105/[2]トラック内寸!$N$13)</x:f>
      </x:c>
      <x:c r="R105" s="150" t="e">
        <x:f>IFERROR(テーブル1[[#This Row],[高さ　H]]*テーブル1[[#This Row],[長さ　W]]*テーブル1[[#This Row],[奥行　D]]/1000000,"")</x:f>
      </x:c>
      <x:c r="S105" s="202"/>
    </x:row>
    <x:row r="106" ht="54.75" customHeight="1">
      <x:c r="A106" s="157">
        <x:v>105</x:v>
      </x:c>
      <x:c r="B106" s="182" t="s">
        <x:v>130</x:v>
      </x:c>
      <x:c r="C106" s="182" t="s">
        <x:v>75</x:v>
      </x:c>
      <x:c r="D106" s="182"/>
      <x:c r="E106" s="158" t="s">
        <x:v>138</x:v>
      </x:c>
      <x:c r="F106" s="159">
        <x:v>40</x:v>
      </x:c>
      <x:c r="G106" s="159">
        <x:v>50</x:v>
      </x:c>
      <x:c r="H106" s="159">
        <x:v>20</x:v>
      </x:c>
      <x:c r="I106" s="160" t="e">
        <x:f>ROUNDUP(PRODUCT(テーブル1[[#This Row],[高さ　H]:[奥行　D]])/10000/4,0)</x:f>
      </x:c>
      <x:c r="J106" s="170"/>
      <x:c r="K106" s="162"/>
      <x:c r="L106" s="163"/>
      <x:c r="M106" s="164">
        <x:f t="shared" si="1"/>
        <x:v>0</x:v>
      </x:c>
      <x:c r="N106" s="165" t="e">
        <x:f>SUM(テーブル1[[#This Row],[容量㎥]]*テーブル1[[#This Row],[数量]]/[2]トラック内寸!$N$4)</x:f>
      </x:c>
      <x:c r="O106" s="165" t="e">
        <x:f>SUM(テーブル1[[#This Row],[容量㎥]]*テーブル1[[#This Row],[数量]]/[2]トラック内寸!$N$7)</x:f>
      </x:c>
      <x:c r="P106" s="166" t="e">
        <x:f>SUM(テーブル1[[#This Row],[容量㎥]]*テーブル1[[#This Row],[数量]]/[2]トラック内寸!$N$10)</x:f>
      </x:c>
      <x:c r="Q106" s="167" t="e">
        <x:f>SUM($I106*$L106/[2]トラック内寸!$N$13)</x:f>
      </x:c>
      <x:c r="R106" s="150" t="e">
        <x:f>IFERROR(テーブル1[[#This Row],[高さ　H]]*テーブル1[[#This Row],[長さ　W]]*テーブル1[[#This Row],[奥行　D]]/1000000,"")</x:f>
      </x:c>
      <x:c r="S106" s="202"/>
    </x:row>
    <x:row r="107" ht="54.75" customHeight="1">
      <x:c r="A107" s="157">
        <x:v>106</x:v>
      </x:c>
      <x:c r="B107" s="182" t="s">
        <x:v>18</x:v>
      </x:c>
      <x:c r="C107" s="182" t="s">
        <x:v>75</x:v>
      </x:c>
      <x:c r="D107" s="182"/>
      <x:c r="E107" s="158" t="s">
        <x:v>139</x:v>
      </x:c>
      <x:c r="F107" s="159">
        <x:v>50</x:v>
      </x:c>
      <x:c r="G107" s="159">
        <x:v>50</x:v>
      </x:c>
      <x:c r="H107" s="159">
        <x:v>5</x:v>
      </x:c>
      <x:c r="I107" s="160" t="e">
        <x:f>ROUNDUP(PRODUCT(テーブル1[[#This Row],[高さ　H]:[奥行　D]])/10000/4,0)</x:f>
      </x:c>
      <x:c r="J107" s="170"/>
      <x:c r="K107" s="162"/>
      <x:c r="L107" s="163"/>
      <x:c r="M107" s="164">
        <x:f t="shared" si="1"/>
        <x:v>0</x:v>
      </x:c>
      <x:c r="N107" s="165" t="e">
        <x:f>SUM(テーブル1[[#This Row],[容量㎥]]*テーブル1[[#This Row],[数量]]/[2]トラック内寸!$N$4)</x:f>
      </x:c>
      <x:c r="O107" s="165" t="e">
        <x:f>SUM(テーブル1[[#This Row],[容量㎥]]*テーブル1[[#This Row],[数量]]/[2]トラック内寸!$N$7)</x:f>
      </x:c>
      <x:c r="P107" s="166" t="e">
        <x:f>SUM(テーブル1[[#This Row],[容量㎥]]*テーブル1[[#This Row],[数量]]/[2]トラック内寸!$N$10)</x:f>
      </x:c>
      <x:c r="Q107" s="167" t="e">
        <x:f>SUM($I107*$L107/[2]トラック内寸!$N$13)</x:f>
      </x:c>
      <x:c r="R107" s="150" t="e">
        <x:f>IFERROR(テーブル1[[#This Row],[高さ　H]]*テーブル1[[#This Row],[長さ　W]]*テーブル1[[#This Row],[奥行　D]]/1000000,"")</x:f>
      </x:c>
      <x:c r="S107" s="202"/>
    </x:row>
    <x:row r="108" ht="54.75" customHeight="1">
      <x:c r="A108" s="157">
        <x:v>107</x:v>
      </x:c>
      <x:c r="B108" s="182" t="s">
        <x:v>130</x:v>
      </x:c>
      <x:c r="C108" s="182" t="s">
        <x:v>75</x:v>
      </x:c>
      <x:c r="D108" s="139" t="s">
        <x:v>41</x:v>
      </x:c>
      <x:c r="E108" s="158" t="s">
        <x:v>140</x:v>
      </x:c>
      <x:c r="F108" s="159">
        <x:v>60</x:v>
      </x:c>
      <x:c r="G108" s="159">
        <x:v>42</x:v>
      </x:c>
      <x:c r="H108" s="159">
        <x:v>36</x:v>
      </x:c>
      <x:c r="I108" s="160" t="e">
        <x:f>ROUNDUP(PRODUCT(テーブル1[[#This Row],[高さ　H]:[奥行　D]])/10000/4,0)</x:f>
      </x:c>
      <x:c r="J108" s="170"/>
      <x:c r="K108" s="162"/>
      <x:c r="L108" s="163"/>
      <x:c r="M108" s="164">
        <x:f t="shared" si="1"/>
        <x:v>0</x:v>
      </x:c>
      <x:c r="N108" s="165" t="e">
        <x:f>SUM(テーブル1[[#This Row],[容量㎥]]*テーブル1[[#This Row],[数量]]/[2]トラック内寸!$N$4)</x:f>
      </x:c>
      <x:c r="O108" s="165" t="e">
        <x:f>SUM(テーブル1[[#This Row],[容量㎥]]*テーブル1[[#This Row],[数量]]/[2]トラック内寸!$N$7)</x:f>
      </x:c>
      <x:c r="P108" s="166" t="e">
        <x:f>SUM(テーブル1[[#This Row],[容量㎥]]*テーブル1[[#This Row],[数量]]/[2]トラック内寸!$N$10)</x:f>
      </x:c>
      <x:c r="Q108" s="167" t="e">
        <x:f>SUM($I108*$L108/[2]トラック内寸!$N$13)</x:f>
      </x:c>
      <x:c r="R108" s="150" t="e">
        <x:f>IFERROR(テーブル1[[#This Row],[高さ　H]]*テーブル1[[#This Row],[長さ　W]]*テーブル1[[#This Row],[奥行　D]]/1000000,"")</x:f>
      </x:c>
      <x:c r="S108" s="202"/>
    </x:row>
    <x:row r="109" ht="54.75" customHeight="1">
      <x:c r="A109" s="157">
        <x:v>108</x:v>
      </x:c>
      <x:c r="B109" s="182" t="s">
        <x:v>130</x:v>
      </x:c>
      <x:c r="C109" s="182" t="s">
        <x:v>75</x:v>
      </x:c>
      <x:c r="D109" s="182"/>
      <x:c r="E109" s="158" t="s">
        <x:v>141</x:v>
      </x:c>
      <x:c r="F109" s="159">
        <x:v>70</x:v>
      </x:c>
      <x:c r="G109" s="159">
        <x:v>70</x:v>
      </x:c>
      <x:c r="H109" s="159">
        <x:v>45</x:v>
      </x:c>
      <x:c r="I109" s="160" t="e">
        <x:f>ROUNDUP(PRODUCT(テーブル1[[#This Row],[高さ　H]:[奥行　D]])/10000/4,0)</x:f>
      </x:c>
      <x:c r="J109" s="170"/>
      <x:c r="K109" s="162"/>
      <x:c r="L109" s="163"/>
      <x:c r="M109" s="164">
        <x:f t="shared" si="1"/>
        <x:v>0</x:v>
      </x:c>
      <x:c r="N109" s="165" t="e">
        <x:f>SUM(テーブル1[[#This Row],[容量㎥]]*テーブル1[[#This Row],[数量]]/[2]トラック内寸!$N$4)</x:f>
      </x:c>
      <x:c r="O109" s="165" t="e">
        <x:f>SUM(テーブル1[[#This Row],[容量㎥]]*テーブル1[[#This Row],[数量]]/[2]トラック内寸!$N$7)</x:f>
      </x:c>
      <x:c r="P109" s="166" t="e">
        <x:f>SUM(テーブル1[[#This Row],[容量㎥]]*テーブル1[[#This Row],[数量]]/[2]トラック内寸!$N$10)</x:f>
      </x:c>
      <x:c r="Q109" s="167" t="e">
        <x:f>SUM($I109*$L109/[2]トラック内寸!$N$13)</x:f>
      </x:c>
      <x:c r="R109" s="150" t="e">
        <x:f>IFERROR(テーブル1[[#This Row],[高さ　H]]*テーブル1[[#This Row],[長さ　W]]*テーブル1[[#This Row],[奥行　D]]/1000000,"")</x:f>
      </x:c>
      <x:c r="S109" s="202"/>
    </x:row>
    <x:row r="110" ht="54.75" customHeight="1">
      <x:c r="A110" s="157">
        <x:v>109</x:v>
      </x:c>
      <x:c r="B110" s="182" t="s">
        <x:v>130</x:v>
      </x:c>
      <x:c r="C110" s="182" t="s">
        <x:v>75</x:v>
      </x:c>
      <x:c r="D110" s="139"/>
      <x:c r="E110" s="216" t="s">
        <x:v>142</x:v>
      </x:c>
      <x:c r="F110" s="159">
        <x:v>5</x:v>
      </x:c>
      <x:c r="G110" s="159">
        <x:v>200</x:v>
      </x:c>
      <x:c r="H110" s="159">
        <x:v>5</x:v>
      </x:c>
      <x:c r="I110" s="160" t="e">
        <x:f>ROUNDUP(PRODUCT(テーブル1[[#This Row],[高さ　H]:[奥行　D]])/10000/4,0)</x:f>
      </x:c>
      <x:c r="J110" s="170"/>
      <x:c r="K110" s="162"/>
      <x:c r="L110" s="163"/>
      <x:c r="M110" s="164">
        <x:f t="shared" si="1"/>
        <x:v>0</x:v>
      </x:c>
      <x:c r="N110" s="165" t="e">
        <x:f>SUM(テーブル1[[#This Row],[容量㎥]]*テーブル1[[#This Row],[数量]]/[2]トラック内寸!$N$4)</x:f>
      </x:c>
      <x:c r="O110" s="165" t="e">
        <x:f>SUM(テーブル1[[#This Row],[容量㎥]]*テーブル1[[#This Row],[数量]]/[2]トラック内寸!$N$7)</x:f>
      </x:c>
      <x:c r="P110" s="166" t="e">
        <x:f>SUM(テーブル1[[#This Row],[容量㎥]]*テーブル1[[#This Row],[数量]]/[2]トラック内寸!$N$10)</x:f>
      </x:c>
      <x:c r="Q110" s="167" t="e">
        <x:f>SUM($I110*$L110/[2]トラック内寸!$N$13)</x:f>
      </x:c>
      <x:c r="R110" s="150" t="e">
        <x:f>IFERROR(テーブル1[[#This Row],[高さ　H]]*テーブル1[[#This Row],[長さ　W]]*テーブル1[[#This Row],[奥行　D]]/1000000,"")</x:f>
      </x:c>
      <x:c r="S110" s="202"/>
    </x:row>
    <x:row r="111" ht="54.75" customHeight="1">
      <x:c r="A111" s="157">
        <x:v>110</x:v>
      </x:c>
      <x:c r="B111" s="182" t="s">
        <x:v>81</x:v>
      </x:c>
      <x:c r="C111" s="182" t="s">
        <x:v>75</x:v>
      </x:c>
      <x:c r="D111" s="182"/>
      <x:c r="E111" s="158" t="s">
        <x:v>143</x:v>
      </x:c>
      <x:c r="F111" s="159">
        <x:v>30</x:v>
      </x:c>
      <x:c r="G111" s="159">
        <x:v>40</x:v>
      </x:c>
      <x:c r="H111" s="159">
        <x:v>30</x:v>
      </x:c>
      <x:c r="I111" s="160" t="e">
        <x:f>ROUNDUP(PRODUCT(テーブル1[[#This Row],[高さ　H]:[奥行　D]])/10000/4,0)</x:f>
      </x:c>
      <x:c r="J111" s="170"/>
      <x:c r="K111" s="162"/>
      <x:c r="L111" s="163"/>
      <x:c r="M111" s="164">
        <x:f t="shared" si="1"/>
        <x:v>0</x:v>
      </x:c>
      <x:c r="N111" s="165" t="e">
        <x:f>SUM(テーブル1[[#This Row],[容量㎥]]*テーブル1[[#This Row],[数量]]/[2]トラック内寸!$N$4)</x:f>
      </x:c>
      <x:c r="O111" s="165" t="e">
        <x:f>SUM(テーブル1[[#This Row],[容量㎥]]*テーブル1[[#This Row],[数量]]/[2]トラック内寸!$N$7)</x:f>
      </x:c>
      <x:c r="P111" s="166" t="e">
        <x:f>SUM(テーブル1[[#This Row],[容量㎥]]*テーブル1[[#This Row],[数量]]/[2]トラック内寸!$N$10)</x:f>
      </x:c>
      <x:c r="Q111" s="167" t="e">
        <x:f>SUM($I111*$L111/[2]トラック内寸!$N$13)</x:f>
      </x:c>
      <x:c r="R111" s="150" t="e">
        <x:f>IFERROR(テーブル1[[#This Row],[高さ　H]]*テーブル1[[#This Row],[長さ　W]]*テーブル1[[#This Row],[奥行　D]]/1000000,"")</x:f>
      </x:c>
      <x:c r="S111" s="202"/>
    </x:row>
    <x:row r="112" ht="54.75" customHeight="1">
      <x:c r="A112" s="157">
        <x:v>111</x:v>
      </x:c>
      <x:c r="B112" s="182" t="s">
        <x:v>144</x:v>
      </x:c>
      <x:c r="C112" s="182" t="s">
        <x:v>19</x:v>
      </x:c>
      <x:c r="D112" s="182"/>
      <x:c r="E112" s="158" t="s">
        <x:v>145</x:v>
      </x:c>
      <x:c r="F112" s="159">
        <x:v>90</x:v>
      </x:c>
      <x:c r="G112" s="159">
        <x:v>50</x:v>
      </x:c>
      <x:c r="H112" s="159">
        <x:v>40</x:v>
      </x:c>
      <x:c r="I112" s="160" t="e">
        <x:f>ROUNDUP(PRODUCT(テーブル1[[#This Row],[高さ　H]:[奥行　D]])/10000/4,0)</x:f>
      </x:c>
      <x:c r="J112" s="170"/>
      <x:c r="K112" s="162"/>
      <x:c r="L112" s="163"/>
      <x:c r="M112" s="164">
        <x:f t="shared" si="1"/>
        <x:v>0</x:v>
      </x:c>
      <x:c r="N112" s="165" t="e">
        <x:f>SUM(テーブル1[[#This Row],[容量㎥]]*テーブル1[[#This Row],[数量]]/[2]トラック内寸!$N$4)</x:f>
      </x:c>
      <x:c r="O112" s="165" t="e">
        <x:f>SUM(テーブル1[[#This Row],[容量㎥]]*テーブル1[[#This Row],[数量]]/[2]トラック内寸!$N$7)</x:f>
      </x:c>
      <x:c r="P112" s="166" t="e">
        <x:f>SUM(テーブル1[[#This Row],[容量㎥]]*テーブル1[[#This Row],[数量]]/[2]トラック内寸!$N$10)</x:f>
      </x:c>
      <x:c r="Q112" s="167" t="e">
        <x:f>SUM($I112*$L112/[2]トラック内寸!$N$13)</x:f>
      </x:c>
      <x:c r="R112" s="150" t="e">
        <x:f>IFERROR(テーブル1[[#This Row],[高さ　H]]*テーブル1[[#This Row],[長さ　W]]*テーブル1[[#This Row],[奥行　D]]/1000000,"")</x:f>
      </x:c>
      <x:c r="S112" s="202"/>
    </x:row>
    <x:row r="113" ht="54.75" customHeight="1">
      <x:c r="A113" s="157">
        <x:v>112</x:v>
      </x:c>
      <x:c r="B113" s="182" t="s">
        <x:v>144</x:v>
      </x:c>
      <x:c r="C113" s="182" t="s">
        <x:v>75</x:v>
      </x:c>
      <x:c r="D113" s="182"/>
      <x:c r="E113" s="158" t="s">
        <x:v>146</x:v>
      </x:c>
      <x:c r="F113" s="159">
        <x:v>60</x:v>
      </x:c>
      <x:c r="G113" s="159">
        <x:v>30</x:v>
      </x:c>
      <x:c r="H113" s="159">
        <x:v>30</x:v>
      </x:c>
      <x:c r="I113" s="160" t="e">
        <x:f>ROUNDUP(PRODUCT(テーブル1[[#This Row],[高さ　H]:[奥行　D]])/10000/4,0)</x:f>
      </x:c>
      <x:c r="J113" s="170"/>
      <x:c r="K113" s="162"/>
      <x:c r="L113" s="163"/>
      <x:c r="M113" s="164">
        <x:f t="shared" si="1"/>
        <x:v>0</x:v>
      </x:c>
      <x:c r="N113" s="165" t="e">
        <x:f>SUM(テーブル1[[#This Row],[容量㎥]]*テーブル1[[#This Row],[数量]]/[2]トラック内寸!$N$4)</x:f>
      </x:c>
      <x:c r="O113" s="165" t="e">
        <x:f>SUM(テーブル1[[#This Row],[容量㎥]]*テーブル1[[#This Row],[数量]]/[2]トラック内寸!$N$7)</x:f>
      </x:c>
      <x:c r="P113" s="166" t="e">
        <x:f>SUM(テーブル1[[#This Row],[容量㎥]]*テーブル1[[#This Row],[数量]]/[2]トラック内寸!$N$10)</x:f>
      </x:c>
      <x:c r="Q113" s="167" t="e">
        <x:f>SUM($I113*$L113/[2]トラック内寸!$N$13)</x:f>
      </x:c>
      <x:c r="R113" s="150" t="e">
        <x:f>IFERROR(テーブル1[[#This Row],[高さ　H]]*テーブル1[[#This Row],[長さ　W]]*テーブル1[[#This Row],[奥行　D]]/1000000,"")</x:f>
      </x:c>
      <x:c r="S113" s="202"/>
    </x:row>
    <x:row r="114" ht="54.75" customHeight="1">
      <x:c r="A114" s="157">
        <x:v>113</x:v>
      </x:c>
      <x:c r="B114" s="212" t="s">
        <x:v>18</x:v>
      </x:c>
      <x:c r="C114" s="212" t="s">
        <x:v>19</x:v>
      </x:c>
      <x:c r="D114" s="212"/>
      <x:c r="E114" s="214" t="s">
        <x:v>147</x:v>
      </x:c>
      <x:c r="F114" s="159">
        <x:v>78</x:v>
      </x:c>
      <x:c r="G114" s="159">
        <x:v>42.5</x:v>
      </x:c>
      <x:c r="H114" s="159">
        <x:v>48.5</x:v>
      </x:c>
      <x:c r="I114" s="160" t="e">
        <x:f>ROUNDUP(PRODUCT(テーブル1[[#This Row],[高さ　H]:[奥行　D]])/10000/4,0)</x:f>
      </x:c>
      <x:c r="J114" s="217"/>
      <x:c r="K114" s="162"/>
      <x:c r="L114" s="163"/>
      <x:c r="M114" s="164">
        <x:f t="shared" si="1"/>
        <x:v>0</x:v>
      </x:c>
      <x:c r="N114" s="165" t="e">
        <x:f>SUM(テーブル1[[#This Row],[容量㎥]]*テーブル1[[#This Row],[数量]]/[2]トラック内寸!$N$4)</x:f>
      </x:c>
      <x:c r="O114" s="165" t="e">
        <x:f>SUM(テーブル1[[#This Row],[容量㎥]]*テーブル1[[#This Row],[数量]]/[2]トラック内寸!$N$7)</x:f>
      </x:c>
      <x:c r="P114" s="166" t="e">
        <x:f>SUM(テーブル1[[#This Row],[容量㎥]]*テーブル1[[#This Row],[数量]]/[2]トラック内寸!$N$10)</x:f>
      </x:c>
      <x:c r="Q114" s="167" t="e">
        <x:f>SUM($I114*$L114/[2]トラック内寸!$N$13)</x:f>
      </x:c>
      <x:c r="R114" s="150" t="e">
        <x:f>IFERROR(テーブル1[[#This Row],[高さ　H]]*テーブル1[[#This Row],[長さ　W]]*テーブル1[[#This Row],[奥行　D]]/1000000,"")</x:f>
      </x:c>
      <x:c r="S114" s="202"/>
    </x:row>
    <x:row r="115" ht="54.75" customHeight="1">
      <x:c r="A115" s="157">
        <x:v>114</x:v>
      </x:c>
      <x:c r="B115" s="182"/>
      <x:c r="C115" s="182"/>
      <x:c r="D115" s="182"/>
      <x:c r="E115" s="158"/>
      <x:c r="F115" s="159">
        <x:v>175</x:v>
      </x:c>
      <x:c r="G115" s="159">
        <x:v>57</x:v>
      </x:c>
      <x:c r="H115" s="159">
        <x:v>40</x:v>
      </x:c>
      <x:c r="I115" s="160" t="e">
        <x:f>ROUNDUP(PRODUCT(テーブル1[[#This Row],[高さ　H]:[奥行　D]])/10000/4,0)</x:f>
      </x:c>
      <x:c r="J115" s="170"/>
      <x:c r="K115" s="162"/>
      <x:c r="L115" s="163"/>
      <x:c r="M115" s="164">
        <x:f t="shared" si="1"/>
        <x:v>0</x:v>
      </x:c>
      <x:c r="N115" s="165" t="e">
        <x:f>SUM(テーブル1[[#This Row],[容量㎥]]*テーブル1[[#This Row],[数量]]/[2]トラック内寸!$N$4)</x:f>
      </x:c>
      <x:c r="O115" s="165" t="e">
        <x:f>SUM(テーブル1[[#This Row],[容量㎥]]*テーブル1[[#This Row],[数量]]/[2]トラック内寸!$N$7)</x:f>
      </x:c>
      <x:c r="P115" s="166" t="e">
        <x:f>SUM(テーブル1[[#This Row],[容量㎥]]*テーブル1[[#This Row],[数量]]/[2]トラック内寸!$N$10)</x:f>
      </x:c>
      <x:c r="Q115" s="167" t="e">
        <x:f>SUM($I115*$L115/[2]トラック内寸!$N$13)</x:f>
      </x:c>
      <x:c r="R115" s="150" t="e">
        <x:f>IFERROR(テーブル1[[#This Row],[高さ　H]]*テーブル1[[#This Row],[長さ　W]]*テーブル1[[#This Row],[奥行　D]]/1000000,"")</x:f>
      </x:c>
      <x:c r="S115" s="202"/>
    </x:row>
    <x:row r="116" ht="54.75" customHeight="1">
      <x:c r="A116" s="157">
        <x:v>115</x:v>
      </x:c>
      <x:c r="B116" s="182"/>
      <x:c r="C116" s="182"/>
      <x:c r="D116" s="182"/>
      <x:c r="E116" s="158"/>
      <x:c r="F116" s="159"/>
      <x:c r="G116" s="159"/>
      <x:c r="H116" s="159"/>
      <x:c r="I116" s="160" t="e">
        <x:f>ROUNDUP(PRODUCT(テーブル1[[#This Row],[高さ　H]:[奥行　D]])/10000/4,0)</x:f>
      </x:c>
      <x:c r="J116" s="170"/>
      <x:c r="K116" s="162"/>
      <x:c r="L116" s="163"/>
      <x:c r="M116" s="164">
        <x:f t="shared" si="1"/>
        <x:v>0</x:v>
      </x:c>
      <x:c r="N116" s="165" t="e">
        <x:f>SUM(テーブル1[[#This Row],[容量㎥]]*テーブル1[[#This Row],[数量]]/[2]トラック内寸!$N$4)</x:f>
      </x:c>
      <x:c r="O116" s="165" t="e">
        <x:f>SUM(テーブル1[[#This Row],[容量㎥]]*テーブル1[[#This Row],[数量]]/[2]トラック内寸!$N$7)</x:f>
      </x:c>
      <x:c r="P116" s="166" t="e">
        <x:f>SUM(テーブル1[[#This Row],[容量㎥]]*テーブル1[[#This Row],[数量]]/[2]トラック内寸!$N$10)</x:f>
      </x:c>
      <x:c r="Q116" s="167" t="e">
        <x:f>SUM($I116*$L116/[2]トラック内寸!$N$13)</x:f>
      </x:c>
      <x:c r="R116" s="150" t="e">
        <x:f>IFERROR(テーブル1[[#This Row],[高さ　H]]*テーブル1[[#This Row],[長さ　W]]*テーブル1[[#This Row],[奥行　D]]/1000000,"")</x:f>
      </x:c>
      <x:c r="S116" s="202"/>
    </x:row>
    <x:row r="117" ht="54.75" customHeight="1">
      <x:c r="A117" s="157">
        <x:v>116</x:v>
      </x:c>
      <x:c r="B117" s="182"/>
      <x:c r="C117" s="182"/>
      <x:c r="D117" s="182"/>
      <x:c r="E117" s="158"/>
      <x:c r="F117" s="159"/>
      <x:c r="G117" s="159"/>
      <x:c r="H117" s="159"/>
      <x:c r="I117" s="160" t="e">
        <x:f>ROUNDUP(PRODUCT(テーブル1[[#This Row],[高さ　H]:[奥行　D]])/10000/4,0)</x:f>
      </x:c>
      <x:c r="J117" s="170"/>
      <x:c r="K117" s="162"/>
      <x:c r="L117" s="163"/>
      <x:c r="M117" s="164">
        <x:f t="shared" si="1"/>
        <x:v>0</x:v>
      </x:c>
      <x:c r="N117" s="165" t="e">
        <x:f>SUM(テーブル1[[#This Row],[容量㎥]]*テーブル1[[#This Row],[数量]]/[2]トラック内寸!$N$4)</x:f>
      </x:c>
      <x:c r="O117" s="165" t="e">
        <x:f>SUM(テーブル1[[#This Row],[容量㎥]]*テーブル1[[#This Row],[数量]]/[2]トラック内寸!$N$7)</x:f>
      </x:c>
      <x:c r="P117" s="166" t="e">
        <x:f>SUM(テーブル1[[#This Row],[容量㎥]]*テーブル1[[#This Row],[数量]]/[2]トラック内寸!$N$10)</x:f>
      </x:c>
      <x:c r="Q117" s="167" t="e">
        <x:f>SUM($I117*$L117/[2]トラック内寸!$N$13)</x:f>
      </x:c>
      <x:c r="R117" s="150" t="e">
        <x:f>IFERROR(テーブル1[[#This Row],[高さ　H]]*テーブル1[[#This Row],[長さ　W]]*テーブル1[[#This Row],[奥行　D]]/1000000,"")</x:f>
      </x:c>
      <x:c r="S117" s="202"/>
    </x:row>
    <x:row r="118" ht="54.75" customHeight="1">
      <x:c r="A118" s="157">
        <x:v>117</x:v>
      </x:c>
      <x:c r="B118" s="182"/>
      <x:c r="C118" s="182"/>
      <x:c r="D118" s="182"/>
      <x:c r="E118" s="158"/>
      <x:c r="F118" s="159"/>
      <x:c r="G118" s="159"/>
      <x:c r="H118" s="159"/>
      <x:c r="I118" s="160" t="e">
        <x:f>ROUNDUP(PRODUCT(テーブル1[[#This Row],[高さ　H]:[奥行　D]])/10000/4,0)</x:f>
      </x:c>
      <x:c r="J118" s="170"/>
      <x:c r="K118" s="162"/>
      <x:c r="L118" s="163"/>
      <x:c r="M118" s="164">
        <x:f t="shared" si="1"/>
        <x:v>0</x:v>
      </x:c>
      <x:c r="N118" s="165" t="e">
        <x:f>SUM(テーブル1[[#This Row],[容量㎥]]*テーブル1[[#This Row],[数量]]/[2]トラック内寸!$N$4)</x:f>
      </x:c>
      <x:c r="O118" s="165" t="e">
        <x:f>SUM(テーブル1[[#This Row],[容量㎥]]*テーブル1[[#This Row],[数量]]/[2]トラック内寸!$N$7)</x:f>
      </x:c>
      <x:c r="P118" s="166" t="e">
        <x:f>SUM(テーブル1[[#This Row],[容量㎥]]*テーブル1[[#This Row],[数量]]/[2]トラック内寸!$N$10)</x:f>
      </x:c>
      <x:c r="Q118" s="167" t="e">
        <x:f>SUM($I118*$L118/[2]トラック内寸!$N$13)</x:f>
      </x:c>
      <x:c r="R118" s="150" t="e">
        <x:f>IFERROR(テーブル1[[#This Row],[高さ　H]]*テーブル1[[#This Row],[長さ　W]]*テーブル1[[#This Row],[奥行　D]]/1000000,"")</x:f>
      </x:c>
      <x:c r="S118" s="202"/>
    </x:row>
    <x:row r="119" ht="54.75" customHeight="1">
      <x:c r="A119" s="157">
        <x:v>118</x:v>
      </x:c>
      <x:c r="B119" s="182"/>
      <x:c r="C119" s="182"/>
      <x:c r="D119" s="182"/>
      <x:c r="E119" s="158"/>
      <x:c r="F119" s="159"/>
      <x:c r="G119" s="159"/>
      <x:c r="H119" s="159"/>
      <x:c r="I119" s="160" t="e">
        <x:f>ROUNDUP(PRODUCT(テーブル1[[#This Row],[高さ　H]:[奥行　D]])/10000/4,0)</x:f>
      </x:c>
      <x:c r="J119" s="170"/>
      <x:c r="K119" s="162"/>
      <x:c r="L119" s="163"/>
      <x:c r="M119" s="164">
        <x:f t="shared" si="1"/>
        <x:v>0</x:v>
      </x:c>
      <x:c r="N119" s="165" t="e">
        <x:f>SUM(テーブル1[[#This Row],[容量㎥]]*テーブル1[[#This Row],[数量]]/[2]トラック内寸!$N$4)</x:f>
      </x:c>
      <x:c r="O119" s="165" t="e">
        <x:f>SUM(テーブル1[[#This Row],[容量㎥]]*テーブル1[[#This Row],[数量]]/[2]トラック内寸!$N$7)</x:f>
      </x:c>
      <x:c r="P119" s="166" t="e">
        <x:f>SUM(テーブル1[[#This Row],[容量㎥]]*テーブル1[[#This Row],[数量]]/[2]トラック内寸!$N$10)</x:f>
      </x:c>
      <x:c r="Q119" s="167" t="e">
        <x:f>SUM($I119*$L119/[2]トラック内寸!$N$13)</x:f>
      </x:c>
      <x:c r="R119" s="150" t="e">
        <x:f>IFERROR(テーブル1[[#This Row],[高さ　H]]*テーブル1[[#This Row],[長さ　W]]*テーブル1[[#This Row],[奥行　D]]/1000000,"")</x:f>
      </x:c>
      <x:c r="S119" s="202"/>
    </x:row>
    <x:row r="120" ht="54.75" customHeight="1">
      <x:c r="A120" s="157">
        <x:v>119</x:v>
      </x:c>
      <x:c r="B120" s="182" t="s">
        <x:v>148</x:v>
      </x:c>
      <x:c r="C120" s="182"/>
      <x:c r="D120" s="182"/>
      <x:c r="E120" s="158" t="s">
        <x:v>149</x:v>
      </x:c>
      <x:c r="F120" s="159">
        <x:v>44</x:v>
      </x:c>
      <x:c r="G120" s="159">
        <x:v>32</x:v>
      </x:c>
      <x:c r="H120" s="159">
        <x:v>28</x:v>
      </x:c>
      <x:c r="I120" s="160" t="e">
        <x:f>ROUNDUP(PRODUCT(テーブル1[[#This Row],[高さ　H]:[奥行　D]])/10000/4,0)</x:f>
      </x:c>
      <x:c r="J120" s="170"/>
      <x:c r="K120" s="162"/>
      <x:c r="L120" s="163"/>
      <x:c r="M120" s="164">
        <x:f t="shared" si="1"/>
        <x:v>0</x:v>
      </x:c>
      <x:c r="N120" s="165" t="e">
        <x:f>SUM(テーブル1[[#This Row],[容量㎥]]*テーブル1[[#This Row],[数量]]/[2]トラック内寸!$N$4)</x:f>
      </x:c>
      <x:c r="O120" s="165" t="e">
        <x:f>SUM(テーブル1[[#This Row],[容量㎥]]*テーブル1[[#This Row],[数量]]/[2]トラック内寸!$N$7)</x:f>
      </x:c>
      <x:c r="P120" s="166" t="e">
        <x:f>SUM(テーブル1[[#This Row],[容量㎥]]*テーブル1[[#This Row],[数量]]/[2]トラック内寸!$N$10)</x:f>
      </x:c>
      <x:c r="Q120" s="167" t="e">
        <x:f>SUM($I120*$L120/[2]トラック内寸!$N$13)</x:f>
      </x:c>
      <x:c r="R120" s="150" t="e">
        <x:f>IFERROR(テーブル1[[#This Row],[高さ　H]]*テーブル1[[#This Row],[長さ　W]]*テーブル1[[#This Row],[奥行　D]]/1000000,"")</x:f>
      </x:c>
      <x:c r="S120" s="202"/>
      <x:c r="T120" s="218"/>
      <x:c r="U120" s="219" t="s">
        <x:v>13</x:v>
      </x:c>
      <x:c r="V120" s="219" t="s">
        <x:v>14</x:v>
      </x:c>
      <x:c r="W120" s="219" t="s">
        <x:v>15</x:v>
      </x:c>
    </x:row>
    <x:row r="121" ht="54.75" customHeight="1">
      <x:c r="A121" s="157">
        <x:v>120</x:v>
      </x:c>
      <x:c r="B121" s="182" t="s">
        <x:v>148</x:v>
      </x:c>
      <x:c r="C121" s="182"/>
      <x:c r="D121" s="182"/>
      <x:c r="E121" s="158" t="s">
        <x:v>150</x:v>
      </x:c>
      <x:c r="F121" s="159">
        <x:v>43</x:v>
      </x:c>
      <x:c r="G121" s="159">
        <x:v>166</x:v>
      </x:c>
      <x:c r="H121" s="159">
        <x:v>80</x:v>
      </x:c>
      <x:c r="I121" s="160" t="e">
        <x:f>ROUNDUP(PRODUCT(テーブル1[[#This Row],[高さ　H]:[奥行　D]])/10000/4,0)</x:f>
      </x:c>
      <x:c r="J121" s="170"/>
      <x:c r="K121" s="162"/>
      <x:c r="L121" s="163"/>
      <x:c r="M121" s="164">
        <x:f t="shared" si="1"/>
        <x:v>0</x:v>
      </x:c>
      <x:c r="N121" s="165" t="e">
        <x:f>SUM(テーブル1[[#This Row],[容量㎥]]*テーブル1[[#This Row],[数量]]/[2]トラック内寸!$N$4)</x:f>
      </x:c>
      <x:c r="O121" s="165" t="e">
        <x:f>SUM(テーブル1[[#This Row],[容量㎥]]*テーブル1[[#This Row],[数量]]/[2]トラック内寸!$N$7)</x:f>
      </x:c>
      <x:c r="P121" s="166" t="e">
        <x:f>SUM(テーブル1[[#This Row],[容量㎥]]*テーブル1[[#This Row],[数量]]/[2]トラック内寸!$N$10)</x:f>
      </x:c>
      <x:c r="Q121" s="167" t="e">
        <x:f>SUM($I121*$L121/[2]トラック内寸!$N$13)</x:f>
      </x:c>
      <x:c r="R121" s="150" t="e">
        <x:f>IFERROR(テーブル1[[#This Row],[高さ　H]]*テーブル1[[#This Row],[長さ　W]]*テーブル1[[#This Row],[奥行　D]]/1000000,"")</x:f>
      </x:c>
      <x:c r="S121" s="202"/>
      <x:c r="T121" s="219" t="s">
        <x:v>151</x:v>
      </x:c>
      <x:c r="U121" s="219" t="e">
        <x:f>ROUNDUP(PRODUCT([3]トラック内寸!$N$4)*100/4,0)-1</x:f>
      </x:c>
      <x:c r="V121" s="219" t="e">
        <x:f>ROUNDUP(PRODUCT([3]トラック内寸!$N$7)*100/4,0)-8</x:f>
      </x:c>
      <x:c r="W121" s="219" t="e">
        <x:f>ROUNDUP(PRODUCT([3]トラック内寸!$N$10)*100/4,0)-14</x:f>
      </x:c>
    </x:row>
    <x:row r="122" ht="54.75" customHeight="1">
      <x:c r="A122" s="157">
        <x:v>121</x:v>
      </x:c>
      <x:c r="B122" s="182" t="s">
        <x:v>148</x:v>
      </x:c>
      <x:c r="C122" s="182"/>
      <x:c r="D122" s="182"/>
      <x:c r="E122" s="158" t="s">
        <x:v>152</x:v>
      </x:c>
      <x:c r="F122" s="159">
        <x:v>44</x:v>
      </x:c>
      <x:c r="G122" s="159">
        <x:v>32</x:v>
      </x:c>
      <x:c r="H122" s="159">
        <x:v>28</x:v>
      </x:c>
      <x:c r="I122" s="160" t="e">
        <x:f>ROUNDUP(PRODUCT(テーブル1[[#This Row],[高さ　H]:[奥行　D]])/10000/4,0)</x:f>
      </x:c>
      <x:c r="J122" s="170"/>
      <x:c r="K122" s="162"/>
      <x:c r="L122" s="163"/>
      <x:c r="M122" s="164">
        <x:f t="shared" si="1"/>
        <x:v>0</x:v>
      </x:c>
      <x:c r="N122" s="165" t="e">
        <x:f>SUM(テーブル1[[#This Row],[容量㎥]]*テーブル1[[#This Row],[数量]]/[2]トラック内寸!$N$4)</x:f>
      </x:c>
      <x:c r="O122" s="165" t="e">
        <x:f>SUM(テーブル1[[#This Row],[容量㎥]]*テーブル1[[#This Row],[数量]]/[2]トラック内寸!$N$7)</x:f>
      </x:c>
      <x:c r="P122" s="166" t="e">
        <x:f>SUM(テーブル1[[#This Row],[容量㎥]]*テーブル1[[#This Row],[数量]]/[2]トラック内寸!$N$10)</x:f>
      </x:c>
      <x:c r="Q122" s="167" t="e">
        <x:f>SUM($I122*$L122/[2]トラック内寸!$N$13)</x:f>
      </x:c>
      <x:c r="R122" s="150" t="e">
        <x:f>IFERROR(テーブル1[[#This Row],[高さ　H]]*テーブル1[[#This Row],[長さ　W]]*テーブル1[[#This Row],[奥行　D]]/1000000,"")</x:f>
      </x:c>
      <x:c r="S122" s="202"/>
      <x:c r="T122" s="218"/>
      <x:c r="U122" s="218"/>
      <x:c r="V122" s="218"/>
      <x:c r="W122" s="220"/>
    </x:row>
    <x:row r="123" ht="54.75" customHeight="1">
      <x:c r="A123" s="157">
        <x:v>122</x:v>
      </x:c>
      <x:c r="B123" s="182" t="s">
        <x:v>148</x:v>
      </x:c>
      <x:c r="C123" s="182"/>
      <x:c r="D123" s="182"/>
      <x:c r="E123" s="158" t="s">
        <x:v>153</x:v>
      </x:c>
      <x:c r="F123" s="159">
        <x:v>51</x:v>
      </x:c>
      <x:c r="G123" s="159">
        <x:v>42</x:v>
      </x:c>
      <x:c r="H123" s="159">
        <x:v>36</x:v>
      </x:c>
      <x:c r="I123" s="160" t="e">
        <x:f>ROUNDUP(PRODUCT(テーブル1[[#This Row],[高さ　H]:[奥行　D]])/10000/4,0)</x:f>
      </x:c>
      <x:c r="J123" s="170"/>
      <x:c r="K123" s="162"/>
      <x:c r="L123" s="163"/>
      <x:c r="M123" s="164">
        <x:f t="shared" si="1"/>
        <x:v>0</x:v>
      </x:c>
      <x:c r="N123" s="165" t="e">
        <x:f>SUM(テーブル1[[#This Row],[容量㎥]]*テーブル1[[#This Row],[数量]]/[2]トラック内寸!$N$4)</x:f>
      </x:c>
      <x:c r="O123" s="165" t="e">
        <x:f>SUM(テーブル1[[#This Row],[容量㎥]]*テーブル1[[#This Row],[数量]]/[2]トラック内寸!$N$7)</x:f>
      </x:c>
      <x:c r="P123" s="166" t="e">
        <x:f>SUM(テーブル1[[#This Row],[容量㎥]]*テーブル1[[#This Row],[数量]]/[2]トラック内寸!$N$10)</x:f>
      </x:c>
      <x:c r="Q123" s="167" t="e">
        <x:f>SUM($I123*$L123/[2]トラック内寸!$N$13)</x:f>
      </x:c>
      <x:c r="R123" s="150" t="e">
        <x:f>IFERROR(テーブル1[[#This Row],[高さ　H]]*テーブル1[[#This Row],[長さ　W]]*テーブル1[[#This Row],[奥行　D]]/1000000,"")</x:f>
      </x:c>
      <x:c r="S123" s="202"/>
      <x:c r="T123" s="218"/>
      <x:c r="U123" s="219" t="s">
        <x:v>13</x:v>
      </x:c>
      <x:c r="V123" s="219" t="s">
        <x:v>14</x:v>
      </x:c>
      <x:c r="W123" s="219" t="s">
        <x:v>15</x:v>
      </x:c>
    </x:row>
    <x:row r="124" ht="54.75" customHeight="1">
      <x:c r="A124" s="157">
        <x:v>123</x:v>
      </x:c>
      <x:c r="B124" s="182" t="s">
        <x:v>148</x:v>
      </x:c>
      <x:c r="C124" s="182"/>
      <x:c r="D124" s="182"/>
      <x:c r="E124" s="158" t="s">
        <x:v>154</x:v>
      </x:c>
      <x:c r="F124" s="159">
        <x:v>100</x:v>
      </x:c>
      <x:c r="G124" s="159">
        <x:v>47.5</x:v>
      </x:c>
      <x:c r="H124" s="159">
        <x:v>51.5</x:v>
      </x:c>
      <x:c r="I124" s="160" t="e">
        <x:f>ROUNDUP(PRODUCT(テーブル1[[#This Row],[高さ　H]:[奥行　D]])/10000/4,0)</x:f>
      </x:c>
      <x:c r="J124" s="170"/>
      <x:c r="K124" s="162"/>
      <x:c r="L124" s="163"/>
      <x:c r="M124" s="164">
        <x:f t="shared" si="1"/>
        <x:v>0</x:v>
      </x:c>
      <x:c r="N124" s="165" t="e">
        <x:f>SUM(テーブル1[[#This Row],[容量㎥]]*テーブル1[[#This Row],[数量]]/[2]トラック内寸!$N$4)</x:f>
      </x:c>
      <x:c r="O124" s="165" t="e">
        <x:f>SUM(テーブル1[[#This Row],[容量㎥]]*テーブル1[[#This Row],[数量]]/[2]トラック内寸!$N$7)</x:f>
      </x:c>
      <x:c r="P124" s="166" t="e">
        <x:f>SUM(テーブル1[[#This Row],[容量㎥]]*テーブル1[[#This Row],[数量]]/[2]トラック内寸!$N$10)</x:f>
      </x:c>
      <x:c r="Q124" s="167" t="e">
        <x:f>SUM($I124*$L124/[2]トラック内寸!$N$13)</x:f>
      </x:c>
      <x:c r="R124" s="150" t="e">
        <x:f>IFERROR(テーブル1[[#This Row],[高さ　H]]*テーブル1[[#This Row],[長さ　W]]*テーブル1[[#This Row],[奥行　D]]/1000000,"")</x:f>
      </x:c>
      <x:c r="S124" s="202"/>
      <x:c r="T124" s="221" t="s">
        <x:v>155</x:v>
      </x:c>
      <x:c r="U124" s="219" t="e">
        <x:f>ROUNDUP(U121-(N127*200),0)</x:f>
      </x:c>
      <x:c r="V124" s="219" t="e">
        <x:f>ROUNDUP(V121-(O127*200),0)</x:f>
      </x:c>
      <x:c r="W124" s="219" t="e">
        <x:f>ROUNDUP(W121-(P127*200),0)</x:f>
      </x:c>
    </x:row>
    <x:row r="125" ht="54.75" customHeight="1">
      <x:c r="A125" s="157">
        <x:v>124</x:v>
      </x:c>
      <x:c r="B125" s="182" t="s">
        <x:v>148</x:v>
      </x:c>
      <x:c r="C125" s="182"/>
      <x:c r="D125" s="182"/>
      <x:c r="E125" s="158" t="s">
        <x:v>156</x:v>
      </x:c>
      <x:c r="F125" s="159">
        <x:v>16</x:v>
      </x:c>
      <x:c r="G125" s="159">
        <x:v>91.2</x:v>
      </x:c>
      <x:c r="H125" s="159">
        <x:v>60.4</x:v>
      </x:c>
      <x:c r="I125" s="160" t="e">
        <x:f>ROUNDUP(PRODUCT(テーブル1[[#This Row],[高さ　H]:[奥行　D]])/10000/4,0)</x:f>
      </x:c>
      <x:c r="J125" s="170"/>
      <x:c r="K125" s="162"/>
      <x:c r="L125" s="163"/>
      <x:c r="M125" s="164">
        <x:f t="shared" si="1"/>
        <x:v>0</x:v>
      </x:c>
      <x:c r="N125" s="165" t="e">
        <x:f>SUM(テーブル1[[#This Row],[容量㎥]]*テーブル1[[#This Row],[数量]]/[2]トラック内寸!$N$4)</x:f>
      </x:c>
      <x:c r="O125" s="165" t="e">
        <x:f>SUM(テーブル1[[#This Row],[容量㎥]]*テーブル1[[#This Row],[数量]]/[2]トラック内寸!$N$7)</x:f>
      </x:c>
      <x:c r="P125" s="166" t="e">
        <x:f>SUM(テーブル1[[#This Row],[容量㎥]]*テーブル1[[#This Row],[数量]]/[2]トラック内寸!$N$10)</x:f>
      </x:c>
      <x:c r="Q125" s="167" t="e">
        <x:f>SUM($I125*$L125/[2]トラック内寸!$N$13)</x:f>
      </x:c>
      <x:c r="R125" s="150" t="e">
        <x:f>IFERROR(テーブル1[[#This Row],[高さ　H]]*テーブル1[[#This Row],[長さ　W]]*テーブル1[[#This Row],[奥行　D]]/1000000,"")</x:f>
      </x:c>
      <x:c r="S125" s="202"/>
      <x:c r="T125" s="222"/>
    </x:row>
    <x:row r="126" ht="54.75" customHeight="1">
      <x:c r="A126" s="223">
        <x:v>125</x:v>
      </x:c>
      <x:c r="B126" s="224" t="s">
        <x:v>148</x:v>
      </x:c>
      <x:c r="C126" s="224"/>
      <x:c r="D126" s="225"/>
      <x:c r="E126" s="226" t="s">
        <x:v>157</x:v>
      </x:c>
      <x:c r="F126" s="227"/>
      <x:c r="G126" s="227"/>
      <x:c r="H126" s="227"/>
      <x:c r="I126" s="160" t="e">
        <x:f>ROUNDUP(PRODUCT(テーブル1[[#This Row],[高さ　H]:[奥行　D]])/10000/4,0)</x:f>
      </x:c>
      <x:c r="J126" s="228"/>
      <x:c r="K126" s="229"/>
      <x:c r="L126" s="230"/>
      <x:c r="M126" s="231">
        <x:f t="shared" si="1"/>
        <x:v>0</x:v>
      </x:c>
      <x:c r="N126" s="232" t="e">
        <x:f>SUM(テーブル1[[#This Row],[容量㎥]]*テーブル1[[#This Row],[数量]]/[2]トラック内寸!$N$4)</x:f>
      </x:c>
      <x:c r="O126" s="232" t="e">
        <x:f>SUM(テーブル1[[#This Row],[容量㎥]]*テーブル1[[#This Row],[数量]]/[2]トラック内寸!$N$7)</x:f>
      </x:c>
      <x:c r="P126" s="233" t="e">
        <x:f>SUM(テーブル1[[#This Row],[容量㎥]]*テーブル1[[#This Row],[数量]]/[2]トラック内寸!$N$10)</x:f>
      </x:c>
      <x:c r="Q126" s="234" t="e">
        <x:f>SUM($I126*$L126/[2]トラック内寸!$N$13)</x:f>
      </x:c>
      <x:c r="R126" s="235" t="e">
        <x:f>IFERROR(テーブル1[[#This Row],[高さ　H]]*テーブル1[[#This Row],[長さ　W]]*テーブル1[[#This Row],[奥行　D]]/1000000,"")</x:f>
      </x:c>
      <x:c r="S126" s="202"/>
      <x:c r="U126" s="236" t="e">
        <x:f>ROUNDUP((N127*200),0)</x:f>
      </x:c>
    </x:row>
    <x:row r="127" ht="54.75" customHeight="1">
      <x:c r="A127" s="237"/>
      <x:c r="B127" s="238"/>
      <x:c r="C127" s="238"/>
      <x:c r="D127" s="238"/>
      <x:c r="E127" s="237"/>
      <x:c r="F127" s="237"/>
      <x:c r="G127" s="237"/>
      <x:c r="H127" s="237"/>
      <x:c r="I127" s="237"/>
      <x:c r="J127" s="239"/>
      <x:c r="K127" s="237"/>
      <x:c r="L127" s="240"/>
      <x:c r="M127" s="241" t="e">
        <x:f>SUBTOTAL(109,M2:M126)</x:f>
      </x:c>
      <x:c r="N127" s="165" t="e">
        <x:f t="shared" ref="N127:P127" si="2">SUBTOTAL(109,N2:N126)</x:f>
      </x:c>
      <x:c r="O127" s="165">
        <x:f t="shared" si="2"/>
        <x:v>0</x:v>
      </x:c>
      <x:c r="P127" s="166">
        <x:f t="shared" si="2"/>
        <x:v>0</x:v>
      </x:c>
      <x:c r="Q127" s="167" t="e">
        <x:f t="shared" ref="Q127" si="3">SUM(Q2:Q126)</x:f>
      </x:c>
      <x:c r="R127" s="150" t="e">
        <x:f>IFERROR(テーブル1[[#This Row],[高さ　H]]*テーブル1[[#This Row],[長さ　W]]*テーブル1[[#This Row],[奥行　D]]/1000000,"")</x:f>
      </x:c>
      <x:c r="S127" s="202"/>
      <x:c r="AE127" s="202"/>
      <x:c r="AH127" s="172"/>
      <x:c r="AI127" s="185"/>
      <x:c r="AM127" s="203"/>
    </x:row>
    <x:row r="128" ht="54.75" customHeight="1">
      <x:c r="K128" s="243"/>
    </x:row>
    <x:row r="129" ht="54.75" customHeight="1">
      <x:c r="A129" s="244"/>
      <x:c r="B129" s="244"/>
      <x:c r="C129" s="244"/>
      <x:c r="D129" s="244"/>
      <x:c r="E129" s="244"/>
      <x:c r="K129" s="243"/>
    </x:row>
    <x:row r="130" ht="54.75" customHeight="1">
      <x:c r="A130" s="253"/>
      <x:c r="B130" s="253"/>
      <x:c r="C130" s="253"/>
      <x:c r="D130" s="253"/>
      <x:c r="E130" s="253"/>
      <x:c r="K130" s="243"/>
    </x:row>
    <x:row r="131" ht="54.75" customHeight="1">
      <x:c r="A131" s="253"/>
      <x:c r="B131" s="253"/>
      <x:c r="C131" s="253"/>
      <x:c r="D131" s="255"/>
      <x:c r="E131" s="255"/>
      <x:c r="K131" s="243"/>
    </x:row>
    <x:row r="132" ht="54.75" customHeight="1">
      <x:c r="A132" s="253"/>
      <x:c r="B132" s="253"/>
      <x:c r="C132" s="253"/>
      <x:c r="D132" s="255"/>
      <x:c r="E132" s="255"/>
      <x:c r="K132" s="243"/>
    </x:row>
    <x:row r="133" ht="54.75" customHeight="1">
      <x:c r="A133" s="253"/>
      <x:c r="B133" s="253"/>
      <x:c r="C133" s="253"/>
      <x:c r="D133" s="253"/>
      <x:c r="E133" s="253"/>
      <x:c r="K133" s="243"/>
    </x:row>
    <x:row r="134" ht="54.75" customHeight="1">
      <x:c r="A134" s="253"/>
      <x:c r="B134" s="253"/>
      <x:c r="C134" s="253"/>
      <x:c r="D134" s="255"/>
      <x:c r="E134" s="255"/>
      <x:c r="K134" s="243"/>
    </x:row>
    <x:row r="135" ht="54.75" customHeight="1">
      <x:c r="A135" s="253"/>
      <x:c r="B135" s="253"/>
      <x:c r="C135" s="253"/>
      <x:c r="D135" s="255"/>
      <x:c r="E135" s="255"/>
      <x:c r="K135" s="243"/>
    </x:row>
    <x:row r="136" ht="54.75" customHeight="1">
      <x:c r="A136" s="253"/>
      <x:c r="B136" s="253"/>
      <x:c r="C136" s="253"/>
      <x:c r="D136" s="253"/>
      <x:c r="E136" s="253"/>
      <x:c r="K136" s="243"/>
    </x:row>
    <x:row r="137" ht="54.75" customHeight="1">
      <x:c r="A137" s="253"/>
      <x:c r="B137" s="253"/>
      <x:c r="C137" s="253"/>
      <x:c r="D137" s="255"/>
      <x:c r="E137" s="255"/>
      <x:c r="K137" s="243"/>
    </x:row>
    <x:row r="138" ht="54.75" customHeight="1">
      <x:c r="A138" s="253"/>
      <x:c r="B138" s="253"/>
      <x:c r="C138" s="253"/>
      <x:c r="D138" s="255"/>
      <x:c r="E138" s="255"/>
      <x:c r="K138" s="243"/>
    </x:row>
    <x:row r="139" ht="54.75" customHeight="1">
      <x:c r="A139" s="253"/>
      <x:c r="B139" s="253"/>
      <x:c r="C139" s="253"/>
      <x:c r="D139" s="253"/>
      <x:c r="E139" s="253"/>
      <x:c r="K139" s="243"/>
    </x:row>
    <x:row r="140" ht="54.75" customHeight="1">
      <x:c r="A140" s="253"/>
      <x:c r="B140" s="253"/>
      <x:c r="C140" s="253"/>
      <x:c r="D140" s="255"/>
      <x:c r="E140" s="255"/>
      <x:c r="K140" s="243"/>
    </x:row>
    <x:row r="141" ht="54.75" customHeight="1">
      <x:c r="A141" s="253"/>
      <x:c r="B141" s="253"/>
      <x:c r="C141" s="253"/>
      <x:c r="D141" s="255"/>
      <x:c r="E141" s="255"/>
      <x:c r="K141" s="243"/>
    </x:row>
    <x:row r="142" ht="13.5" customHeight="1">
      <x:c r="A142" s="202"/>
      <x:c r="B142" s="202"/>
      <x:c r="C142" s="202"/>
      <x:c r="E142" s="185"/>
    </x:row>
    <x:row r="1048349" ht="13.5" customHeight="1">
      <x:c r="E1048349" s="246"/>
    </x:row>
    <x:row r="1048350" ht="13.5" customHeight="1">
      <x:c r="E1048350" s="246"/>
    </x:row>
    <x:row r="1048351" ht="13.5" customHeight="1">
      <x:c r="E1048351" s="246"/>
    </x:row>
    <x:row r="1048352" ht="13.5" customHeight="1">
      <x:c r="E1048352" s="246"/>
    </x:row>
    <x:row r="1048353" ht="13.5" customHeight="1">
      <x:c r="E1048353" s="246"/>
    </x:row>
    <x:row r="1048354" ht="13.5" customHeight="1">
      <x:c r="E1048354" s="246"/>
    </x:row>
    <x:row r="1048355" ht="13.5" customHeight="1">
      <x:c r="E1048355" s="246"/>
    </x:row>
    <x:row r="1048356" ht="13.5" customHeight="1">
      <x:c r="E1048356" s="246"/>
    </x:row>
    <x:row r="1048357" ht="13.5" customHeight="1">
      <x:c r="E1048357" s="246"/>
    </x:row>
    <x:row r="1048358" ht="13.5" customHeight="1">
      <x:c r="E1048358" s="246"/>
    </x:row>
    <x:row r="1048359" ht="13.5" customHeight="1">
      <x:c r="E1048359" s="246"/>
    </x:row>
    <x:row r="1048360" ht="13.5" customHeight="1">
      <x:c r="E1048360" s="246"/>
    </x:row>
    <x:row r="1048361" ht="13.5" customHeight="1">
      <x:c r="E1048361" s="246"/>
    </x:row>
    <x:row r="1048362" ht="13.5" customHeight="1">
      <x:c r="E1048362" s="246"/>
    </x:row>
    <x:row r="1048363" ht="13.5" customHeight="1">
      <x:c r="E1048363" s="246"/>
    </x:row>
    <x:row r="1048364" ht="13.5" customHeight="1">
      <x:c r="E1048364" s="246"/>
    </x:row>
    <x:row r="1048365" ht="13.5" customHeight="1">
      <x:c r="E1048365" s="246"/>
    </x:row>
    <x:row r="1048366" ht="13.5" customHeight="1">
      <x:c r="E1048366" s="246"/>
    </x:row>
    <x:row r="1048367" ht="13.5" customHeight="1">
      <x:c r="E1048367" s="246"/>
    </x:row>
    <x:row r="1048368" ht="13.5" customHeight="1">
      <x:c r="E1048368" s="246"/>
    </x:row>
    <x:row r="1048369" ht="13.5" customHeight="1">
      <x:c r="E1048369" s="246"/>
    </x:row>
    <x:row r="1048370" ht="13.5" customHeight="1">
      <x:c r="E1048370" s="246"/>
    </x:row>
    <x:row r="1048371" ht="13.5" customHeight="1">
      <x:c r="E1048371" s="246"/>
    </x:row>
    <x:row r="1048372" ht="13.5" customHeight="1">
      <x:c r="E1048372" s="246"/>
    </x:row>
    <x:row r="1048373" ht="13.5" customHeight="1">
      <x:c r="E1048373" s="246"/>
    </x:row>
    <x:row r="1048374" ht="13.5" customHeight="1">
      <x:c r="E1048374" s="246"/>
    </x:row>
    <x:row r="1048375" ht="13.5" customHeight="1">
      <x:c r="E1048375" s="246"/>
    </x:row>
    <x:row r="1048376" ht="13.5" customHeight="1">
      <x:c r="E1048376" s="246"/>
    </x:row>
    <x:row r="1048377" ht="13.5" customHeight="1">
      <x:c r="E1048377" s="246"/>
    </x:row>
    <x:row r="1048378" ht="13.5" customHeight="1">
      <x:c r="E1048378" s="246"/>
    </x:row>
    <x:row r="1048379" ht="13.5" customHeight="1">
      <x:c r="E1048379" s="246"/>
    </x:row>
    <x:row r="1048380" ht="13.5" customHeight="1">
      <x:c r="E1048380" s="246"/>
    </x:row>
    <x:row r="1048381" ht="13.5" customHeight="1">
      <x:c r="E1048381" s="246"/>
    </x:row>
    <x:row r="1048382" ht="13.5" customHeight="1">
      <x:c r="E1048382" s="246"/>
    </x:row>
    <x:row r="1048383" ht="13.5" customHeight="1">
      <x:c r="E1048383" s="246"/>
    </x:row>
    <x:row r="1048384" ht="13.5" customHeight="1">
      <x:c r="E1048384" s="246"/>
    </x:row>
    <x:row r="1048385" ht="13.5" customHeight="1">
      <x:c r="E1048385" s="246"/>
    </x:row>
    <x:row r="1048386" ht="13.5" customHeight="1">
      <x:c r="E1048386" s="246"/>
    </x:row>
    <x:row r="1048387" ht="13.5" customHeight="1">
      <x:c r="E1048387" s="246"/>
    </x:row>
    <x:row r="1048388" ht="13.5" customHeight="1">
      <x:c r="E1048388" s="246"/>
    </x:row>
    <x:row r="1048389" ht="13.5" customHeight="1">
      <x:c r="E1048389" s="246"/>
    </x:row>
    <x:row r="1048390" ht="13.5" customHeight="1">
      <x:c r="E1048390" s="246"/>
    </x:row>
    <x:row r="1048391" ht="13.5" customHeight="1">
      <x:c r="E1048391" s="246"/>
    </x:row>
    <x:row r="1048392" ht="13.5" customHeight="1">
      <x:c r="E1048392" s="246"/>
    </x:row>
    <x:row r="1048393" ht="13.5" customHeight="1">
      <x:c r="E1048393" s="246"/>
    </x:row>
    <x:row r="1048394" ht="13.5" customHeight="1">
      <x:c r="E1048394" s="246"/>
    </x:row>
    <x:row r="1048395" ht="13.5" customHeight="1">
      <x:c r="E1048395" s="246"/>
    </x:row>
    <x:row r="1048396" ht="13.5" customHeight="1">
      <x:c r="E1048396" s="246"/>
    </x:row>
    <x:row r="1048397" ht="13.5" customHeight="1">
      <x:c r="E1048397" s="246"/>
    </x:row>
    <x:row r="1048398" ht="13.5" customHeight="1">
      <x:c r="E1048398" s="246"/>
    </x:row>
    <x:row r="1048399" ht="13.5" customHeight="1">
      <x:c r="E1048399" s="246"/>
    </x:row>
    <x:row r="1048400" ht="13.5" customHeight="1">
      <x:c r="E1048400" s="246"/>
    </x:row>
    <x:row r="1048401" ht="13.5" customHeight="1">
      <x:c r="E1048401" s="246"/>
    </x:row>
    <x:row r="1048402" ht="13.5" customHeight="1">
      <x:c r="E1048402" s="246"/>
    </x:row>
    <x:row r="1048403" ht="13.5" customHeight="1">
      <x:c r="E1048403" s="246"/>
    </x:row>
    <x:row r="1048404" ht="13.5" customHeight="1">
      <x:c r="E1048404" s="246"/>
    </x:row>
    <x:row r="1048405" ht="13.5" customHeight="1">
      <x:c r="E1048405" s="246"/>
    </x:row>
    <x:row r="1048406" ht="13.5" customHeight="1">
      <x:c r="E1048406" s="246"/>
    </x:row>
    <x:row r="1048407" ht="13.5" customHeight="1">
      <x:c r="E1048407" s="246"/>
    </x:row>
    <x:row r="1048408" ht="13.5" customHeight="1">
      <x:c r="E1048408" s="246"/>
    </x:row>
    <x:row r="1048409" ht="13.5" customHeight="1">
      <x:c r="E1048409" s="246"/>
    </x:row>
    <x:row r="1048410" ht="13.5" customHeight="1">
      <x:c r="E1048410" s="246"/>
    </x:row>
    <x:row r="1048411" ht="13.5" customHeight="1">
      <x:c r="E1048411" s="246"/>
    </x:row>
    <x:row r="1048412" ht="13.5" customHeight="1">
      <x:c r="E1048412" s="246"/>
    </x:row>
    <x:row r="1048413" ht="13.5" customHeight="1">
      <x:c r="E1048413" s="246"/>
    </x:row>
    <x:row r="1048414" ht="13.5" customHeight="1">
      <x:c r="E1048414" s="246"/>
    </x:row>
    <x:row r="1048415" ht="13.5" customHeight="1">
      <x:c r="E1048415" s="246"/>
    </x:row>
    <x:row r="1048416" ht="13.5" customHeight="1">
      <x:c r="E1048416" s="246"/>
    </x:row>
    <x:row r="1048417" ht="13.5" customHeight="1">
      <x:c r="E1048417" s="246"/>
    </x:row>
    <x:row r="1048418" ht="13.5" customHeight="1">
      <x:c r="E1048418" s="246"/>
    </x:row>
    <x:row r="1048419" ht="13.5" customHeight="1">
      <x:c r="E1048419" s="246"/>
    </x:row>
    <x:row r="1048420" ht="13.5" customHeight="1">
      <x:c r="E1048420" s="246"/>
    </x:row>
    <x:row r="1048421" ht="13.5" customHeight="1">
      <x:c r="E1048421" s="246"/>
    </x:row>
    <x:row r="1048422" ht="13.5" customHeight="1">
      <x:c r="E1048422" s="246"/>
    </x:row>
    <x:row r="1048423" ht="13.5" customHeight="1">
      <x:c r="E1048423" s="246"/>
    </x:row>
    <x:row r="1048424" ht="13.5" customHeight="1">
      <x:c r="E1048424" s="246"/>
    </x:row>
    <x:row r="1048425" ht="13.5" customHeight="1">
      <x:c r="E1048425" s="246"/>
    </x:row>
    <x:row r="1048426" ht="13.5" customHeight="1">
      <x:c r="E1048426" s="246"/>
    </x:row>
    <x:row r="1048427" ht="13.5" customHeight="1">
      <x:c r="E1048427" s="246"/>
    </x:row>
    <x:row r="1048428" ht="13.5" customHeight="1">
      <x:c r="E1048428" s="246"/>
    </x:row>
    <x:row r="1048429" ht="13.5" customHeight="1">
      <x:c r="E1048429" s="246"/>
    </x:row>
    <x:row r="1048430" ht="13.5" customHeight="1">
      <x:c r="E1048430" s="246"/>
    </x:row>
    <x:row r="1048431" ht="13.5" customHeight="1">
      <x:c r="E1048431" s="246"/>
    </x:row>
    <x:row r="1048432" ht="13.5" customHeight="1">
      <x:c r="E1048432" s="246"/>
    </x:row>
    <x:row r="1048433" ht="13.5" customHeight="1">
      <x:c r="E1048433" s="246"/>
    </x:row>
    <x:row r="1048434" ht="13.5" customHeight="1">
      <x:c r="E1048434" s="246"/>
    </x:row>
    <x:row r="1048435" ht="13.5" customHeight="1">
      <x:c r="E1048435" s="246"/>
    </x:row>
    <x:row r="1048436" ht="13.5" customHeight="1">
      <x:c r="E1048436" s="246"/>
    </x:row>
    <x:row r="1048437" ht="13.5" customHeight="1">
      <x:c r="E1048437" s="246"/>
    </x:row>
    <x:row r="1048438" ht="13.5" customHeight="1">
      <x:c r="E1048438" s="246"/>
    </x:row>
    <x:row r="1048439" ht="13.5" customHeight="1">
      <x:c r="E1048439" s="246"/>
    </x:row>
    <x:row r="1048440" ht="13.5" customHeight="1">
      <x:c r="E1048440" s="246"/>
    </x:row>
    <x:row r="1048441" ht="13.5" customHeight="1">
      <x:c r="E1048441" s="246"/>
    </x:row>
    <x:row r="1048442" ht="13.5" customHeight="1">
      <x:c r="E1048442" s="246"/>
    </x:row>
    <x:row r="1048443" ht="13.5" customHeight="1">
      <x:c r="E1048443" s="246"/>
    </x:row>
    <x:row r="1048444" ht="13.5" customHeight="1">
      <x:c r="E1048444" s="246"/>
    </x:row>
    <x:row r="1048445" ht="13.5" customHeight="1">
      <x:c r="E1048445" s="246"/>
    </x:row>
    <x:row r="1048446" ht="13.5" customHeight="1">
      <x:c r="E1048446" s="246"/>
    </x:row>
    <x:row r="1048447" ht="13.5" customHeight="1">
      <x:c r="E1048447" s="246"/>
    </x:row>
    <x:row r="1048448" ht="13.5" customHeight="1">
      <x:c r="E1048448" s="246"/>
    </x:row>
    <x:row r="1048449" ht="13.5" customHeight="1">
      <x:c r="E1048449" s="246"/>
    </x:row>
    <x:row r="1048450" ht="13.5" customHeight="1">
      <x:c r="E1048450" s="246"/>
    </x:row>
    <x:row r="1048451" ht="13.5" customHeight="1">
      <x:c r="E1048451" s="246"/>
    </x:row>
    <x:row r="1048452" ht="13.5" customHeight="1">
      <x:c r="E1048452" s="246"/>
    </x:row>
    <x:row r="1048453" ht="13.5" customHeight="1">
      <x:c r="E1048453" s="246"/>
    </x:row>
    <x:row r="1048454" ht="13.5" customHeight="1">
      <x:c r="E1048454" s="246"/>
    </x:row>
    <x:row r="1048455" ht="13.5" customHeight="1">
      <x:c r="E1048455" s="246"/>
    </x:row>
    <x:row r="1048456" ht="13.5" customHeight="1">
      <x:c r="E1048456" s="246"/>
    </x:row>
    <x:row r="1048457" ht="13.5" customHeight="1">
      <x:c r="E1048457" s="246"/>
    </x:row>
    <x:row r="1048458" ht="13.5" customHeight="1">
      <x:c r="E1048458" s="246"/>
    </x:row>
    <x:row r="1048459" ht="13.5" customHeight="1">
      <x:c r="E1048459" s="246"/>
    </x:row>
    <x:row r="1048460" ht="13.5" customHeight="1">
      <x:c r="E1048460" s="246"/>
    </x:row>
    <x:row r="1048461" ht="13.5" customHeight="1">
      <x:c r="E1048461" s="246"/>
    </x:row>
    <x:row r="1048462" ht="13.5" customHeight="1">
      <x:c r="E1048462" s="246"/>
    </x:row>
    <x:row r="1048463" ht="13.5" customHeight="1">
      <x:c r="E1048463" s="246"/>
    </x:row>
    <x:row r="1048464" ht="13.5" customHeight="1">
      <x:c r="E1048464" s="246"/>
    </x:row>
    <x:row r="1048465" ht="13.5" customHeight="1">
      <x:c r="E1048465" s="246"/>
    </x:row>
    <x:row r="1048466" ht="13.5" customHeight="1">
      <x:c r="E1048466" s="246"/>
    </x:row>
    <x:row r="1048467" ht="13.5" customHeight="1">
      <x:c r="E1048467" s="246"/>
    </x:row>
    <x:row r="1048468" ht="13.5" customHeight="1">
      <x:c r="E1048468" s="246"/>
    </x:row>
    <x:row r="1048469" ht="13.5" customHeight="1">
      <x:c r="E1048469" s="246"/>
    </x:row>
    <x:row r="1048470" ht="13.5" customHeight="1">
      <x:c r="E1048470" s="246"/>
    </x:row>
    <x:row r="1048471" ht="13.5" customHeight="1">
      <x:c r="E1048471" s="246"/>
    </x:row>
    <x:row r="1048472" ht="13.5" customHeight="1">
      <x:c r="E1048472" s="246"/>
    </x:row>
    <x:row r="1048473" ht="13.5" customHeight="1">
      <x:c r="E1048473" s="246"/>
    </x:row>
    <x:row r="1048474" ht="13.5" customHeight="1">
      <x:c r="E1048474" s="246"/>
    </x:row>
    <x:row r="1048475" ht="13.5" customHeight="1">
      <x:c r="E1048475" s="246"/>
    </x:row>
    <x:row r="1048476" ht="13.5" customHeight="1">
      <x:c r="E1048476" s="246"/>
    </x:row>
    <x:row r="1048477" ht="13.5" customHeight="1">
      <x:c r="E1048477" s="246"/>
    </x:row>
    <x:row r="1048478" ht="13.5" customHeight="1">
      <x:c r="E1048478" s="246"/>
    </x:row>
    <x:row r="1048479" ht="13.5" customHeight="1">
      <x:c r="E1048479" s="246"/>
    </x:row>
    <x:row r="1048480" ht="13.5" customHeight="1">
      <x:c r="E1048480" s="246"/>
    </x:row>
    <x:row r="1048481" ht="13.5" customHeight="1">
      <x:c r="E1048481" s="246"/>
    </x:row>
    <x:row r="1048482" ht="13.5" customHeight="1">
      <x:c r="E1048482" s="246"/>
    </x:row>
    <x:row r="1048483" ht="13.5" customHeight="1">
      <x:c r="E1048483" s="246"/>
    </x:row>
    <x:row r="1048484" ht="13.5" customHeight="1">
      <x:c r="E1048484" s="246"/>
    </x:row>
    <x:row r="1048485" ht="13.5" customHeight="1">
      <x:c r="E1048485" s="246"/>
    </x:row>
    <x:row r="1048486" ht="13.5" customHeight="1">
      <x:c r="E1048486" s="246"/>
    </x:row>
    <x:row r="1048487" ht="13.5" customHeight="1">
      <x:c r="E1048487" s="246"/>
    </x:row>
    <x:row r="1048488" ht="13.5" customHeight="1">
      <x:c r="E1048488" s="246"/>
    </x:row>
    <x:row r="1048489" ht="13.5" customHeight="1">
      <x:c r="E1048489" s="246"/>
    </x:row>
    <x:row r="1048490" ht="13.5" customHeight="1">
      <x:c r="E1048490" s="246"/>
    </x:row>
    <x:row r="1048491" ht="13.5" customHeight="1">
      <x:c r="E1048491" s="246"/>
    </x:row>
    <x:row r="1048492" ht="13.5" customHeight="1">
      <x:c r="E1048492" s="246"/>
    </x:row>
    <x:row r="1048493" ht="13.5" customHeight="1">
      <x:c r="E1048493" s="246"/>
    </x:row>
    <x:row r="1048494" ht="13.5" customHeight="1">
      <x:c r="E1048494" s="246"/>
    </x:row>
    <x:row r="1048495" ht="13.5" customHeight="1">
      <x:c r="E1048495" s="246"/>
    </x:row>
    <x:row r="1048496" ht="13.5" customHeight="1">
      <x:c r="E1048496" s="246"/>
    </x:row>
    <x:row r="1048497" ht="13.5" customHeight="1">
      <x:c r="E1048497" s="246"/>
    </x:row>
    <x:row r="1048498" ht="13.5" customHeight="1">
      <x:c r="E1048498" s="246"/>
    </x:row>
    <x:row r="1048499" ht="13.5" customHeight="1">
      <x:c r="E1048499" s="246"/>
    </x:row>
    <x:row r="1048500" ht="13.5" customHeight="1">
      <x:c r="E1048500" s="246"/>
    </x:row>
    <x:row r="1048501" ht="13.5" customHeight="1">
      <x:c r="E1048501" s="246"/>
    </x:row>
    <x:row r="1048502" ht="13.5" customHeight="1">
      <x:c r="E1048502" s="246"/>
    </x:row>
    <x:row r="1048503" ht="13.5" customHeight="1">
      <x:c r="E1048503" s="246"/>
    </x:row>
    <x:row r="1048504" ht="13.5" customHeight="1">
      <x:c r="E1048504" s="246"/>
    </x:row>
    <x:row r="1048505" ht="13.5" customHeight="1">
      <x:c r="E1048505" s="246"/>
    </x:row>
    <x:row r="1048506" ht="13.5" customHeight="1">
      <x:c r="E1048506" s="246"/>
    </x:row>
    <x:row r="1048507" ht="13.5" customHeight="1">
      <x:c r="E1048507" s="246"/>
    </x:row>
    <x:row r="1048508" ht="13.5" customHeight="1">
      <x:c r="E1048508" s="246"/>
    </x:row>
    <x:row r="1048509" ht="13.5" customHeight="1">
      <x:c r="E1048509" s="246"/>
    </x:row>
    <x:row r="1048510" ht="13.5" customHeight="1">
      <x:c r="E1048510" s="246"/>
    </x:row>
    <x:row r="1048511" ht="13.5" customHeight="1">
      <x:c r="E1048511" s="246"/>
    </x:row>
    <x:row r="1048512" ht="13.5" customHeight="1">
      <x:c r="E1048512" s="246"/>
    </x:row>
    <x:row r="1048513" ht="13.5" customHeight="1">
      <x:c r="E1048513" s="246"/>
    </x:row>
    <x:row r="1048514" ht="13.5" customHeight="1">
      <x:c r="E1048514" s="246"/>
    </x:row>
    <x:row r="1048515" ht="13.5" customHeight="1">
      <x:c r="E1048515" s="246"/>
    </x:row>
    <x:row r="1048516" ht="13.5" customHeight="1">
      <x:c r="E1048516" s="246"/>
    </x:row>
    <x:row r="1048517" ht="13.5" customHeight="1">
      <x:c r="E1048517" s="246"/>
    </x:row>
    <x:row r="1048518" ht="13.5" customHeight="1">
      <x:c r="E1048518" s="246"/>
    </x:row>
    <x:row r="1048519" ht="13.5" customHeight="1">
      <x:c r="E1048519" s="246"/>
    </x:row>
    <x:row r="1048520" ht="13.5" customHeight="1">
      <x:c r="E1048520" s="246"/>
    </x:row>
    <x:row r="1048521" ht="13.5" customHeight="1">
      <x:c r="E1048521" s="246"/>
    </x:row>
    <x:row r="1048522" ht="13.5" customHeight="1">
      <x:c r="E1048522" s="246"/>
    </x:row>
    <x:row r="1048523" ht="13.5" customHeight="1">
      <x:c r="E1048523" s="246"/>
    </x:row>
    <x:row r="1048524" ht="13.5" customHeight="1">
      <x:c r="E1048524" s="246"/>
    </x:row>
    <x:row r="1048525" ht="13.5" customHeight="1">
      <x:c r="E1048525" s="246"/>
    </x:row>
    <x:row r="1048526" ht="13.5" customHeight="1">
      <x:c r="E1048526" s="246"/>
    </x:row>
    <x:row r="1048527" ht="13.5" customHeight="1">
      <x:c r="E1048527" s="246"/>
    </x:row>
    <x:row r="1048528" ht="13.5" customHeight="1">
      <x:c r="E1048528" s="246"/>
    </x:row>
    <x:row r="1048529" ht="13.5" customHeight="1">
      <x:c r="E1048529" s="246"/>
    </x:row>
    <x:row r="1048530" ht="13.5" customHeight="1">
      <x:c r="E1048530" s="246"/>
    </x:row>
    <x:row r="1048531" ht="13.5" customHeight="1">
      <x:c r="E1048531" s="246"/>
    </x:row>
    <x:row r="1048532" ht="13.5" customHeight="1">
      <x:c r="E1048532" s="246"/>
    </x:row>
    <x:row r="1048533" ht="13.5" customHeight="1">
      <x:c r="E1048533" s="246"/>
    </x:row>
    <x:row r="1048534" ht="13.5" customHeight="1">
      <x:c r="E1048534" s="246"/>
    </x:row>
    <x:row r="1048535" ht="13.5" customHeight="1">
      <x:c r="E1048535" s="246"/>
    </x:row>
    <x:row r="1048536" ht="13.5" customHeight="1">
      <x:c r="E1048536" s="246"/>
    </x:row>
    <x:row r="1048537" ht="13.5" customHeight="1">
      <x:c r="E1048537" s="246"/>
    </x:row>
    <x:row r="1048538" ht="13.5" customHeight="1">
      <x:c r="E1048538" s="246"/>
    </x:row>
    <x:row r="1048539" ht="13.5" customHeight="1">
      <x:c r="E1048539" s="246"/>
    </x:row>
    <x:row r="1048540" ht="13.5" customHeight="1">
      <x:c r="E1048540" s="246"/>
    </x:row>
    <x:row r="1048541" ht="13.5" customHeight="1">
      <x:c r="E1048541" s="246"/>
    </x:row>
    <x:row r="1048542" ht="13.5" customHeight="1">
      <x:c r="E1048542" s="246"/>
      <x:c r="F1048542" s="247"/>
      <x:c r="G1048542" s="247"/>
      <x:c r="H1048542" s="247"/>
      <x:c r="I1048542" s="248"/>
      <x:c r="J1048542" s="249"/>
      <x:c r="L1048542" s="245"/>
    </x:row>
    <x:row r="1048543" ht="13.5" customHeight="1">
      <x:c r="E1048543" s="246"/>
      <x:c r="F1048543" s="247"/>
      <x:c r="G1048543" s="247"/>
      <x:c r="H1048543" s="247"/>
      <x:c r="I1048543" s="248"/>
      <x:c r="J1048543" s="249"/>
      <x:c r="L1048543" s="245"/>
    </x:row>
    <x:row r="1048544" ht="13.5" customHeight="1">
      <x:c r="E1048544" s="246"/>
    </x:row>
    <x:row r="1048545" ht="13.5" customHeight="1">
      <x:c r="E1048545" s="246"/>
    </x:row>
    <x:row r="1048546" ht="13.5" customHeight="1">
      <x:c r="E1048546" s="246"/>
    </x:row>
    <x:row r="1048547" ht="13.5" customHeight="1">
      <x:c r="E1048547" s="246"/>
    </x:row>
    <x:row r="1048548" ht="13.5" customHeight="1">
      <x:c r="E1048548" s="246"/>
    </x:row>
    <x:row r="1048549" ht="13.5" customHeight="1">
      <x:c r="E1048549" s="246"/>
    </x:row>
    <x:row r="1048550" ht="13.5" customHeight="1">
      <x:c r="E1048550" s="246"/>
    </x:row>
    <x:row r="1048551" ht="13.5" customHeight="1">
      <x:c r="E1048551" s="246"/>
    </x:row>
    <x:row r="1048552" ht="13.5" customHeight="1">
      <x:c r="E1048552" s="246"/>
    </x:row>
    <x:row r="1048553" ht="13.5" customHeight="1">
      <x:c r="E1048553" s="246"/>
    </x:row>
    <x:row r="1048554" ht="13.5" customHeight="1">
      <x:c r="E1048554" s="246"/>
    </x:row>
    <x:row r="1048555" ht="13.5" customHeight="1">
      <x:c r="E1048555" s="246"/>
    </x:row>
    <x:row r="1048556" ht="13.5" customHeight="1">
      <x:c r="E1048556" s="246"/>
    </x:row>
    <x:row r="1048557" ht="13.5" customHeight="1">
      <x:c r="E1048557" s="246"/>
    </x:row>
    <x:row r="1048558" ht="13.5" customHeight="1">
      <x:c r="E1048558" s="246"/>
    </x:row>
    <x:row r="1048559" ht="13.5" customHeight="1">
      <x:c r="E1048559" s="246"/>
    </x:row>
    <x:row r="1048560" ht="13.5" customHeight="1">
      <x:c r="E1048560" s="246"/>
    </x:row>
    <x:row r="1048561" ht="13.5" customHeight="1">
      <x:c r="E1048561" s="246"/>
    </x:row>
    <x:row r="1048562" ht="13.5" customHeight="1">
      <x:c r="E1048562" s="246"/>
    </x:row>
    <x:row r="1048563" ht="13.5" customHeight="1">
      <x:c r="E1048563" s="246"/>
    </x:row>
    <x:row r="1048564" ht="13.5" customHeight="1">
      <x:c r="E1048564" s="246"/>
    </x:row>
    <x:row r="1048565" ht="13.5" customHeight="1">
      <x:c r="E1048565" s="246"/>
    </x:row>
    <x:row r="1048566" ht="13.5" customHeight="1">
      <x:c r="E1048566" s="246"/>
    </x:row>
    <x:row r="1048567" ht="13.5" customHeight="1">
      <x:c r="E1048567" s="246"/>
    </x:row>
    <x:row r="1048568" ht="13.5" customHeight="1">
      <x:c r="E1048568" s="246"/>
    </x:row>
    <x:row r="1048569" ht="13.5" customHeight="1">
      <x:c r="E1048569" s="246"/>
    </x:row>
    <x:row r="1048570" ht="13.5" customHeight="1">
      <x:c r="E1048570" s="246"/>
    </x:row>
    <x:row r="1048571" ht="13.5" customHeight="1">
      <x:c r="E1048571" s="246"/>
    </x:row>
    <x:row r="1048572" ht="13.5" customHeight="1">
      <x:c r="E1048572" s="246"/>
    </x:row>
    <x:row r="1048573" ht="13.5" customHeight="1">
      <x:c r="E1048573" s="246"/>
    </x:row>
    <x:row r="1048574" ht="13.5" customHeight="1">
      <x:c r="E1048574" s="246"/>
    </x:row>
    <x:row r="1048575" ht="13.5" customHeight="1">
      <x:c r="E1048575" s="246"/>
    </x:row>
    <x:row r="1048576" ht="13.5" customHeight="1">
      <x:c r="E1048576" s="246"/>
    </x:row>
  </x:sheetData>
  <x:mergeCells>
    <x:mergeCell ref="AB1:AE1"/>
    <x:mergeCell ref="AF1:AG1"/>
    <x:mergeCell ref="A141:C141"/>
    <x:mergeCell ref="D141:E141"/>
    <x:mergeCell ref="A137:C137"/>
    <x:mergeCell ref="D137:E137"/>
    <x:mergeCell ref="A138:C138"/>
    <x:mergeCell ref="D138:E138"/>
    <x:mergeCell ref="A139:E139"/>
    <x:mergeCell ref="A140:C140"/>
    <x:mergeCell ref="D140:E140"/>
    <x:mergeCell ref="AJ1:AL1"/>
    <x:mergeCell ref="AQ1:AT1"/>
    <x:mergeCell ref="AU1:AV1"/>
    <x:mergeCell ref="A136:E136"/>
    <x:mergeCell ref="AF52:AG52"/>
    <x:mergeCell ref="A130:E130"/>
    <x:mergeCell ref="A131:C131"/>
    <x:mergeCell ref="D131:E131"/>
    <x:mergeCell ref="A132:C132"/>
    <x:mergeCell ref="D132:E132"/>
    <x:mergeCell ref="A133:E133"/>
    <x:mergeCell ref="A134:C134"/>
    <x:mergeCell ref="D134:E134"/>
    <x:mergeCell ref="A135:C135"/>
    <x:mergeCell ref="D135:E135"/>
    <x:mergeCell ref="AF51:AG51"/>
  </x:mergeCells>
  <x:pageMargins left="0.7" right="0.7" top="0.75" bottom="0.75" header="0.3" footer="0.3"/>
  <x:tableParts count="1">
    <x:tablePart xmlns:r="http://schemas.openxmlformats.org/officeDocument/2006/relationships" r:id="Rfdb6734c5a034dee"/>
  </x:tableParts>
</x:worksheet>
</file>

<file path=xl/worksheets/sheet2.xml><?xml version="1.0" encoding="utf-8"?>
<x:worksheet xmlns:x="http://schemas.openxmlformats.org/spreadsheetml/2006/main">
  <x:sheetPr>
    <x:tabColor rgb="FFFFFF00"/>
  </x:sheetPr>
  <x:sheetFormatPr defaultRowHeight="18.75"/>
  <x:cols>
    <x:col min="1" max="53" width="1.625" style="6" customWidth="1"/>
    <x:col min="54" max="54" width="1.75" style="6" customWidth="1"/>
    <x:col min="55" max="55" width="3.875" style="6" customWidth="1"/>
    <x:col min="56" max="117" width="1.625" style="6" customWidth="1"/>
    <x:col min="118" max="118" width="4.625" style="6" customWidth="1"/>
    <x:col min="119" max="143" width="1.625" style="6" customWidth="1"/>
    <x:col min="144" max="16384" width="9" style="6" customWidth="0"/>
  </x:cols>
  <x:sheetData>
    <x:row r="1" ht="6" customHeight="1">
      <x:c r="A1" s="478" t="s">
        <x:v>158</x:v>
      </x:c>
      <x:c r="B1" s="478"/>
      <x:c r="C1" s="478"/>
      <x:c r="D1" s="478"/>
      <x:c r="E1" s="478"/>
      <x:c r="F1" s="478"/>
      <x:c r="G1" s="478"/>
      <x:c r="H1" s="478"/>
      <x:c r="I1" s="478"/>
      <x:c r="J1" s="478"/>
      <x:c r="K1" s="478"/>
      <x:c r="L1" s="478"/>
      <x:c r="M1" s="478"/>
      <x:c r="N1" s="478"/>
      <x:c r="S1" s="35"/>
      <x:c r="AJ1" s="486" t="s">
        <x:v>159</x:v>
      </x:c>
      <x:c r="AK1" s="486"/>
      <x:c r="AL1" s="486"/>
      <x:c r="AM1" s="486"/>
      <x:c r="AN1" s="486"/>
      <x:c r="AO1" s="486"/>
      <x:c r="AP1" s="486"/>
      <x:c r="AQ1" s="486"/>
      <x:c r="AR1" s="486"/>
      <x:c r="AS1" s="486"/>
      <x:c r="AT1" s="486"/>
      <x:c r="AU1" s="486"/>
      <x:c r="AV1" s="486"/>
      <x:c r="AW1" s="486"/>
      <x:c r="AX1" s="486"/>
      <x:c r="AY1" s="486"/>
      <x:c r="AZ1" s="486"/>
      <x:c r="BA1" s="486"/>
      <x:c r="BB1" s="486"/>
      <x:c r="BD1" s="479" t="s">
        <x:v>160</x:v>
      </x:c>
      <x:c r="BE1" s="479"/>
      <x:c r="BF1" s="479"/>
      <x:c r="BG1" s="479"/>
      <x:c r="BH1" s="479"/>
      <x:c r="BI1" s="479"/>
      <x:c r="BJ1" s="479"/>
      <x:c r="BK1" s="479"/>
      <x:c r="BL1" s="479"/>
      <x:c r="BM1" s="479"/>
      <x:c r="BN1" s="479"/>
      <x:c r="BO1" s="479"/>
      <x:c r="BP1" s="479"/>
      <x:c r="BQ1" s="479"/>
      <x:c r="BR1" s="479"/>
      <x:c r="BS1" s="479"/>
      <x:c r="BT1" s="479"/>
      <x:c r="BU1" s="479"/>
      <x:c r="BV1" s="479"/>
      <x:c r="BW1" s="479"/>
      <x:c r="BX1" s="479"/>
      <x:c r="BY1" s="479"/>
      <x:c r="BZ1" s="479"/>
      <x:c r="CA1" s="479"/>
      <x:c r="CB1" s="479"/>
      <x:c r="CC1" s="479"/>
      <x:c r="CD1" s="479"/>
      <x:c r="CE1" s="479"/>
      <x:c r="CF1" s="479"/>
      <x:c r="CG1" s="479"/>
      <x:c r="CH1" s="479"/>
      <x:c r="CI1" s="479"/>
      <x:c r="CJ1" s="479"/>
      <x:c r="CK1" s="479"/>
      <x:c r="CL1" s="479"/>
      <x:c r="CM1" s="479"/>
      <x:c r="CN1" s="479"/>
      <x:c r="CO1" s="479"/>
      <x:c r="CP1" s="479"/>
      <x:c r="CQ1" s="479"/>
      <x:c r="CR1" s="479"/>
      <x:c r="CS1" s="479"/>
      <x:c r="CT1" s="479"/>
      <x:c r="CU1" s="479"/>
      <x:c r="CV1" s="479"/>
      <x:c r="CW1" s="479"/>
      <x:c r="CX1" s="479"/>
      <x:c r="CY1" s="479" t="s">
        <x:v>161</x:v>
      </x:c>
      <x:c r="CZ1" s="479"/>
      <x:c r="DA1" s="479"/>
      <x:c r="DB1" s="479"/>
      <x:c r="DC1" s="479"/>
      <x:c r="DD1" s="479"/>
      <x:c r="DE1" s="479"/>
      <x:c r="DF1" s="479"/>
      <x:c r="DG1" s="479"/>
      <x:c r="DO1" s="30"/>
      <x:c r="DP1" s="30"/>
      <x:c r="DQ1" s="30"/>
      <x:c r="DR1" s="30"/>
      <x:c r="DS1" s="30"/>
      <x:c r="DT1" s="30"/>
      <x:c r="DU1" s="30"/>
      <x:c r="DV1" s="9"/>
      <x:c r="DW1" s="9"/>
      <x:c r="DX1" s="9"/>
      <x:c r="DY1" s="9"/>
      <x:c r="DZ1" s="9"/>
      <x:c r="EA1" s="9"/>
      <x:c r="EB1" s="9"/>
      <x:c r="EC1" s="9"/>
      <x:c r="ED1" s="9"/>
      <x:c r="EE1" s="9"/>
      <x:c r="EF1" s="9"/>
      <x:c r="EG1" s="9"/>
      <x:c r="EH1" s="9"/>
      <x:c r="EI1" s="9"/>
      <x:c r="EJ1" s="9"/>
      <x:c r="EK1" s="9"/>
      <x:c r="EL1" s="9"/>
      <x:c r="EM1" s="9"/>
    </x:row>
    <x:row r="2" ht="6" customHeight="1">
      <x:c r="A2" s="478"/>
      <x:c r="B2" s="478"/>
      <x:c r="C2" s="478"/>
      <x:c r="D2" s="478"/>
      <x:c r="E2" s="478"/>
      <x:c r="F2" s="478"/>
      <x:c r="G2" s="478"/>
      <x:c r="H2" s="478"/>
      <x:c r="I2" s="478"/>
      <x:c r="J2" s="478"/>
      <x:c r="K2" s="478"/>
      <x:c r="L2" s="478"/>
      <x:c r="M2" s="478"/>
      <x:c r="N2" s="478"/>
      <x:c r="O2" s="481" t="s">
        <x:v>162</x:v>
      </x:c>
      <x:c r="P2" s="482"/>
      <x:c r="Q2" s="482"/>
      <x:c r="R2" s="482"/>
      <x:c r="S2" s="484"/>
      <x:c r="T2" s="484"/>
      <x:c r="U2" s="484"/>
      <x:c r="V2" s="484"/>
      <x:c r="W2" s="484"/>
      <x:c r="X2" s="484"/>
      <x:c r="Y2" s="484"/>
      <x:c r="Z2" s="484"/>
      <x:c r="AJ2" s="486"/>
      <x:c r="AK2" s="486"/>
      <x:c r="AL2" s="486"/>
      <x:c r="AM2" s="486"/>
      <x:c r="AN2" s="486"/>
      <x:c r="AO2" s="486"/>
      <x:c r="AP2" s="486"/>
      <x:c r="AQ2" s="486"/>
      <x:c r="AR2" s="486"/>
      <x:c r="AS2" s="486"/>
      <x:c r="AT2" s="486"/>
      <x:c r="AU2" s="486"/>
      <x:c r="AV2" s="486"/>
      <x:c r="AW2" s="486"/>
      <x:c r="AX2" s="486"/>
      <x:c r="AY2" s="486"/>
      <x:c r="AZ2" s="486"/>
      <x:c r="BA2" s="486"/>
      <x:c r="BB2" s="486"/>
      <x:c r="BD2" s="479"/>
      <x:c r="BE2" s="479"/>
      <x:c r="BF2" s="479"/>
      <x:c r="BG2" s="479"/>
      <x:c r="BH2" s="479"/>
      <x:c r="BI2" s="479"/>
      <x:c r="BJ2" s="479"/>
      <x:c r="BK2" s="479"/>
      <x:c r="BL2" s="479"/>
      <x:c r="BM2" s="479"/>
      <x:c r="BN2" s="479"/>
      <x:c r="BO2" s="479"/>
      <x:c r="BP2" s="479"/>
      <x:c r="BQ2" s="479"/>
      <x:c r="BR2" s="479"/>
      <x:c r="BS2" s="479"/>
      <x:c r="BT2" s="479"/>
      <x:c r="BU2" s="479"/>
      <x:c r="BV2" s="479"/>
      <x:c r="BW2" s="479"/>
      <x:c r="BX2" s="479"/>
      <x:c r="BY2" s="479"/>
      <x:c r="BZ2" s="479"/>
      <x:c r="CA2" s="479"/>
      <x:c r="CB2" s="479"/>
      <x:c r="CC2" s="479"/>
      <x:c r="CD2" s="479"/>
      <x:c r="CE2" s="479"/>
      <x:c r="CF2" s="479"/>
      <x:c r="CG2" s="479"/>
      <x:c r="CH2" s="479"/>
      <x:c r="CI2" s="479"/>
      <x:c r="CJ2" s="479"/>
      <x:c r="CK2" s="479"/>
      <x:c r="CL2" s="479"/>
      <x:c r="CM2" s="479"/>
      <x:c r="CN2" s="479"/>
      <x:c r="CO2" s="479"/>
      <x:c r="CP2" s="479"/>
      <x:c r="CQ2" s="479"/>
      <x:c r="CR2" s="479"/>
      <x:c r="CS2" s="479"/>
      <x:c r="CT2" s="479"/>
      <x:c r="CU2" s="479"/>
      <x:c r="CV2" s="479"/>
      <x:c r="CW2" s="479"/>
      <x:c r="CX2" s="479"/>
      <x:c r="CY2" s="479"/>
      <x:c r="CZ2" s="479"/>
      <x:c r="DA2" s="479"/>
      <x:c r="DB2" s="479"/>
      <x:c r="DC2" s="479"/>
      <x:c r="DD2" s="479"/>
      <x:c r="DE2" s="479"/>
      <x:c r="DF2" s="479"/>
      <x:c r="DG2" s="479"/>
      <x:c r="DO2" s="30"/>
      <x:c r="DP2" s="30"/>
      <x:c r="DQ2" s="30"/>
      <x:c r="DR2" s="30"/>
      <x:c r="DS2" s="30"/>
      <x:c r="DT2" s="30"/>
      <x:c r="DU2" s="30"/>
      <x:c r="DV2" s="9"/>
      <x:c r="DW2" s="9"/>
      <x:c r="DX2" s="9"/>
      <x:c r="DY2" s="9"/>
      <x:c r="DZ2" s="9"/>
      <x:c r="EA2" s="9"/>
      <x:c r="EB2" s="9"/>
      <x:c r="EC2" s="9"/>
      <x:c r="ED2" s="9"/>
      <x:c r="EE2" s="9"/>
      <x:c r="EF2" s="9"/>
      <x:c r="EG2" s="9"/>
      <x:c r="EH2" s="9"/>
      <x:c r="EI2" s="9"/>
      <x:c r="EJ2" s="9"/>
      <x:c r="EK2" s="9"/>
      <x:c r="EL2" s="9"/>
      <x:c r="EM2" s="9"/>
    </x:row>
    <x:row r="3" ht="6" customHeight="1">
      <x:c r="A3" s="478"/>
      <x:c r="B3" s="478"/>
      <x:c r="C3" s="478"/>
      <x:c r="D3" s="478"/>
      <x:c r="E3" s="478"/>
      <x:c r="F3" s="478"/>
      <x:c r="G3" s="478"/>
      <x:c r="H3" s="478"/>
      <x:c r="I3" s="478"/>
      <x:c r="J3" s="478"/>
      <x:c r="K3" s="478"/>
      <x:c r="L3" s="478"/>
      <x:c r="M3" s="478"/>
      <x:c r="N3" s="478"/>
      <x:c r="O3" s="482"/>
      <x:c r="P3" s="482"/>
      <x:c r="Q3" s="482"/>
      <x:c r="R3" s="482"/>
      <x:c r="S3" s="484"/>
      <x:c r="T3" s="484"/>
      <x:c r="U3" s="484"/>
      <x:c r="V3" s="484"/>
      <x:c r="W3" s="484"/>
      <x:c r="X3" s="484"/>
      <x:c r="Y3" s="484"/>
      <x:c r="Z3" s="484"/>
      <x:c r="AJ3" s="486"/>
      <x:c r="AK3" s="486"/>
      <x:c r="AL3" s="486"/>
      <x:c r="AM3" s="486"/>
      <x:c r="AN3" s="486"/>
      <x:c r="AO3" s="486"/>
      <x:c r="AP3" s="486"/>
      <x:c r="AQ3" s="486"/>
      <x:c r="AR3" s="486"/>
      <x:c r="AS3" s="486"/>
      <x:c r="AT3" s="486"/>
      <x:c r="AU3" s="486"/>
      <x:c r="AV3" s="486"/>
      <x:c r="AW3" s="486"/>
      <x:c r="AX3" s="486"/>
      <x:c r="AY3" s="486"/>
      <x:c r="AZ3" s="486"/>
      <x:c r="BA3" s="486"/>
      <x:c r="BB3" s="486"/>
      <x:c r="BD3" s="480"/>
      <x:c r="BE3" s="480"/>
      <x:c r="BF3" s="480"/>
      <x:c r="BG3" s="480"/>
      <x:c r="BH3" s="480"/>
      <x:c r="BI3" s="480"/>
      <x:c r="BJ3" s="480"/>
      <x:c r="BK3" s="480"/>
      <x:c r="BL3" s="480"/>
      <x:c r="BM3" s="480"/>
      <x:c r="BN3" s="480"/>
      <x:c r="BO3" s="480"/>
      <x:c r="BP3" s="480"/>
      <x:c r="BQ3" s="480"/>
      <x:c r="BR3" s="480"/>
      <x:c r="BS3" s="480"/>
      <x:c r="BT3" s="480"/>
      <x:c r="BU3" s="480"/>
      <x:c r="BV3" s="480"/>
      <x:c r="BW3" s="480"/>
      <x:c r="BX3" s="480"/>
      <x:c r="BY3" s="480"/>
      <x:c r="BZ3" s="480"/>
      <x:c r="CA3" s="480"/>
      <x:c r="CB3" s="480"/>
      <x:c r="CC3" s="480"/>
      <x:c r="CD3" s="480"/>
      <x:c r="CE3" s="480"/>
      <x:c r="CF3" s="480"/>
      <x:c r="CG3" s="480"/>
      <x:c r="CH3" s="480"/>
      <x:c r="CI3" s="480"/>
      <x:c r="CJ3" s="480"/>
      <x:c r="CK3" s="480"/>
      <x:c r="CL3" s="480"/>
      <x:c r="CM3" s="480"/>
      <x:c r="CN3" s="480"/>
      <x:c r="CO3" s="480"/>
      <x:c r="CP3" s="480"/>
      <x:c r="CQ3" s="480"/>
      <x:c r="CR3" s="480"/>
      <x:c r="CS3" s="480"/>
      <x:c r="CT3" s="480"/>
      <x:c r="CU3" s="480"/>
      <x:c r="CV3" s="480"/>
      <x:c r="CW3" s="480"/>
      <x:c r="CX3" s="480"/>
      <x:c r="CY3" s="480"/>
      <x:c r="CZ3" s="480"/>
      <x:c r="DA3" s="480"/>
      <x:c r="DB3" s="480"/>
      <x:c r="DC3" s="480"/>
      <x:c r="DD3" s="480"/>
      <x:c r="DE3" s="480"/>
      <x:c r="DF3" s="480"/>
      <x:c r="DG3" s="480"/>
      <x:c r="DO3" s="30"/>
      <x:c r="DP3" s="30"/>
      <x:c r="DQ3" s="30"/>
      <x:c r="DR3" s="30"/>
      <x:c r="DS3" s="30"/>
      <x:c r="DT3" s="30"/>
      <x:c r="DU3" s="30"/>
      <x:c r="DV3" s="9"/>
      <x:c r="DW3" s="9"/>
      <x:c r="DX3" s="9"/>
      <x:c r="DY3" s="9"/>
      <x:c r="DZ3" s="9"/>
      <x:c r="EA3" s="9"/>
      <x:c r="EB3" s="9"/>
      <x:c r="EC3" s="9"/>
      <x:c r="ED3" s="9"/>
      <x:c r="EE3" s="9"/>
      <x:c r="EF3" s="9"/>
      <x:c r="EG3" s="9"/>
      <x:c r="EH3" s="9"/>
      <x:c r="EI3" s="9"/>
      <x:c r="EJ3" s="9"/>
      <x:c r="EK3" s="9"/>
      <x:c r="EL3" s="9"/>
      <x:c r="EM3" s="9"/>
    </x:row>
    <x:row r="4" ht="6" customHeight="1">
      <x:c r="A4" s="478"/>
      <x:c r="B4" s="478"/>
      <x:c r="C4" s="478"/>
      <x:c r="D4" s="478"/>
      <x:c r="E4" s="478"/>
      <x:c r="F4" s="478"/>
      <x:c r="G4" s="478"/>
      <x:c r="H4" s="478"/>
      <x:c r="I4" s="478"/>
      <x:c r="J4" s="478"/>
      <x:c r="K4" s="478"/>
      <x:c r="L4" s="478"/>
      <x:c r="M4" s="478"/>
      <x:c r="N4" s="478"/>
      <x:c r="O4" s="482"/>
      <x:c r="P4" s="482"/>
      <x:c r="Q4" s="482"/>
      <x:c r="R4" s="482"/>
      <x:c r="S4" s="484"/>
      <x:c r="T4" s="484"/>
      <x:c r="U4" s="484"/>
      <x:c r="V4" s="484"/>
      <x:c r="W4" s="484"/>
      <x:c r="X4" s="484"/>
      <x:c r="Y4" s="484"/>
      <x:c r="Z4" s="484"/>
      <x:c r="AJ4" s="486"/>
      <x:c r="AK4" s="486"/>
      <x:c r="AL4" s="486"/>
      <x:c r="AM4" s="486"/>
      <x:c r="AN4" s="486"/>
      <x:c r="AO4" s="486"/>
      <x:c r="AP4" s="486"/>
      <x:c r="AQ4" s="486"/>
      <x:c r="AR4" s="486"/>
      <x:c r="AS4" s="486"/>
      <x:c r="AT4" s="486"/>
      <x:c r="AU4" s="486"/>
      <x:c r="AV4" s="486"/>
      <x:c r="AW4" s="486"/>
      <x:c r="AX4" s="486"/>
      <x:c r="AY4" s="486"/>
      <x:c r="AZ4" s="486"/>
      <x:c r="BA4" s="486"/>
      <x:c r="BB4" s="486"/>
      <x:c r="BD4" s="278" t="s">
        <x:v>163</x:v>
      </x:c>
      <x:c r="BE4" s="279"/>
      <x:c r="BF4" s="279"/>
      <x:c r="BG4" s="279"/>
      <x:c r="BH4" s="279"/>
      <x:c r="BI4" s="279"/>
      <x:c r="BJ4" s="279"/>
      <x:c r="BK4" s="279"/>
      <x:c r="BL4" s="279"/>
      <x:c r="BM4" s="279"/>
      <x:c r="BN4" s="270" t="s">
        <x:v>164</x:v>
      </x:c>
      <x:c r="BO4" s="270"/>
      <x:c r="BP4" s="270"/>
      <x:c r="BQ4" s="271"/>
      <x:c r="BR4" s="278" t="s">
        <x:v>163</x:v>
      </x:c>
      <x:c r="BS4" s="279"/>
      <x:c r="BT4" s="279"/>
      <x:c r="BU4" s="279"/>
      <x:c r="BV4" s="279"/>
      <x:c r="BW4" s="279"/>
      <x:c r="BX4" s="279"/>
      <x:c r="BY4" s="279"/>
      <x:c r="BZ4" s="279"/>
      <x:c r="CA4" s="279"/>
      <x:c r="CB4" s="270" t="s">
        <x:v>164</x:v>
      </x:c>
      <x:c r="CC4" s="270"/>
      <x:c r="CD4" s="270"/>
      <x:c r="CE4" s="271"/>
      <x:c r="CF4" s="278" t="s">
        <x:v>163</x:v>
      </x:c>
      <x:c r="CG4" s="279"/>
      <x:c r="CH4" s="279"/>
      <x:c r="CI4" s="279"/>
      <x:c r="CJ4" s="279"/>
      <x:c r="CK4" s="279"/>
      <x:c r="CL4" s="279"/>
      <x:c r="CM4" s="279"/>
      <x:c r="CN4" s="279"/>
      <x:c r="CO4" s="279"/>
      <x:c r="CP4" s="270" t="s">
        <x:v>164</x:v>
      </x:c>
      <x:c r="CQ4" s="270"/>
      <x:c r="CR4" s="270"/>
      <x:c r="CS4" s="271"/>
      <x:c r="CT4" s="278" t="s">
        <x:v>163</x:v>
      </x:c>
      <x:c r="CU4" s="279"/>
      <x:c r="CV4" s="279"/>
      <x:c r="CW4" s="279"/>
      <x:c r="CX4" s="279"/>
      <x:c r="CY4" s="279"/>
      <x:c r="CZ4" s="279"/>
      <x:c r="DA4" s="279"/>
      <x:c r="DB4" s="279"/>
      <x:c r="DC4" s="279"/>
      <x:c r="DD4" s="270" t="s">
        <x:v>164</x:v>
      </x:c>
      <x:c r="DE4" s="270"/>
      <x:c r="DF4" s="270"/>
      <x:c r="DG4" s="271"/>
      <x:c r="DO4" s="30"/>
      <x:c r="DP4" s="30"/>
      <x:c r="DQ4" s="30"/>
      <x:c r="DR4" s="30"/>
      <x:c r="DS4" s="30"/>
      <x:c r="DT4" s="30"/>
      <x:c r="DU4" s="30"/>
      <x:c r="DV4" s="9"/>
      <x:c r="DW4" s="9"/>
      <x:c r="DX4" s="9"/>
      <x:c r="DY4" s="9"/>
      <x:c r="DZ4" s="9"/>
      <x:c r="EA4" s="9"/>
      <x:c r="EB4" s="9"/>
      <x:c r="EC4" s="9"/>
      <x:c r="ED4" s="9"/>
      <x:c r="EE4" s="9"/>
      <x:c r="EF4" s="9"/>
      <x:c r="EG4" s="9"/>
      <x:c r="EH4" s="9"/>
      <x:c r="EI4" s="9"/>
      <x:c r="EJ4" s="9"/>
      <x:c r="EK4" s="9"/>
      <x:c r="EL4" s="9"/>
      <x:c r="EM4" s="9"/>
    </x:row>
    <x:row r="5" ht="6" customHeight="1">
      <x:c r="A5" s="478"/>
      <x:c r="B5" s="478"/>
      <x:c r="C5" s="478"/>
      <x:c r="D5" s="478"/>
      <x:c r="E5" s="478"/>
      <x:c r="F5" s="478"/>
      <x:c r="G5" s="478"/>
      <x:c r="H5" s="478"/>
      <x:c r="I5" s="478"/>
      <x:c r="J5" s="478"/>
      <x:c r="K5" s="478"/>
      <x:c r="L5" s="478"/>
      <x:c r="M5" s="478"/>
      <x:c r="N5" s="478"/>
      <x:c r="O5" s="483"/>
      <x:c r="P5" s="483"/>
      <x:c r="Q5" s="483"/>
      <x:c r="R5" s="483"/>
      <x:c r="S5" s="485"/>
      <x:c r="T5" s="485"/>
      <x:c r="U5" s="485"/>
      <x:c r="V5" s="485"/>
      <x:c r="W5" s="485"/>
      <x:c r="X5" s="485"/>
      <x:c r="Y5" s="485"/>
      <x:c r="Z5" s="485"/>
      <x:c r="AC5" s="101"/>
      <x:c r="AD5" s="275" t="s">
        <x:v>165</x:v>
      </x:c>
      <x:c r="AE5" s="275"/>
      <x:c r="AF5" s="275"/>
      <x:c r="AG5" s="275"/>
      <x:c r="AH5" s="275"/>
      <x:c r="AI5" s="275"/>
      <x:c r="AJ5" s="275"/>
      <x:c r="AK5" s="275"/>
      <x:c r="AL5" s="275"/>
      <x:c r="AM5" s="275" t="s">
        <x:v>166</x:v>
      </x:c>
      <x:c r="AN5" s="275"/>
      <x:c r="AO5" s="275"/>
      <x:c r="AP5" s="275"/>
      <x:c r="AQ5" s="275"/>
      <x:c r="AR5" s="275"/>
      <x:c r="AS5" s="275"/>
      <x:c r="AT5" s="275"/>
      <x:c r="AU5" s="275"/>
      <x:c r="AV5" s="275"/>
      <x:c r="AW5" s="275"/>
      <x:c r="AX5" s="275"/>
      <x:c r="AY5" s="275"/>
      <x:c r="AZ5" s="275"/>
      <x:c r="BA5" s="275"/>
      <x:c r="BB5" s="275"/>
      <x:c r="BD5" s="280"/>
      <x:c r="BE5" s="281"/>
      <x:c r="BF5" s="281"/>
      <x:c r="BG5" s="281"/>
      <x:c r="BH5" s="281"/>
      <x:c r="BI5" s="281"/>
      <x:c r="BJ5" s="281"/>
      <x:c r="BK5" s="281"/>
      <x:c r="BL5" s="281"/>
      <x:c r="BM5" s="281"/>
      <x:c r="BN5" s="261"/>
      <x:c r="BO5" s="261"/>
      <x:c r="BP5" s="261"/>
      <x:c r="BQ5" s="262"/>
      <x:c r="BR5" s="280"/>
      <x:c r="BS5" s="281"/>
      <x:c r="BT5" s="281"/>
      <x:c r="BU5" s="281"/>
      <x:c r="BV5" s="281"/>
      <x:c r="BW5" s="281"/>
      <x:c r="BX5" s="281"/>
      <x:c r="BY5" s="281"/>
      <x:c r="BZ5" s="281"/>
      <x:c r="CA5" s="281"/>
      <x:c r="CB5" s="261"/>
      <x:c r="CC5" s="261"/>
      <x:c r="CD5" s="261"/>
      <x:c r="CE5" s="262"/>
      <x:c r="CF5" s="280"/>
      <x:c r="CG5" s="281"/>
      <x:c r="CH5" s="281"/>
      <x:c r="CI5" s="281"/>
      <x:c r="CJ5" s="281"/>
      <x:c r="CK5" s="281"/>
      <x:c r="CL5" s="281"/>
      <x:c r="CM5" s="281"/>
      <x:c r="CN5" s="281"/>
      <x:c r="CO5" s="281"/>
      <x:c r="CP5" s="261"/>
      <x:c r="CQ5" s="261"/>
      <x:c r="CR5" s="261"/>
      <x:c r="CS5" s="262"/>
      <x:c r="CT5" s="280"/>
      <x:c r="CU5" s="281"/>
      <x:c r="CV5" s="281"/>
      <x:c r="CW5" s="281"/>
      <x:c r="CX5" s="281"/>
      <x:c r="CY5" s="281"/>
      <x:c r="CZ5" s="281"/>
      <x:c r="DA5" s="281"/>
      <x:c r="DB5" s="281"/>
      <x:c r="DC5" s="281"/>
      <x:c r="DD5" s="261"/>
      <x:c r="DE5" s="261"/>
      <x:c r="DF5" s="261"/>
      <x:c r="DG5" s="262"/>
      <x:c r="DO5" s="30"/>
      <x:c r="DP5" s="30"/>
      <x:c r="DQ5" s="30"/>
      <x:c r="DR5" s="30"/>
      <x:c r="DS5" s="30"/>
      <x:c r="DT5" s="30"/>
      <x:c r="DU5" s="30"/>
      <x:c r="DV5" s="9"/>
      <x:c r="DW5" s="9"/>
      <x:c r="DX5" s="9"/>
      <x:c r="DY5" s="9"/>
      <x:c r="DZ5" s="9"/>
      <x:c r="EA5" s="9"/>
      <x:c r="EB5" s="9"/>
      <x:c r="EC5" s="9"/>
      <x:c r="ED5" s="9"/>
      <x:c r="EE5" s="9"/>
      <x:c r="EF5" s="9"/>
      <x:c r="EG5" s="9"/>
      <x:c r="EH5" s="9"/>
      <x:c r="EI5" s="9"/>
      <x:c r="EJ5" s="9"/>
      <x:c r="EK5" s="9"/>
      <x:c r="EL5" s="9"/>
      <x:c r="EM5" s="9"/>
    </x:row>
    <x:row r="6" ht="6" customHeight="1">
      <x:c r="A6" s="454" t="s">
        <x:v>167</x:v>
      </x:c>
      <x:c r="B6" s="455"/>
      <x:c r="C6" s="460"/>
      <x:c r="D6" s="461"/>
      <x:c r="E6" s="461"/>
      <x:c r="F6" s="461"/>
      <x:c r="G6" s="461"/>
      <x:c r="H6" s="461"/>
      <x:c r="I6" s="461"/>
      <x:c r="J6" s="461"/>
      <x:c r="K6" s="461"/>
      <x:c r="L6" s="461"/>
      <x:c r="M6" s="461"/>
      <x:c r="N6" s="461"/>
      <x:c r="O6" s="461"/>
      <x:c r="P6" s="461"/>
      <x:c r="Q6" s="461"/>
      <x:c r="R6" s="461"/>
      <x:c r="S6" s="461"/>
      <x:c r="T6" s="461"/>
      <x:c r="U6" s="461"/>
      <x:c r="V6" s="461"/>
      <x:c r="W6" s="461"/>
      <x:c r="X6" s="462"/>
      <x:c r="Y6" s="469" t="s">
        <x:v>168</x:v>
      </x:c>
      <x:c r="Z6" s="470"/>
      <x:c r="AB6" s="101"/>
      <x:c r="AC6" s="101"/>
      <x:c r="AD6" s="275"/>
      <x:c r="AE6" s="275"/>
      <x:c r="AF6" s="275"/>
      <x:c r="AG6" s="275"/>
      <x:c r="AH6" s="275"/>
      <x:c r="AI6" s="275"/>
      <x:c r="AJ6" s="275"/>
      <x:c r="AK6" s="275"/>
      <x:c r="AL6" s="275"/>
      <x:c r="AM6" s="275"/>
      <x:c r="AN6" s="275"/>
      <x:c r="AO6" s="275"/>
      <x:c r="AP6" s="275"/>
      <x:c r="AQ6" s="275"/>
      <x:c r="AR6" s="275"/>
      <x:c r="AS6" s="275"/>
      <x:c r="AT6" s="275"/>
      <x:c r="AU6" s="275"/>
      <x:c r="AV6" s="275"/>
      <x:c r="AW6" s="275"/>
      <x:c r="AX6" s="275"/>
      <x:c r="AY6" s="275"/>
      <x:c r="AZ6" s="275"/>
      <x:c r="BA6" s="275"/>
      <x:c r="BB6" s="275"/>
      <x:c r="BD6" s="263" t="s">
        <x:v>18</x:v>
      </x:c>
      <x:c r="BE6" s="264"/>
      <x:c r="BF6" s="264"/>
      <x:c r="BG6" s="264"/>
      <x:c r="BH6" s="264"/>
      <x:c r="BI6" s="264"/>
      <x:c r="BJ6" s="264"/>
      <x:c r="BK6" s="264"/>
      <x:c r="BL6" s="264"/>
      <x:c r="BM6" s="264"/>
      <x:c r="BN6" s="264"/>
      <x:c r="BO6" s="264"/>
      <x:c r="BP6" s="264"/>
      <x:c r="BQ6" s="265"/>
      <x:c r="BR6" s="269" t="s">
        <x:v>169</x:v>
      </x:c>
      <x:c r="BS6" s="270"/>
      <x:c r="BT6" s="270"/>
      <x:c r="BU6" s="270"/>
      <x:c r="BV6" s="270"/>
      <x:c r="BW6" s="270"/>
      <x:c r="BX6" s="270"/>
      <x:c r="BY6" s="270"/>
      <x:c r="BZ6" s="270"/>
      <x:c r="CA6" s="270"/>
      <x:c r="CB6" s="270"/>
      <x:c r="CC6" s="270"/>
      <x:c r="CD6" s="270"/>
      <x:c r="CE6" s="271"/>
      <x:c r="CF6" s="257" t="s">
        <x:v>170</x:v>
      </x:c>
      <x:c r="CG6" s="258"/>
      <x:c r="CH6" s="258"/>
      <x:c r="CI6" s="258"/>
      <x:c r="CJ6" s="258"/>
      <x:c r="CK6" s="258"/>
      <x:c r="CL6" s="258"/>
      <x:c r="CM6" s="258"/>
      <x:c r="CN6" s="258"/>
      <x:c r="CO6" s="258"/>
      <x:c r="CP6" s="258"/>
      <x:c r="CQ6" s="258"/>
      <x:c r="CR6" s="258"/>
      <x:c r="CS6" s="258"/>
      <x:c r="CT6" s="258"/>
      <x:c r="CU6" s="258"/>
      <x:c r="CV6" s="258"/>
      <x:c r="CW6" s="258"/>
      <x:c r="CX6" s="258"/>
      <x:c r="CY6" s="258"/>
      <x:c r="CZ6" s="258"/>
      <x:c r="DA6" s="258"/>
      <x:c r="DB6" s="258"/>
      <x:c r="DC6" s="258"/>
      <x:c r="DD6" s="258"/>
      <x:c r="DE6" s="258"/>
      <x:c r="DF6" s="258"/>
      <x:c r="DG6" s="259"/>
      <x:c r="DK6" s="71"/>
      <x:c r="DL6" s="71"/>
      <x:c r="DM6" s="71"/>
      <x:c r="DN6" s="71"/>
      <x:c r="DO6" s="71"/>
      <x:c r="DP6" s="71"/>
      <x:c r="DQ6" s="71"/>
      <x:c r="DR6" s="71"/>
      <x:c r="DS6" s="30"/>
      <x:c r="DT6" s="30"/>
      <x:c r="DU6" s="71"/>
      <x:c r="DV6" s="71"/>
      <x:c r="DW6" s="71"/>
      <x:c r="DX6" s="71"/>
      <x:c r="DY6" s="71"/>
      <x:c r="DZ6" s="71"/>
      <x:c r="EA6" s="71"/>
      <x:c r="EB6" s="71"/>
      <x:c r="EC6" s="9"/>
      <x:c r="ED6" s="9"/>
      <x:c r="EE6" s="9"/>
      <x:c r="EF6" s="71"/>
      <x:c r="EG6" s="71"/>
      <x:c r="EH6" s="71"/>
      <x:c r="EI6" s="71"/>
      <x:c r="EJ6" s="71"/>
      <x:c r="EK6" s="71"/>
      <x:c r="EL6" s="71"/>
      <x:c r="EM6" s="71"/>
    </x:row>
    <x:row r="7" ht="6" customHeight="1">
      <x:c r="A7" s="456"/>
      <x:c r="B7" s="457"/>
      <x:c r="C7" s="463"/>
      <x:c r="D7" s="464"/>
      <x:c r="E7" s="464"/>
      <x:c r="F7" s="464"/>
      <x:c r="G7" s="464"/>
      <x:c r="H7" s="464"/>
      <x:c r="I7" s="464"/>
      <x:c r="J7" s="464"/>
      <x:c r="K7" s="464"/>
      <x:c r="L7" s="464"/>
      <x:c r="M7" s="464"/>
      <x:c r="N7" s="464"/>
      <x:c r="O7" s="464"/>
      <x:c r="P7" s="464"/>
      <x:c r="Q7" s="464"/>
      <x:c r="R7" s="464"/>
      <x:c r="S7" s="464"/>
      <x:c r="T7" s="464"/>
      <x:c r="U7" s="464"/>
      <x:c r="V7" s="464"/>
      <x:c r="W7" s="464"/>
      <x:c r="X7" s="465"/>
      <x:c r="Y7" s="471"/>
      <x:c r="Z7" s="472"/>
      <x:c r="AB7" s="101"/>
      <x:c r="AC7" s="101"/>
      <x:c r="AD7" s="101"/>
      <x:c r="AF7" s="277" t="s">
        <x:v>171</x:v>
      </x:c>
      <x:c r="AG7" s="277"/>
      <x:c r="AH7" s="277"/>
      <x:c r="AI7" s="277"/>
      <x:c r="AJ7" s="277"/>
      <x:c r="AK7" s="277"/>
      <x:c r="AL7" s="277"/>
      <x:c r="AM7" s="277"/>
      <x:c r="AN7" s="277"/>
      <x:c r="AO7" s="277"/>
      <x:c r="AP7" s="277"/>
      <x:c r="AQ7" s="277"/>
      <x:c r="AR7" s="101"/>
      <x:c r="AS7" s="101"/>
      <x:c r="AT7" s="101"/>
      <x:c r="AU7" s="101"/>
      <x:c r="AV7" s="101"/>
      <x:c r="AW7" s="101"/>
      <x:c r="AX7" s="101"/>
      <x:c r="AY7" s="101"/>
      <x:c r="AZ7" s="101"/>
      <x:c r="BA7" s="101"/>
      <x:c r="BB7" s="101"/>
      <x:c r="BC7" s="111"/>
      <x:c r="BD7" s="266"/>
      <x:c r="BE7" s="267"/>
      <x:c r="BF7" s="267"/>
      <x:c r="BG7" s="267"/>
      <x:c r="BH7" s="267"/>
      <x:c r="BI7" s="267"/>
      <x:c r="BJ7" s="267"/>
      <x:c r="BK7" s="267"/>
      <x:c r="BL7" s="267"/>
      <x:c r="BM7" s="267"/>
      <x:c r="BN7" s="267"/>
      <x:c r="BO7" s="267"/>
      <x:c r="BP7" s="267"/>
      <x:c r="BQ7" s="268"/>
      <x:c r="BR7" s="260"/>
      <x:c r="BS7" s="261"/>
      <x:c r="BT7" s="261"/>
      <x:c r="BU7" s="261"/>
      <x:c r="BV7" s="261"/>
      <x:c r="BW7" s="261"/>
      <x:c r="BX7" s="261"/>
      <x:c r="BY7" s="261"/>
      <x:c r="BZ7" s="261"/>
      <x:c r="CA7" s="261"/>
      <x:c r="CB7" s="261"/>
      <x:c r="CC7" s="261"/>
      <x:c r="CD7" s="261"/>
      <x:c r="CE7" s="262"/>
      <x:c r="CF7" s="260"/>
      <x:c r="CG7" s="261"/>
      <x:c r="CH7" s="261"/>
      <x:c r="CI7" s="261"/>
      <x:c r="CJ7" s="261"/>
      <x:c r="CK7" s="261"/>
      <x:c r="CL7" s="261"/>
      <x:c r="CM7" s="261"/>
      <x:c r="CN7" s="261"/>
      <x:c r="CO7" s="261"/>
      <x:c r="CP7" s="261"/>
      <x:c r="CQ7" s="261"/>
      <x:c r="CR7" s="261"/>
      <x:c r="CS7" s="261"/>
      <x:c r="CT7" s="261"/>
      <x:c r="CU7" s="261"/>
      <x:c r="CV7" s="261"/>
      <x:c r="CW7" s="261"/>
      <x:c r="CX7" s="261"/>
      <x:c r="CY7" s="261"/>
      <x:c r="CZ7" s="261"/>
      <x:c r="DA7" s="261"/>
      <x:c r="DB7" s="261"/>
      <x:c r="DC7" s="261"/>
      <x:c r="DD7" s="261"/>
      <x:c r="DE7" s="261"/>
      <x:c r="DF7" s="261"/>
      <x:c r="DG7" s="262"/>
      <x:c r="DK7" s="71"/>
      <x:c r="DL7" s="71"/>
      <x:c r="DM7" s="71"/>
      <x:c r="DN7" s="71"/>
      <x:c r="DO7" s="71"/>
      <x:c r="DP7" s="71"/>
      <x:c r="DQ7" s="71"/>
      <x:c r="DR7" s="71"/>
      <x:c r="DS7" s="9"/>
      <x:c r="DT7" s="9"/>
      <x:c r="DU7" s="71"/>
      <x:c r="DV7" s="71"/>
      <x:c r="DW7" s="71"/>
      <x:c r="DX7" s="71"/>
      <x:c r="DY7" s="71"/>
      <x:c r="DZ7" s="71"/>
      <x:c r="EA7" s="71"/>
      <x:c r="EB7" s="71"/>
      <x:c r="EC7" s="9"/>
      <x:c r="ED7" s="9"/>
      <x:c r="EE7" s="9"/>
      <x:c r="EF7" s="71"/>
      <x:c r="EG7" s="71"/>
      <x:c r="EH7" s="71"/>
      <x:c r="EI7" s="71"/>
      <x:c r="EJ7" s="71"/>
      <x:c r="EK7" s="71"/>
      <x:c r="EL7" s="71"/>
      <x:c r="EM7" s="71"/>
    </x:row>
    <x:row r="8" ht="6" customHeight="1">
      <x:c r="A8" s="456"/>
      <x:c r="B8" s="457"/>
      <x:c r="C8" s="463"/>
      <x:c r="D8" s="464"/>
      <x:c r="E8" s="464"/>
      <x:c r="F8" s="464"/>
      <x:c r="G8" s="464"/>
      <x:c r="H8" s="464"/>
      <x:c r="I8" s="464"/>
      <x:c r="J8" s="464"/>
      <x:c r="K8" s="464"/>
      <x:c r="L8" s="464"/>
      <x:c r="M8" s="464"/>
      <x:c r="N8" s="464"/>
      <x:c r="O8" s="464"/>
      <x:c r="P8" s="464"/>
      <x:c r="Q8" s="464"/>
      <x:c r="R8" s="464"/>
      <x:c r="S8" s="464"/>
      <x:c r="T8" s="464"/>
      <x:c r="U8" s="464"/>
      <x:c r="V8" s="464"/>
      <x:c r="W8" s="464"/>
      <x:c r="X8" s="465"/>
      <x:c r="Y8" s="471"/>
      <x:c r="Z8" s="472"/>
      <x:c r="AB8" s="101"/>
      <x:c r="AC8" s="101"/>
      <x:c r="AD8" s="101"/>
      <x:c r="AF8" s="277"/>
      <x:c r="AG8" s="277"/>
      <x:c r="AH8" s="277"/>
      <x:c r="AI8" s="277"/>
      <x:c r="AJ8" s="277"/>
      <x:c r="AK8" s="277"/>
      <x:c r="AL8" s="277"/>
      <x:c r="AM8" s="277"/>
      <x:c r="AN8" s="277"/>
      <x:c r="AO8" s="277"/>
      <x:c r="AP8" s="277"/>
      <x:c r="AQ8" s="277"/>
      <x:c r="AR8" s="101"/>
      <x:c r="AS8" s="101"/>
      <x:c r="AT8" s="101"/>
      <x:c r="AU8" s="101"/>
      <x:c r="AV8" s="101"/>
      <x:c r="AW8" s="101"/>
      <x:c r="AX8" s="101"/>
      <x:c r="AY8" s="101"/>
      <x:c r="AZ8" s="101"/>
      <x:c r="BA8" s="101"/>
      <x:c r="BB8" s="101"/>
      <x:c r="BD8" s="286" t="s">
        <x:v>172</x:v>
      </x:c>
      <x:c r="BE8" s="475"/>
      <x:c r="BF8" s="475"/>
      <x:c r="BG8" s="475"/>
      <x:c r="BH8" s="475"/>
      <x:c r="BI8" s="384"/>
      <x:c r="BJ8" s="385"/>
      <x:c r="BK8" s="385"/>
      <x:c r="BL8" s="385"/>
      <x:c r="BM8" s="386"/>
      <x:c r="BN8" s="285"/>
      <x:c r="BO8" s="285"/>
      <x:c r="BP8" s="282"/>
      <x:c r="BQ8" s="283"/>
      <x:c r="BR8" s="450" t="s">
        <x:v>173</x:v>
      </x:c>
      <x:c r="BS8" s="287"/>
      <x:c r="BT8" s="287"/>
      <x:c r="BU8" s="287"/>
      <x:c r="BV8" s="287"/>
      <x:c r="BW8" s="384"/>
      <x:c r="BX8" s="385"/>
      <x:c r="BY8" s="385"/>
      <x:c r="BZ8" s="385"/>
      <x:c r="CA8" s="386"/>
      <x:c r="CB8" s="390"/>
      <x:c r="CC8" s="390"/>
      <x:c r="CD8" s="292"/>
      <x:c r="CE8" s="293"/>
      <x:c r="CF8" s="286" t="s">
        <x:v>58</x:v>
      </x:c>
      <x:c r="CG8" s="287"/>
      <x:c r="CH8" s="287"/>
      <x:c r="CI8" s="287"/>
      <x:c r="CJ8" s="287"/>
      <x:c r="CK8" s="287"/>
      <x:c r="CL8" s="287"/>
      <x:c r="CM8" s="287"/>
      <x:c r="CN8" s="287"/>
      <x:c r="CO8" s="288"/>
      <x:c r="CP8" s="294"/>
      <x:c r="CQ8" s="294"/>
      <x:c r="CR8" s="282"/>
      <x:c r="CS8" s="283"/>
      <x:c r="CT8" s="286" t="s">
        <x:v>91</x:v>
      </x:c>
      <x:c r="CU8" s="287"/>
      <x:c r="CV8" s="287"/>
      <x:c r="CW8" s="287"/>
      <x:c r="CX8" s="287"/>
      <x:c r="CY8" s="287"/>
      <x:c r="CZ8" s="287"/>
      <x:c r="DA8" s="287"/>
      <x:c r="DB8" s="287"/>
      <x:c r="DC8" s="288"/>
      <x:c r="DD8" s="284"/>
      <x:c r="DE8" s="284"/>
      <x:c r="DF8" s="282"/>
      <x:c r="DG8" s="283"/>
      <x:c r="DK8" s="71"/>
      <x:c r="DL8" s="71"/>
      <x:c r="DM8" s="71"/>
      <x:c r="DN8" s="71"/>
      <x:c r="DO8" s="71"/>
      <x:c r="DP8" s="71"/>
      <x:c r="DQ8" s="71"/>
      <x:c r="DR8" s="71"/>
      <x:c r="DS8" s="9"/>
      <x:c r="DT8" s="9"/>
      <x:c r="DU8" s="71"/>
      <x:c r="DV8" s="71"/>
      <x:c r="DW8" s="71"/>
      <x:c r="DX8" s="71"/>
      <x:c r="DY8" s="71"/>
      <x:c r="DZ8" s="71"/>
      <x:c r="EA8" s="71"/>
      <x:c r="EB8" s="71"/>
      <x:c r="EC8" s="9"/>
      <x:c r="ED8" s="9"/>
      <x:c r="EE8" s="9"/>
      <x:c r="EF8" s="73"/>
      <x:c r="EG8" s="73"/>
      <x:c r="EH8" s="73"/>
      <x:c r="EI8" s="73"/>
      <x:c r="EJ8" s="73"/>
      <x:c r="EK8" s="73"/>
      <x:c r="EL8" s="73"/>
      <x:c r="EM8" s="73"/>
    </x:row>
    <x:row r="9" ht="6" customHeight="1">
      <x:c r="A9" s="456"/>
      <x:c r="B9" s="457"/>
      <x:c r="C9" s="463"/>
      <x:c r="D9" s="464"/>
      <x:c r="E9" s="464"/>
      <x:c r="F9" s="464"/>
      <x:c r="G9" s="464"/>
      <x:c r="H9" s="464"/>
      <x:c r="I9" s="464"/>
      <x:c r="J9" s="464"/>
      <x:c r="K9" s="464"/>
      <x:c r="L9" s="464"/>
      <x:c r="M9" s="464"/>
      <x:c r="N9" s="464"/>
      <x:c r="O9" s="464"/>
      <x:c r="P9" s="464"/>
      <x:c r="Q9" s="464"/>
      <x:c r="R9" s="464"/>
      <x:c r="S9" s="464"/>
      <x:c r="T9" s="464"/>
      <x:c r="U9" s="464"/>
      <x:c r="V9" s="464"/>
      <x:c r="W9" s="464"/>
      <x:c r="X9" s="465"/>
      <x:c r="Y9" s="471"/>
      <x:c r="Z9" s="472"/>
      <x:c r="AB9" s="110"/>
      <x:c r="AC9" s="110"/>
      <x:c r="AD9" s="276" t="s">
        <x:v>174</x:v>
      </x:c>
      <x:c r="AE9" s="276"/>
      <x:c r="AF9" s="276"/>
      <x:c r="AG9" s="276"/>
      <x:c r="AH9" s="276"/>
      <x:c r="AI9" s="276"/>
      <x:c r="AJ9" s="276"/>
      <x:c r="AK9" s="276"/>
      <x:c r="AL9" s="276"/>
      <x:c r="AM9" s="275" t="s">
        <x:v>175</x:v>
      </x:c>
      <x:c r="AN9" s="275"/>
      <x:c r="AO9" s="275"/>
      <x:c r="AP9" s="275"/>
      <x:c r="AQ9" s="275"/>
      <x:c r="AR9" s="275"/>
      <x:c r="AS9" s="275"/>
      <x:c r="AT9" s="275"/>
      <x:c r="AU9" s="275"/>
      <x:c r="AV9" s="275"/>
      <x:c r="AW9" s="275"/>
      <x:c r="AX9" s="275"/>
      <x:c r="AY9" s="275"/>
      <x:c r="AZ9" s="275"/>
      <x:c r="BA9" s="275"/>
      <x:c r="BB9" s="275"/>
      <x:c r="BD9" s="476"/>
      <x:c r="BE9" s="477"/>
      <x:c r="BF9" s="477"/>
      <x:c r="BG9" s="477"/>
      <x:c r="BH9" s="477"/>
      <x:c r="BI9" s="387"/>
      <x:c r="BJ9" s="388"/>
      <x:c r="BK9" s="388"/>
      <x:c r="BL9" s="388"/>
      <x:c r="BM9" s="389"/>
      <x:c r="BN9" s="285"/>
      <x:c r="BO9" s="285"/>
      <x:c r="BP9" s="282"/>
      <x:c r="BQ9" s="283"/>
      <x:c r="BR9" s="289"/>
      <x:c r="BS9" s="290"/>
      <x:c r="BT9" s="290"/>
      <x:c r="BU9" s="290"/>
      <x:c r="BV9" s="290"/>
      <x:c r="BW9" s="387"/>
      <x:c r="BX9" s="388"/>
      <x:c r="BY9" s="388"/>
      <x:c r="BZ9" s="388"/>
      <x:c r="CA9" s="389"/>
      <x:c r="CB9" s="391"/>
      <x:c r="CC9" s="391"/>
      <x:c r="CD9" s="292"/>
      <x:c r="CE9" s="293"/>
      <x:c r="CF9" s="289"/>
      <x:c r="CG9" s="290"/>
      <x:c r="CH9" s="290"/>
      <x:c r="CI9" s="290"/>
      <x:c r="CJ9" s="290"/>
      <x:c r="CK9" s="290"/>
      <x:c r="CL9" s="290"/>
      <x:c r="CM9" s="290"/>
      <x:c r="CN9" s="290"/>
      <x:c r="CO9" s="291"/>
      <x:c r="CP9" s="295"/>
      <x:c r="CQ9" s="295"/>
      <x:c r="CR9" s="282"/>
      <x:c r="CS9" s="283"/>
      <x:c r="CT9" s="289"/>
      <x:c r="CU9" s="290"/>
      <x:c r="CV9" s="290"/>
      <x:c r="CW9" s="290"/>
      <x:c r="CX9" s="290"/>
      <x:c r="CY9" s="290"/>
      <x:c r="CZ9" s="290"/>
      <x:c r="DA9" s="290"/>
      <x:c r="DB9" s="290"/>
      <x:c r="DC9" s="291"/>
      <x:c r="DD9" s="285"/>
      <x:c r="DE9" s="285"/>
      <x:c r="DF9" s="282"/>
      <x:c r="DG9" s="283"/>
      <x:c r="DK9" s="71"/>
      <x:c r="DL9" s="71"/>
      <x:c r="DM9" s="71"/>
      <x:c r="DN9" s="71"/>
      <x:c r="DO9" s="71"/>
      <x:c r="DP9" s="71"/>
      <x:c r="DQ9" s="71"/>
      <x:c r="DR9" s="71"/>
      <x:c r="DS9" s="9"/>
      <x:c r="DT9" s="9"/>
      <x:c r="DU9" s="71"/>
      <x:c r="DV9" s="71"/>
      <x:c r="DW9" s="71"/>
      <x:c r="DX9" s="71"/>
      <x:c r="DY9" s="71"/>
      <x:c r="DZ9" s="71"/>
      <x:c r="EA9" s="71"/>
      <x:c r="EB9" s="71"/>
      <x:c r="EC9" s="9"/>
      <x:c r="ED9" s="9"/>
      <x:c r="EE9" s="9"/>
      <x:c r="EF9" s="73"/>
      <x:c r="EG9" s="73"/>
      <x:c r="EH9" s="73"/>
      <x:c r="EI9" s="73"/>
      <x:c r="EJ9" s="73"/>
      <x:c r="EK9" s="73"/>
      <x:c r="EL9" s="73"/>
      <x:c r="EM9" s="73"/>
    </x:row>
    <x:row r="10" ht="6" customHeight="1">
      <x:c r="A10" s="456"/>
      <x:c r="B10" s="457"/>
      <x:c r="C10" s="463"/>
      <x:c r="D10" s="464"/>
      <x:c r="E10" s="464"/>
      <x:c r="F10" s="464"/>
      <x:c r="G10" s="464"/>
      <x:c r="H10" s="464"/>
      <x:c r="I10" s="464"/>
      <x:c r="J10" s="464"/>
      <x:c r="K10" s="464"/>
      <x:c r="L10" s="464"/>
      <x:c r="M10" s="464"/>
      <x:c r="N10" s="464"/>
      <x:c r="O10" s="464"/>
      <x:c r="P10" s="464"/>
      <x:c r="Q10" s="464"/>
      <x:c r="R10" s="464"/>
      <x:c r="S10" s="464"/>
      <x:c r="T10" s="464"/>
      <x:c r="U10" s="464"/>
      <x:c r="V10" s="464"/>
      <x:c r="W10" s="464"/>
      <x:c r="X10" s="465"/>
      <x:c r="Y10" s="471"/>
      <x:c r="Z10" s="472"/>
      <x:c r="AB10" s="110"/>
      <x:c r="AC10" s="110"/>
      <x:c r="AD10" s="276"/>
      <x:c r="AE10" s="276"/>
      <x:c r="AF10" s="276"/>
      <x:c r="AG10" s="276"/>
      <x:c r="AH10" s="276"/>
      <x:c r="AI10" s="276"/>
      <x:c r="AJ10" s="276"/>
      <x:c r="AK10" s="276"/>
      <x:c r="AL10" s="276"/>
      <x:c r="AM10" s="275"/>
      <x:c r="AN10" s="275"/>
      <x:c r="AO10" s="275"/>
      <x:c r="AP10" s="275"/>
      <x:c r="AQ10" s="275"/>
      <x:c r="AR10" s="275"/>
      <x:c r="AS10" s="275"/>
      <x:c r="AT10" s="275"/>
      <x:c r="AU10" s="275"/>
      <x:c r="AV10" s="275"/>
      <x:c r="AW10" s="275"/>
      <x:c r="AX10" s="275"/>
      <x:c r="AY10" s="275"/>
      <x:c r="AZ10" s="275"/>
      <x:c r="BA10" s="275"/>
      <x:c r="BB10" s="275"/>
      <x:c r="BD10" s="286" t="s">
        <x:v>30</x:v>
      </x:c>
      <x:c r="BE10" s="287"/>
      <x:c r="BF10" s="287"/>
      <x:c r="BG10" s="287"/>
      <x:c r="BH10" s="287"/>
      <x:c r="BI10" s="287"/>
      <x:c r="BJ10" s="287"/>
      <x:c r="BK10" s="287"/>
      <x:c r="BL10" s="287"/>
      <x:c r="BM10" s="288"/>
      <x:c r="BN10" s="285"/>
      <x:c r="BO10" s="285"/>
      <x:c r="BP10" s="282"/>
      <x:c r="BQ10" s="283"/>
      <x:c r="BR10" s="450" t="s">
        <x:v>176</x:v>
      </x:c>
      <x:c r="BS10" s="287"/>
      <x:c r="BT10" s="287"/>
      <x:c r="BU10" s="287"/>
      <x:c r="BV10" s="287"/>
      <x:c r="BW10" s="384"/>
      <x:c r="BX10" s="385"/>
      <x:c r="BY10" s="385"/>
      <x:c r="BZ10" s="385"/>
      <x:c r="CA10" s="386"/>
      <x:c r="CB10" s="390"/>
      <x:c r="CC10" s="390"/>
      <x:c r="CD10" s="292"/>
      <x:c r="CE10" s="293"/>
      <x:c r="CF10" s="286" t="s">
        <x:v>177</x:v>
      </x:c>
      <x:c r="CG10" s="287"/>
      <x:c r="CH10" s="287"/>
      <x:c r="CI10" s="287"/>
      <x:c r="CJ10" s="287"/>
      <x:c r="CK10" s="287"/>
      <x:c r="CL10" s="287"/>
      <x:c r="CM10" s="287"/>
      <x:c r="CN10" s="287"/>
      <x:c r="CO10" s="288"/>
      <x:c r="CP10" s="284"/>
      <x:c r="CQ10" s="284"/>
      <x:c r="CR10" s="282"/>
      <x:c r="CS10" s="283"/>
      <x:c r="CT10" s="286" t="s">
        <x:v>85</x:v>
      </x:c>
      <x:c r="CU10" s="287"/>
      <x:c r="CV10" s="287"/>
      <x:c r="CW10" s="287"/>
      <x:c r="CX10" s="287"/>
      <x:c r="CY10" s="287"/>
      <x:c r="CZ10" s="287"/>
      <x:c r="DA10" s="287"/>
      <x:c r="DB10" s="287"/>
      <x:c r="DC10" s="288"/>
      <x:c r="DD10" s="284"/>
      <x:c r="DE10" s="284"/>
      <x:c r="DF10" s="282"/>
      <x:c r="DG10" s="283"/>
      <x:c r="DK10" s="71"/>
      <x:c r="DL10" s="71"/>
      <x:c r="DM10" s="71"/>
      <x:c r="DN10" s="71"/>
      <x:c r="DO10" s="71"/>
      <x:c r="DP10" s="71"/>
      <x:c r="DQ10" s="71"/>
      <x:c r="DR10" s="71"/>
      <x:c r="DS10" s="9"/>
      <x:c r="DT10" s="9"/>
      <x:c r="DU10" s="71"/>
      <x:c r="DV10" s="71"/>
      <x:c r="DW10" s="71"/>
      <x:c r="DX10" s="71"/>
      <x:c r="DY10" s="71"/>
      <x:c r="DZ10" s="71"/>
      <x:c r="EA10" s="71"/>
      <x:c r="EB10" s="71"/>
      <x:c r="EC10" s="9"/>
      <x:c r="ED10" s="9"/>
      <x:c r="EE10" s="9"/>
      <x:c r="EF10" s="73"/>
      <x:c r="EG10" s="73"/>
      <x:c r="EH10" s="73"/>
      <x:c r="EI10" s="73"/>
      <x:c r="EJ10" s="73"/>
      <x:c r="EK10" s="73"/>
      <x:c r="EL10" s="73"/>
      <x:c r="EM10" s="73"/>
    </x:row>
    <x:row r="11" ht="6" customHeight="1">
      <x:c r="A11" s="458"/>
      <x:c r="B11" s="459"/>
      <x:c r="C11" s="466"/>
      <x:c r="D11" s="467"/>
      <x:c r="E11" s="467"/>
      <x:c r="F11" s="467"/>
      <x:c r="G11" s="467"/>
      <x:c r="H11" s="467"/>
      <x:c r="I11" s="467"/>
      <x:c r="J11" s="467"/>
      <x:c r="K11" s="467"/>
      <x:c r="L11" s="467"/>
      <x:c r="M11" s="467"/>
      <x:c r="N11" s="467"/>
      <x:c r="O11" s="467"/>
      <x:c r="P11" s="467"/>
      <x:c r="Q11" s="467"/>
      <x:c r="R11" s="467"/>
      <x:c r="S11" s="467"/>
      <x:c r="T11" s="467"/>
      <x:c r="U11" s="467"/>
      <x:c r="V11" s="467"/>
      <x:c r="W11" s="467"/>
      <x:c r="X11" s="468"/>
      <x:c r="Y11" s="473"/>
      <x:c r="Z11" s="474"/>
      <x:c r="AB11" s="101"/>
      <x:c r="AC11" s="101"/>
      <x:c r="AD11" s="101"/>
      <x:c r="AE11" s="101"/>
      <x:c r="AF11" s="277" t="s">
        <x:v>178</x:v>
      </x:c>
      <x:c r="AG11" s="277"/>
      <x:c r="AH11" s="277"/>
      <x:c r="AI11" s="277"/>
      <x:c r="AJ11" s="277"/>
      <x:c r="AK11" s="277"/>
      <x:c r="AL11" s="277"/>
      <x:c r="AM11" s="277"/>
      <x:c r="AN11" s="277"/>
      <x:c r="AO11" s="277"/>
      <x:c r="AP11" s="277"/>
      <x:c r="AQ11" s="277"/>
      <x:c r="AR11" s="101"/>
      <x:c r="AS11" s="101"/>
      <x:c r="AT11" s="101"/>
      <x:c r="AU11" s="101"/>
      <x:c r="AV11" s="101"/>
      <x:c r="AW11" s="101"/>
      <x:c r="AX11" s="101"/>
      <x:c r="AY11" s="101"/>
      <x:c r="AZ11" s="101"/>
      <x:c r="BA11" s="101"/>
      <x:c r="BB11" s="101"/>
      <x:c r="BD11" s="289"/>
      <x:c r="BE11" s="290"/>
      <x:c r="BF11" s="290"/>
      <x:c r="BG11" s="290"/>
      <x:c r="BH11" s="290"/>
      <x:c r="BI11" s="290"/>
      <x:c r="BJ11" s="290"/>
      <x:c r="BK11" s="290"/>
      <x:c r="BL11" s="290"/>
      <x:c r="BM11" s="291"/>
      <x:c r="BN11" s="285"/>
      <x:c r="BO11" s="285"/>
      <x:c r="BP11" s="282"/>
      <x:c r="BQ11" s="283"/>
      <x:c r="BR11" s="289"/>
      <x:c r="BS11" s="290"/>
      <x:c r="BT11" s="290"/>
      <x:c r="BU11" s="290"/>
      <x:c r="BV11" s="290"/>
      <x:c r="BW11" s="387"/>
      <x:c r="BX11" s="388"/>
      <x:c r="BY11" s="388"/>
      <x:c r="BZ11" s="388"/>
      <x:c r="CA11" s="389"/>
      <x:c r="CB11" s="391"/>
      <x:c r="CC11" s="391"/>
      <x:c r="CD11" s="292"/>
      <x:c r="CE11" s="293"/>
      <x:c r="CF11" s="289"/>
      <x:c r="CG11" s="290"/>
      <x:c r="CH11" s="290"/>
      <x:c r="CI11" s="290"/>
      <x:c r="CJ11" s="290"/>
      <x:c r="CK11" s="290"/>
      <x:c r="CL11" s="290"/>
      <x:c r="CM11" s="290"/>
      <x:c r="CN11" s="290"/>
      <x:c r="CO11" s="291"/>
      <x:c r="CP11" s="285"/>
      <x:c r="CQ11" s="285"/>
      <x:c r="CR11" s="282"/>
      <x:c r="CS11" s="283"/>
      <x:c r="CT11" s="289"/>
      <x:c r="CU11" s="290"/>
      <x:c r="CV11" s="290"/>
      <x:c r="CW11" s="290"/>
      <x:c r="CX11" s="290"/>
      <x:c r="CY11" s="290"/>
      <x:c r="CZ11" s="290"/>
      <x:c r="DA11" s="290"/>
      <x:c r="DB11" s="290"/>
      <x:c r="DC11" s="291"/>
      <x:c r="DD11" s="285"/>
      <x:c r="DE11" s="285"/>
      <x:c r="DF11" s="282"/>
      <x:c r="DG11" s="283"/>
      <x:c r="DK11" s="71"/>
      <x:c r="DL11" s="71"/>
      <x:c r="DM11" s="71"/>
      <x:c r="DN11" s="71"/>
      <x:c r="DO11" s="71"/>
      <x:c r="DP11" s="71"/>
      <x:c r="DQ11" s="71"/>
      <x:c r="DR11" s="71"/>
      <x:c r="DS11" s="9"/>
      <x:c r="DT11" s="9"/>
      <x:c r="DU11" s="71"/>
      <x:c r="DV11" s="71"/>
      <x:c r="DW11" s="71"/>
      <x:c r="DX11" s="71"/>
      <x:c r="DY11" s="71"/>
      <x:c r="DZ11" s="71"/>
      <x:c r="EA11" s="71"/>
      <x:c r="EB11" s="71"/>
      <x:c r="EC11" s="9"/>
      <x:c r="ED11" s="9"/>
      <x:c r="EE11" s="9"/>
      <x:c r="EF11" s="73"/>
      <x:c r="EG11" s="73"/>
      <x:c r="EH11" s="73"/>
      <x:c r="EI11" s="73"/>
      <x:c r="EJ11" s="73"/>
      <x:c r="EK11" s="73"/>
      <x:c r="EL11" s="73"/>
      <x:c r="EM11" s="73"/>
    </x:row>
    <x:row r="12" ht="6" customHeight="1">
      <x:c r="A12" s="102"/>
      <x:c r="B12" s="102"/>
      <x:c r="C12" s="94"/>
      <x:c r="D12" s="94"/>
      <x:c r="E12" s="94"/>
      <x:c r="F12" s="94"/>
      <x:c r="G12" s="94"/>
      <x:c r="H12" s="94"/>
      <x:c r="I12" s="94"/>
      <x:c r="J12" s="94"/>
      <x:c r="K12" s="94"/>
      <x:c r="L12" s="94"/>
      <x:c r="M12" s="94"/>
      <x:c r="N12" s="94"/>
      <x:c r="O12" s="94"/>
      <x:c r="P12" s="94"/>
      <x:c r="Q12" s="94"/>
      <x:c r="R12" s="94"/>
      <x:c r="S12" s="94"/>
      <x:c r="T12" s="94"/>
      <x:c r="U12" s="94"/>
      <x:c r="V12" s="94"/>
      <x:c r="W12" s="94"/>
      <x:c r="X12" s="94"/>
      <x:c r="Y12" s="95"/>
      <x:c r="Z12" s="95"/>
      <x:c r="AB12" s="101"/>
      <x:c r="AC12" s="101"/>
      <x:c r="AD12" s="101"/>
      <x:c r="AE12" s="101"/>
      <x:c r="AF12" s="277"/>
      <x:c r="AG12" s="277"/>
      <x:c r="AH12" s="277"/>
      <x:c r="AI12" s="277"/>
      <x:c r="AJ12" s="277"/>
      <x:c r="AK12" s="277"/>
      <x:c r="AL12" s="277"/>
      <x:c r="AM12" s="277"/>
      <x:c r="AN12" s="277"/>
      <x:c r="AO12" s="277"/>
      <x:c r="AP12" s="277"/>
      <x:c r="AQ12" s="277"/>
      <x:c r="AR12" s="101"/>
      <x:c r="AS12" s="101"/>
      <x:c r="AT12" s="101"/>
      <x:c r="AU12" s="101"/>
      <x:c r="AV12" s="101"/>
      <x:c r="AW12" s="101"/>
      <x:c r="AX12" s="101"/>
      <x:c r="AY12" s="101"/>
      <x:c r="AZ12" s="101"/>
      <x:c r="BA12" s="101"/>
      <x:c r="BB12" s="101"/>
      <x:c r="BD12" s="286" t="s">
        <x:v>31</x:v>
      </x:c>
      <x:c r="BE12" s="287"/>
      <x:c r="BF12" s="287"/>
      <x:c r="BG12" s="287"/>
      <x:c r="BH12" s="287"/>
      <x:c r="BI12" s="287"/>
      <x:c r="BJ12" s="287"/>
      <x:c r="BK12" s="287"/>
      <x:c r="BL12" s="287"/>
      <x:c r="BM12" s="288"/>
      <x:c r="BN12" s="285"/>
      <x:c r="BO12" s="285"/>
      <x:c r="BP12" s="282"/>
      <x:c r="BQ12" s="283"/>
      <x:c r="BR12" s="450" t="s">
        <x:v>71</x:v>
      </x:c>
      <x:c r="BS12" s="287"/>
      <x:c r="BT12" s="287"/>
      <x:c r="BU12" s="287"/>
      <x:c r="BV12" s="287"/>
      <x:c r="BW12" s="287"/>
      <x:c r="BX12" s="287"/>
      <x:c r="BY12" s="287"/>
      <x:c r="BZ12" s="287"/>
      <x:c r="CA12" s="288"/>
      <x:c r="CB12" s="390"/>
      <x:c r="CC12" s="390"/>
      <x:c r="CD12" s="292"/>
      <x:c r="CE12" s="293"/>
      <x:c r="CF12" s="286" t="s">
        <x:v>127</x:v>
      </x:c>
      <x:c r="CG12" s="287"/>
      <x:c r="CH12" s="287"/>
      <x:c r="CI12" s="287"/>
      <x:c r="CJ12" s="287"/>
      <x:c r="CK12" s="287"/>
      <x:c r="CL12" s="287"/>
      <x:c r="CM12" s="287"/>
      <x:c r="CN12" s="287"/>
      <x:c r="CO12" s="288"/>
      <x:c r="CP12" s="284"/>
      <x:c r="CQ12" s="284"/>
      <x:c r="CR12" s="282"/>
      <x:c r="CS12" s="283"/>
      <x:c r="CT12" s="286" t="s">
        <x:v>56</x:v>
      </x:c>
      <x:c r="CU12" s="287"/>
      <x:c r="CV12" s="287"/>
      <x:c r="CW12" s="287"/>
      <x:c r="CX12" s="287"/>
      <x:c r="CY12" s="287"/>
      <x:c r="CZ12" s="287"/>
      <x:c r="DA12" s="287"/>
      <x:c r="DB12" s="287"/>
      <x:c r="DC12" s="288"/>
      <x:c r="DD12" s="284"/>
      <x:c r="DE12" s="284"/>
      <x:c r="DF12" s="282"/>
      <x:c r="DG12" s="283"/>
      <x:c r="DK12" s="71"/>
      <x:c r="DL12" s="71"/>
      <x:c r="DM12" s="71"/>
      <x:c r="DN12" s="71"/>
      <x:c r="DO12" s="71"/>
      <x:c r="DP12" s="71"/>
      <x:c r="DQ12" s="71"/>
      <x:c r="DR12" s="71"/>
      <x:c r="DS12" s="9"/>
      <x:c r="DT12" s="9"/>
      <x:c r="DU12" s="76"/>
      <x:c r="DV12" s="77"/>
      <x:c r="DW12" s="77"/>
      <x:c r="DX12" s="77"/>
      <x:c r="DY12" s="77"/>
      <x:c r="DZ12" s="77"/>
      <x:c r="EA12" s="77"/>
      <x:c r="EB12" s="77"/>
      <x:c r="EC12" s="9"/>
      <x:c r="ED12" s="9"/>
      <x:c r="EE12" s="9"/>
      <x:c r="EF12" s="71"/>
      <x:c r="EG12" s="71"/>
      <x:c r="EH12" s="71"/>
      <x:c r="EI12" s="71"/>
      <x:c r="EJ12" s="71"/>
      <x:c r="EK12" s="71"/>
      <x:c r="EL12" s="71"/>
      <x:c r="EM12" s="71"/>
    </x:row>
    <x:row r="13" ht="6" customHeight="1">
      <x:c r="A13" s="102"/>
      <x:c r="B13" s="102"/>
      <x:c r="C13" s="94"/>
      <x:c r="D13" s="94"/>
      <x:c r="E13" s="94"/>
      <x:c r="F13" s="94"/>
      <x:c r="G13" s="94"/>
      <x:c r="H13" s="94"/>
      <x:c r="I13" s="94"/>
      <x:c r="J13" s="94"/>
      <x:c r="K13" s="94"/>
      <x:c r="L13" s="94"/>
      <x:c r="M13" s="94"/>
      <x:c r="N13" s="94"/>
      <x:c r="O13" s="94"/>
      <x:c r="P13" s="94"/>
      <x:c r="Q13" s="94"/>
      <x:c r="R13" s="94"/>
      <x:c r="S13" s="94"/>
      <x:c r="T13" s="94"/>
      <x:c r="U13" s="94"/>
      <x:c r="V13" s="94"/>
      <x:c r="W13" s="94"/>
      <x:c r="X13" s="94"/>
      <x:c r="Y13" s="95"/>
      <x:c r="Z13" s="95"/>
      <x:c r="AB13" s="101"/>
      <x:c r="AC13" s="101"/>
      <x:c r="AD13" s="101"/>
      <x:c r="AE13" s="101"/>
      <x:c r="AF13" s="101"/>
      <x:c r="AG13" s="101"/>
      <x:c r="AH13" s="101"/>
      <x:c r="AI13" s="101"/>
      <x:c r="AJ13" s="101"/>
      <x:c r="AK13" s="101"/>
      <x:c r="AL13" s="101"/>
      <x:c r="AM13" s="101"/>
      <x:c r="AN13" s="101"/>
      <x:c r="AO13" s="101"/>
      <x:c r="AP13" s="101"/>
      <x:c r="AQ13" s="101"/>
      <x:c r="AR13" s="101"/>
      <x:c r="AS13" s="101"/>
      <x:c r="AT13" s="101"/>
      <x:c r="AU13" s="101"/>
      <x:c r="AV13" s="101"/>
      <x:c r="AW13" s="101"/>
      <x:c r="AX13" s="101"/>
      <x:c r="AY13" s="101"/>
      <x:c r="AZ13" s="101"/>
      <x:c r="BA13" s="101"/>
      <x:c r="BB13" s="101"/>
      <x:c r="BD13" s="289"/>
      <x:c r="BE13" s="290"/>
      <x:c r="BF13" s="290"/>
      <x:c r="BG13" s="290"/>
      <x:c r="BH13" s="290"/>
      <x:c r="BI13" s="290"/>
      <x:c r="BJ13" s="290"/>
      <x:c r="BK13" s="290"/>
      <x:c r="BL13" s="290"/>
      <x:c r="BM13" s="291"/>
      <x:c r="BN13" s="285"/>
      <x:c r="BO13" s="285"/>
      <x:c r="BP13" s="282"/>
      <x:c r="BQ13" s="283"/>
      <x:c r="BR13" s="289"/>
      <x:c r="BS13" s="290"/>
      <x:c r="BT13" s="290"/>
      <x:c r="BU13" s="290"/>
      <x:c r="BV13" s="290"/>
      <x:c r="BW13" s="290"/>
      <x:c r="BX13" s="290"/>
      <x:c r="BY13" s="290"/>
      <x:c r="BZ13" s="290"/>
      <x:c r="CA13" s="291"/>
      <x:c r="CB13" s="391"/>
      <x:c r="CC13" s="391"/>
      <x:c r="CD13" s="292"/>
      <x:c r="CE13" s="293"/>
      <x:c r="CF13" s="289"/>
      <x:c r="CG13" s="290"/>
      <x:c r="CH13" s="290"/>
      <x:c r="CI13" s="290"/>
      <x:c r="CJ13" s="290"/>
      <x:c r="CK13" s="290"/>
      <x:c r="CL13" s="290"/>
      <x:c r="CM13" s="290"/>
      <x:c r="CN13" s="290"/>
      <x:c r="CO13" s="291"/>
      <x:c r="CP13" s="285"/>
      <x:c r="CQ13" s="285"/>
      <x:c r="CR13" s="282"/>
      <x:c r="CS13" s="283"/>
      <x:c r="CT13" s="289"/>
      <x:c r="CU13" s="290"/>
      <x:c r="CV13" s="290"/>
      <x:c r="CW13" s="290"/>
      <x:c r="CX13" s="290"/>
      <x:c r="CY13" s="290"/>
      <x:c r="CZ13" s="290"/>
      <x:c r="DA13" s="290"/>
      <x:c r="DB13" s="290"/>
      <x:c r="DC13" s="291"/>
      <x:c r="DD13" s="285"/>
      <x:c r="DE13" s="285"/>
      <x:c r="DF13" s="282"/>
      <x:c r="DG13" s="283"/>
      <x:c r="DK13" s="71"/>
      <x:c r="DL13" s="71"/>
      <x:c r="DM13" s="71"/>
      <x:c r="DN13" s="71"/>
      <x:c r="DO13" s="71"/>
      <x:c r="DP13" s="71"/>
      <x:c r="DQ13" s="71"/>
      <x:c r="DR13" s="71"/>
      <x:c r="DS13" s="9"/>
      <x:c r="DT13" s="9"/>
      <x:c r="DU13" s="77"/>
      <x:c r="DV13" s="77"/>
      <x:c r="DW13" s="77"/>
      <x:c r="DX13" s="77"/>
      <x:c r="DY13" s="77"/>
      <x:c r="DZ13" s="77"/>
      <x:c r="EA13" s="77"/>
      <x:c r="EB13" s="77"/>
      <x:c r="EC13" s="9"/>
      <x:c r="ED13" s="9"/>
      <x:c r="EE13" s="9"/>
      <x:c r="EF13" s="71"/>
      <x:c r="EG13" s="71"/>
      <x:c r="EH13" s="71"/>
      <x:c r="EI13" s="71"/>
      <x:c r="EJ13" s="71"/>
      <x:c r="EK13" s="71"/>
      <x:c r="EL13" s="71"/>
      <x:c r="EM13" s="71"/>
    </x:row>
    <x:row r="14" ht="6" customHeight="1">
      <x:c r="A14" s="496" t="s">
        <x:v>179</x:v>
      </x:c>
      <x:c r="B14" s="497"/>
      <x:c r="C14" s="497"/>
      <x:c r="D14" s="497"/>
      <x:c r="E14" s="498"/>
      <x:c r="F14" s="487"/>
      <x:c r="G14" s="488"/>
      <x:c r="H14" s="488"/>
      <x:c r="I14" s="488"/>
      <x:c r="J14" s="488"/>
      <x:c r="K14" s="488"/>
      <x:c r="L14" s="488"/>
      <x:c r="M14" s="488"/>
      <x:c r="N14" s="488"/>
      <x:c r="O14" s="488"/>
      <x:c r="P14" s="488"/>
      <x:c r="Q14" s="488"/>
      <x:c r="R14" s="489"/>
      <x:c r="S14" s="493" t="s">
        <x:v>180</x:v>
      </x:c>
      <x:c r="T14" s="494"/>
      <x:c r="U14" s="494"/>
      <x:c r="V14" s="494"/>
      <x:c r="W14" s="494"/>
      <x:c r="X14" s="494"/>
      <x:c r="Y14" s="496" t="s">
        <x:v>181</x:v>
      </x:c>
      <x:c r="Z14" s="497"/>
      <x:c r="AA14" s="497"/>
      <x:c r="AB14" s="497"/>
      <x:c r="AC14" s="497"/>
      <x:c r="AD14" s="498"/>
      <x:c r="AE14" s="488"/>
      <x:c r="AF14" s="488"/>
      <x:c r="AG14" s="488"/>
      <x:c r="AH14" s="488"/>
      <x:c r="AI14" s="488"/>
      <x:c r="AJ14" s="488"/>
      <x:c r="AK14" s="488"/>
      <x:c r="AL14" s="488"/>
      <x:c r="AM14" s="488"/>
      <x:c r="AN14" s="488"/>
      <x:c r="AO14" s="488"/>
      <x:c r="AP14" s="488"/>
      <x:c r="AQ14" s="489"/>
      <x:c r="AR14" s="493" t="s">
        <x:v>182</x:v>
      </x:c>
      <x:c r="AS14" s="494"/>
      <x:c r="AT14" s="494"/>
      <x:c r="AU14" s="494"/>
      <x:c r="AV14" s="494"/>
      <x:c r="AW14" s="494"/>
      <x:c r="AX14" s="494"/>
      <x:c r="AY14" s="494"/>
      <x:c r="AZ14" s="494"/>
      <x:c r="BA14" s="494"/>
      <x:c r="BB14" s="502"/>
      <x:c r="BD14" s="286" t="s">
        <x:v>32</x:v>
      </x:c>
      <x:c r="BE14" s="287"/>
      <x:c r="BF14" s="287"/>
      <x:c r="BG14" s="287"/>
      <x:c r="BH14" s="287"/>
      <x:c r="BI14" s="287"/>
      <x:c r="BJ14" s="287"/>
      <x:c r="BK14" s="287"/>
      <x:c r="BL14" s="287"/>
      <x:c r="BM14" s="288"/>
      <x:c r="BN14" s="285"/>
      <x:c r="BO14" s="285"/>
      <x:c r="BP14" s="282"/>
      <x:c r="BQ14" s="283"/>
      <x:c r="BR14" s="450" t="s">
        <x:v>72</x:v>
      </x:c>
      <x:c r="BS14" s="287"/>
      <x:c r="BT14" s="287"/>
      <x:c r="BU14" s="287"/>
      <x:c r="BV14" s="287"/>
      <x:c r="BW14" s="287"/>
      <x:c r="BX14" s="287"/>
      <x:c r="BY14" s="287"/>
      <x:c r="BZ14" s="287"/>
      <x:c r="CA14" s="288"/>
      <x:c r="CB14" s="390"/>
      <x:c r="CC14" s="390"/>
      <x:c r="CD14" s="292"/>
      <x:c r="CE14" s="293"/>
      <x:c r="CF14" s="286" t="s">
        <x:v>129</x:v>
      </x:c>
      <x:c r="CG14" s="287"/>
      <x:c r="CH14" s="287"/>
      <x:c r="CI14" s="287"/>
      <x:c r="CJ14" s="287"/>
      <x:c r="CK14" s="287"/>
      <x:c r="CL14" s="287"/>
      <x:c r="CM14" s="287"/>
      <x:c r="CN14" s="287"/>
      <x:c r="CO14" s="288"/>
      <x:c r="CP14" s="284"/>
      <x:c r="CQ14" s="284"/>
      <x:c r="CR14" s="282"/>
      <x:c r="CS14" s="283"/>
      <x:c r="CT14" s="286" t="s">
        <x:v>121</x:v>
      </x:c>
      <x:c r="CU14" s="287"/>
      <x:c r="CV14" s="287"/>
      <x:c r="CW14" s="287"/>
      <x:c r="CX14" s="287"/>
      <x:c r="CY14" s="287"/>
      <x:c r="CZ14" s="287"/>
      <x:c r="DA14" s="287"/>
      <x:c r="DB14" s="287"/>
      <x:c r="DC14" s="288"/>
      <x:c r="DD14" s="284"/>
      <x:c r="DE14" s="284"/>
      <x:c r="DF14" s="282"/>
      <x:c r="DG14" s="283"/>
      <x:c r="DK14" s="71"/>
      <x:c r="DL14" s="71"/>
      <x:c r="DM14" s="71"/>
      <x:c r="DN14" s="71"/>
      <x:c r="DO14" s="71"/>
      <x:c r="DP14" s="71"/>
      <x:c r="DQ14" s="71"/>
      <x:c r="DR14" s="71"/>
      <x:c r="DS14" s="9"/>
      <x:c r="DT14" s="9"/>
      <x:c r="DU14" s="71"/>
      <x:c r="DV14" s="71"/>
      <x:c r="DW14" s="71"/>
      <x:c r="DX14" s="71"/>
      <x:c r="DY14" s="71"/>
      <x:c r="DZ14" s="71"/>
      <x:c r="EA14" s="71"/>
      <x:c r="EB14" s="71"/>
      <x:c r="EC14" s="9"/>
      <x:c r="ED14" s="9"/>
      <x:c r="EE14" s="9"/>
      <x:c r="EF14" s="71"/>
      <x:c r="EG14" s="71"/>
      <x:c r="EH14" s="71"/>
      <x:c r="EI14" s="71"/>
      <x:c r="EJ14" s="71"/>
      <x:c r="EK14" s="71"/>
      <x:c r="EL14" s="71"/>
      <x:c r="EM14" s="71"/>
    </x:row>
    <x:row r="15" ht="6" customHeight="1">
      <x:c r="A15" s="499"/>
      <x:c r="B15" s="500"/>
      <x:c r="C15" s="500"/>
      <x:c r="D15" s="500"/>
      <x:c r="E15" s="501"/>
      <x:c r="F15" s="490"/>
      <x:c r="G15" s="491"/>
      <x:c r="H15" s="491"/>
      <x:c r="I15" s="491"/>
      <x:c r="J15" s="491"/>
      <x:c r="K15" s="491"/>
      <x:c r="L15" s="491"/>
      <x:c r="M15" s="491"/>
      <x:c r="N15" s="491"/>
      <x:c r="O15" s="491"/>
      <x:c r="P15" s="491"/>
      <x:c r="Q15" s="491"/>
      <x:c r="R15" s="492"/>
      <x:c r="S15" s="495"/>
      <x:c r="T15" s="348"/>
      <x:c r="U15" s="348"/>
      <x:c r="V15" s="348"/>
      <x:c r="W15" s="348"/>
      <x:c r="X15" s="348"/>
      <x:c r="Y15" s="499"/>
      <x:c r="Z15" s="500"/>
      <x:c r="AA15" s="500"/>
      <x:c r="AB15" s="500"/>
      <x:c r="AC15" s="500"/>
      <x:c r="AD15" s="501"/>
      <x:c r="AE15" s="491"/>
      <x:c r="AF15" s="491"/>
      <x:c r="AG15" s="491"/>
      <x:c r="AH15" s="491"/>
      <x:c r="AI15" s="491"/>
      <x:c r="AJ15" s="491"/>
      <x:c r="AK15" s="491"/>
      <x:c r="AL15" s="491"/>
      <x:c r="AM15" s="491"/>
      <x:c r="AN15" s="491"/>
      <x:c r="AO15" s="491"/>
      <x:c r="AP15" s="491"/>
      <x:c r="AQ15" s="492"/>
      <x:c r="AR15" s="495"/>
      <x:c r="AS15" s="348"/>
      <x:c r="AT15" s="348"/>
      <x:c r="AU15" s="348"/>
      <x:c r="AV15" s="348"/>
      <x:c r="AW15" s="348"/>
      <x:c r="AX15" s="348"/>
      <x:c r="AY15" s="348"/>
      <x:c r="AZ15" s="348"/>
      <x:c r="BA15" s="348"/>
      <x:c r="BB15" s="503"/>
      <x:c r="BD15" s="289"/>
      <x:c r="BE15" s="290"/>
      <x:c r="BF15" s="290"/>
      <x:c r="BG15" s="290"/>
      <x:c r="BH15" s="290"/>
      <x:c r="BI15" s="290"/>
      <x:c r="BJ15" s="290"/>
      <x:c r="BK15" s="290"/>
      <x:c r="BL15" s="290"/>
      <x:c r="BM15" s="291"/>
      <x:c r="BN15" s="285"/>
      <x:c r="BO15" s="285"/>
      <x:c r="BP15" s="282"/>
      <x:c r="BQ15" s="283"/>
      <x:c r="BR15" s="289"/>
      <x:c r="BS15" s="290"/>
      <x:c r="BT15" s="290"/>
      <x:c r="BU15" s="290"/>
      <x:c r="BV15" s="290"/>
      <x:c r="BW15" s="290"/>
      <x:c r="BX15" s="290"/>
      <x:c r="BY15" s="290"/>
      <x:c r="BZ15" s="290"/>
      <x:c r="CA15" s="291"/>
      <x:c r="CB15" s="391"/>
      <x:c r="CC15" s="391"/>
      <x:c r="CD15" s="292"/>
      <x:c r="CE15" s="293"/>
      <x:c r="CF15" s="289"/>
      <x:c r="CG15" s="290"/>
      <x:c r="CH15" s="290"/>
      <x:c r="CI15" s="290"/>
      <x:c r="CJ15" s="290"/>
      <x:c r="CK15" s="290"/>
      <x:c r="CL15" s="290"/>
      <x:c r="CM15" s="290"/>
      <x:c r="CN15" s="290"/>
      <x:c r="CO15" s="291"/>
      <x:c r="CP15" s="285"/>
      <x:c r="CQ15" s="285"/>
      <x:c r="CR15" s="282"/>
      <x:c r="CS15" s="283"/>
      <x:c r="CT15" s="289"/>
      <x:c r="CU15" s="290"/>
      <x:c r="CV15" s="290"/>
      <x:c r="CW15" s="290"/>
      <x:c r="CX15" s="290"/>
      <x:c r="CY15" s="290"/>
      <x:c r="CZ15" s="290"/>
      <x:c r="DA15" s="290"/>
      <x:c r="DB15" s="290"/>
      <x:c r="DC15" s="291"/>
      <x:c r="DD15" s="285"/>
      <x:c r="DE15" s="285"/>
      <x:c r="DF15" s="282"/>
      <x:c r="DG15" s="283"/>
      <x:c r="DK15" s="74"/>
      <x:c r="DL15" s="74"/>
      <x:c r="DM15" s="74"/>
      <x:c r="DN15" s="74"/>
      <x:c r="DO15" s="75"/>
      <x:c r="DP15" s="75"/>
      <x:c r="DQ15" s="75"/>
      <x:c r="DR15" s="75"/>
      <x:c r="DS15" s="9"/>
      <x:c r="DT15" s="9"/>
      <x:c r="DU15" s="71"/>
      <x:c r="DV15" s="71"/>
      <x:c r="DW15" s="71"/>
      <x:c r="DX15" s="71"/>
      <x:c r="DY15" s="71"/>
      <x:c r="DZ15" s="71"/>
      <x:c r="EA15" s="71"/>
      <x:c r="EB15" s="71"/>
      <x:c r="EC15" s="9"/>
      <x:c r="ED15" s="9"/>
      <x:c r="EE15" s="9"/>
      <x:c r="EF15" s="71"/>
      <x:c r="EG15" s="71"/>
      <x:c r="EH15" s="71"/>
      <x:c r="EI15" s="71"/>
      <x:c r="EJ15" s="71"/>
      <x:c r="EK15" s="71"/>
      <x:c r="EL15" s="71"/>
      <x:c r="EM15" s="71"/>
    </x:row>
    <x:row r="16" ht="6" customHeight="1">
      <x:c r="A16" s="496" t="s">
        <x:v>183</x:v>
      </x:c>
      <x:c r="B16" s="497"/>
      <x:c r="C16" s="497"/>
      <x:c r="D16" s="497"/>
      <x:c r="E16" s="498"/>
      <x:c r="F16" s="507"/>
      <x:c r="G16" s="508"/>
      <x:c r="H16" s="508"/>
      <x:c r="I16" s="508"/>
      <x:c r="J16" s="508"/>
      <x:c r="K16" s="508"/>
      <x:c r="L16" s="508"/>
      <x:c r="M16" s="508"/>
      <x:c r="N16" s="508"/>
      <x:c r="O16" s="508"/>
      <x:c r="P16" s="508"/>
      <x:c r="Q16" s="508"/>
      <x:c r="R16" s="512" t="str">
        <x:f>IF($F$16="","",(TEXT($F$16,"aaa")))</x:f>
      </x:c>
      <x:c r="S16" s="513"/>
      <x:c r="T16" s="514"/>
      <x:c r="U16" s="518" t="s">
        <x:v>184</x:v>
      </x:c>
      <x:c r="V16" s="519"/>
      <x:c r="W16" s="519"/>
      <x:c r="X16" s="521"/>
      <x:c r="Y16" s="521"/>
      <x:c r="Z16" s="521"/>
      <x:c r="AA16" s="521"/>
      <x:c r="AB16" s="521"/>
      <x:c r="AC16" s="521"/>
      <x:c r="AD16" s="312" t="s">
        <x:v>180</x:v>
      </x:c>
      <x:c r="AE16" s="358"/>
      <x:c r="AF16" s="358"/>
      <x:c r="AG16" s="358"/>
      <x:c r="AH16" s="358"/>
      <x:c r="AI16" s="358"/>
      <x:c r="AJ16" s="528" t="s">
        <x:v>185</x:v>
      </x:c>
      <x:c r="AK16" s="529"/>
      <x:c r="AL16" s="529"/>
      <x:c r="AM16" s="529"/>
      <x:c r="AN16" s="529"/>
      <x:c r="AO16" s="530"/>
      <x:c r="AP16" s="537"/>
      <x:c r="AQ16" s="538"/>
      <x:c r="AR16" s="538"/>
      <x:c r="AS16" s="538"/>
      <x:c r="AT16" s="538"/>
      <x:c r="AU16" s="538"/>
      <x:c r="AV16" s="538"/>
      <x:c r="AW16" s="538"/>
      <x:c r="AX16" s="538"/>
      <x:c r="AY16" s="538"/>
      <x:c r="AZ16" s="538"/>
      <x:c r="BA16" s="538"/>
      <x:c r="BB16" s="539"/>
      <x:c r="BD16" s="286" t="s">
        <x:v>186</x:v>
      </x:c>
      <x:c r="BE16" s="287"/>
      <x:c r="BF16" s="287"/>
      <x:c r="BG16" s="287"/>
      <x:c r="BH16" s="287"/>
      <x:c r="BI16" s="287"/>
      <x:c r="BJ16" s="287"/>
      <x:c r="BK16" s="287"/>
      <x:c r="BL16" s="287"/>
      <x:c r="BM16" s="288"/>
      <x:c r="BN16" s="285"/>
      <x:c r="BO16" s="285"/>
      <x:c r="BP16" s="282"/>
      <x:c r="BQ16" s="283"/>
      <x:c r="BR16" s="450" t="s">
        <x:v>76</x:v>
      </x:c>
      <x:c r="BS16" s="287"/>
      <x:c r="BT16" s="287"/>
      <x:c r="BU16" s="287"/>
      <x:c r="BV16" s="287"/>
      <x:c r="BW16" s="287"/>
      <x:c r="BX16" s="287"/>
      <x:c r="BY16" s="287"/>
      <x:c r="BZ16" s="287"/>
      <x:c r="CA16" s="288"/>
      <x:c r="CB16" s="390"/>
      <x:c r="CC16" s="390"/>
      <x:c r="CD16" s="292"/>
      <x:c r="CE16" s="293"/>
      <x:c r="CF16" s="450" t="s">
        <x:v>187</x:v>
      </x:c>
      <x:c r="CG16" s="287"/>
      <x:c r="CH16" s="287"/>
      <x:c r="CI16" s="287"/>
      <x:c r="CJ16" s="287"/>
      <x:c r="CK16" s="287"/>
      <x:c r="CL16" s="287"/>
      <x:c r="CM16" s="287"/>
      <x:c r="CN16" s="287"/>
      <x:c r="CO16" s="288"/>
      <x:c r="CP16" s="548"/>
      <x:c r="CQ16" s="548"/>
      <x:c r="CR16" s="282"/>
      <x:c r="CS16" s="283"/>
      <x:c r="CT16" s="450" t="s">
        <x:v>188</x:v>
      </x:c>
      <x:c r="CU16" s="287"/>
      <x:c r="CV16" s="287"/>
      <x:c r="CW16" s="287"/>
      <x:c r="CX16" s="287"/>
      <x:c r="CY16" s="287"/>
      <x:c r="CZ16" s="287"/>
      <x:c r="DA16" s="287"/>
      <x:c r="DB16" s="287"/>
      <x:c r="DC16" s="288"/>
      <x:c r="DD16" s="284"/>
      <x:c r="DE16" s="284"/>
      <x:c r="DF16" s="282"/>
      <x:c r="DG16" s="283"/>
      <x:c r="DK16" s="74"/>
      <x:c r="DL16" s="74"/>
      <x:c r="DM16" s="74"/>
      <x:c r="DN16" s="74"/>
      <x:c r="DO16" s="75"/>
      <x:c r="DP16" s="75"/>
      <x:c r="DQ16" s="75"/>
      <x:c r="DR16" s="75"/>
      <x:c r="DS16" s="9"/>
      <x:c r="DT16" s="9"/>
      <x:c r="DU16" s="71"/>
      <x:c r="DV16" s="71"/>
      <x:c r="DW16" s="71"/>
      <x:c r="DX16" s="71"/>
      <x:c r="DY16" s="71"/>
      <x:c r="DZ16" s="71"/>
      <x:c r="EA16" s="71"/>
      <x:c r="EB16" s="71"/>
      <x:c r="EC16" s="9"/>
      <x:c r="ED16" s="9"/>
      <x:c r="EE16" s="9"/>
      <x:c r="EF16" s="71"/>
      <x:c r="EG16" s="71"/>
      <x:c r="EH16" s="71"/>
      <x:c r="EI16" s="71"/>
      <x:c r="EJ16" s="71"/>
      <x:c r="EK16" s="71"/>
      <x:c r="EL16" s="71"/>
      <x:c r="EM16" s="71"/>
    </x:row>
    <x:row r="17" ht="6" customHeight="1">
      <x:c r="A17" s="504"/>
      <x:c r="B17" s="505"/>
      <x:c r="C17" s="505"/>
      <x:c r="D17" s="505"/>
      <x:c r="E17" s="506"/>
      <x:c r="F17" s="509"/>
      <x:c r="G17" s="508"/>
      <x:c r="H17" s="508"/>
      <x:c r="I17" s="508"/>
      <x:c r="J17" s="508"/>
      <x:c r="K17" s="508"/>
      <x:c r="L17" s="508"/>
      <x:c r="M17" s="508"/>
      <x:c r="N17" s="508"/>
      <x:c r="O17" s="508"/>
      <x:c r="P17" s="508"/>
      <x:c r="Q17" s="508"/>
      <x:c r="R17" s="512"/>
      <x:c r="S17" s="513"/>
      <x:c r="T17" s="514"/>
      <x:c r="U17" s="519"/>
      <x:c r="V17" s="519"/>
      <x:c r="W17" s="519"/>
      <x:c r="X17" s="522"/>
      <x:c r="Y17" s="522"/>
      <x:c r="Z17" s="522"/>
      <x:c r="AA17" s="522"/>
      <x:c r="AB17" s="522"/>
      <x:c r="AC17" s="522"/>
      <x:c r="AD17" s="524"/>
      <x:c r="AE17" s="526"/>
      <x:c r="AF17" s="526"/>
      <x:c r="AG17" s="526"/>
      <x:c r="AH17" s="526"/>
      <x:c r="AI17" s="526"/>
      <x:c r="AJ17" s="531"/>
      <x:c r="AK17" s="532"/>
      <x:c r="AL17" s="532"/>
      <x:c r="AM17" s="532"/>
      <x:c r="AN17" s="532"/>
      <x:c r="AO17" s="533"/>
      <x:c r="AP17" s="538"/>
      <x:c r="AQ17" s="538"/>
      <x:c r="AR17" s="538"/>
      <x:c r="AS17" s="538"/>
      <x:c r="AT17" s="538"/>
      <x:c r="AU17" s="538"/>
      <x:c r="AV17" s="538"/>
      <x:c r="AW17" s="538"/>
      <x:c r="AX17" s="538"/>
      <x:c r="AY17" s="538"/>
      <x:c r="AZ17" s="538"/>
      <x:c r="BA17" s="538"/>
      <x:c r="BB17" s="539"/>
      <x:c r="BD17" s="289"/>
      <x:c r="BE17" s="290"/>
      <x:c r="BF17" s="290"/>
      <x:c r="BG17" s="290"/>
      <x:c r="BH17" s="290"/>
      <x:c r="BI17" s="290"/>
      <x:c r="BJ17" s="290"/>
      <x:c r="BK17" s="290"/>
      <x:c r="BL17" s="290"/>
      <x:c r="BM17" s="291"/>
      <x:c r="BN17" s="285"/>
      <x:c r="BO17" s="285"/>
      <x:c r="BP17" s="282"/>
      <x:c r="BQ17" s="283"/>
      <x:c r="BR17" s="289"/>
      <x:c r="BS17" s="290"/>
      <x:c r="BT17" s="290"/>
      <x:c r="BU17" s="290"/>
      <x:c r="BV17" s="290"/>
      <x:c r="BW17" s="290"/>
      <x:c r="BX17" s="290"/>
      <x:c r="BY17" s="290"/>
      <x:c r="BZ17" s="290"/>
      <x:c r="CA17" s="291"/>
      <x:c r="CB17" s="391"/>
      <x:c r="CC17" s="391"/>
      <x:c r="CD17" s="292"/>
      <x:c r="CE17" s="293"/>
      <x:c r="CF17" s="289"/>
      <x:c r="CG17" s="290"/>
      <x:c r="CH17" s="290"/>
      <x:c r="CI17" s="290"/>
      <x:c r="CJ17" s="290"/>
      <x:c r="CK17" s="290"/>
      <x:c r="CL17" s="290"/>
      <x:c r="CM17" s="290"/>
      <x:c r="CN17" s="290"/>
      <x:c r="CO17" s="291"/>
      <x:c r="CP17" s="431"/>
      <x:c r="CQ17" s="431"/>
      <x:c r="CR17" s="282"/>
      <x:c r="CS17" s="283"/>
      <x:c r="CT17" s="289"/>
      <x:c r="CU17" s="290"/>
      <x:c r="CV17" s="290"/>
      <x:c r="CW17" s="290"/>
      <x:c r="CX17" s="290"/>
      <x:c r="CY17" s="290"/>
      <x:c r="CZ17" s="290"/>
      <x:c r="DA17" s="290"/>
      <x:c r="DB17" s="290"/>
      <x:c r="DC17" s="291"/>
      <x:c r="DD17" s="285"/>
      <x:c r="DE17" s="285"/>
      <x:c r="DF17" s="282"/>
      <x:c r="DG17" s="283"/>
      <x:c r="DK17" s="71"/>
      <x:c r="DL17" s="71"/>
      <x:c r="DM17" s="71"/>
      <x:c r="DN17" s="71"/>
      <x:c r="DO17" s="71"/>
      <x:c r="DP17" s="71"/>
      <x:c r="DQ17" s="71"/>
      <x:c r="DR17" s="71"/>
      <x:c r="DS17" s="9"/>
      <x:c r="DT17" s="9"/>
      <x:c r="DU17" s="71"/>
      <x:c r="DV17" s="71"/>
      <x:c r="DW17" s="71"/>
      <x:c r="DX17" s="71"/>
      <x:c r="DY17" s="71"/>
      <x:c r="DZ17" s="71"/>
      <x:c r="EA17" s="71"/>
      <x:c r="EB17" s="71"/>
      <x:c r="EC17" s="9"/>
      <x:c r="ED17" s="9"/>
      <x:c r="EE17" s="9"/>
      <x:c r="EF17" s="71"/>
      <x:c r="EG17" s="71"/>
      <x:c r="EH17" s="71"/>
      <x:c r="EI17" s="71"/>
      <x:c r="EJ17" s="71"/>
      <x:c r="EK17" s="71"/>
      <x:c r="EL17" s="71"/>
      <x:c r="EM17" s="71"/>
    </x:row>
    <x:row r="18" ht="6" customHeight="1">
      <x:c r="A18" s="499"/>
      <x:c r="B18" s="500"/>
      <x:c r="C18" s="500"/>
      <x:c r="D18" s="500"/>
      <x:c r="E18" s="501"/>
      <x:c r="F18" s="510"/>
      <x:c r="G18" s="511"/>
      <x:c r="H18" s="511"/>
      <x:c r="I18" s="511"/>
      <x:c r="J18" s="511"/>
      <x:c r="K18" s="511"/>
      <x:c r="L18" s="511"/>
      <x:c r="M18" s="511"/>
      <x:c r="N18" s="511"/>
      <x:c r="O18" s="511"/>
      <x:c r="P18" s="511"/>
      <x:c r="Q18" s="511"/>
      <x:c r="R18" s="515"/>
      <x:c r="S18" s="516"/>
      <x:c r="T18" s="517"/>
      <x:c r="U18" s="520"/>
      <x:c r="V18" s="520"/>
      <x:c r="W18" s="520"/>
      <x:c r="X18" s="523"/>
      <x:c r="Y18" s="523"/>
      <x:c r="Z18" s="523"/>
      <x:c r="AA18" s="523"/>
      <x:c r="AB18" s="523"/>
      <x:c r="AC18" s="523"/>
      <x:c r="AD18" s="525"/>
      <x:c r="AE18" s="527"/>
      <x:c r="AF18" s="527"/>
      <x:c r="AG18" s="527"/>
      <x:c r="AH18" s="527"/>
      <x:c r="AI18" s="527"/>
      <x:c r="AJ18" s="534"/>
      <x:c r="AK18" s="535"/>
      <x:c r="AL18" s="535"/>
      <x:c r="AM18" s="535"/>
      <x:c r="AN18" s="535"/>
      <x:c r="AO18" s="536"/>
      <x:c r="AP18" s="540"/>
      <x:c r="AQ18" s="540"/>
      <x:c r="AR18" s="540"/>
      <x:c r="AS18" s="540"/>
      <x:c r="AT18" s="540"/>
      <x:c r="AU18" s="540"/>
      <x:c r="AV18" s="540"/>
      <x:c r="AW18" s="540"/>
      <x:c r="AX18" s="540"/>
      <x:c r="AY18" s="540"/>
      <x:c r="AZ18" s="540"/>
      <x:c r="BA18" s="540"/>
      <x:c r="BB18" s="541"/>
      <x:c r="BD18" s="286" t="s">
        <x:v>39</x:v>
      </x:c>
      <x:c r="BE18" s="287"/>
      <x:c r="BF18" s="287"/>
      <x:c r="BG18" s="287"/>
      <x:c r="BH18" s="287"/>
      <x:c r="BI18" s="287"/>
      <x:c r="BJ18" s="287"/>
      <x:c r="BK18" s="287"/>
      <x:c r="BL18" s="287"/>
      <x:c r="BM18" s="288"/>
      <x:c r="BN18" s="285"/>
      <x:c r="BO18" s="285"/>
      <x:c r="BP18" s="282"/>
      <x:c r="BQ18" s="283"/>
      <x:c r="BR18" s="549" t="s">
        <x:v>189</x:v>
      </x:c>
      <x:c r="BS18" s="550"/>
      <x:c r="BT18" s="550"/>
      <x:c r="BU18" s="550"/>
      <x:c r="BV18" s="550"/>
      <x:c r="BW18" s="551"/>
      <x:c r="BX18" s="384"/>
      <x:c r="BY18" s="386"/>
      <x:c r="BZ18" s="555" t="s">
        <x:v>190</x:v>
      </x:c>
      <x:c r="CA18" s="556"/>
      <x:c r="CB18" s="390"/>
      <x:c r="CC18" s="390"/>
      <x:c r="CD18" s="292"/>
      <x:c r="CE18" s="293"/>
      <x:c r="CF18" s="286" t="s">
        <x:v>109</x:v>
      </x:c>
      <x:c r="CG18" s="287"/>
      <x:c r="CH18" s="287"/>
      <x:c r="CI18" s="287"/>
      <x:c r="CJ18" s="287"/>
      <x:c r="CK18" s="287"/>
      <x:c r="CL18" s="287"/>
      <x:c r="CM18" s="287"/>
      <x:c r="CN18" s="287"/>
      <x:c r="CO18" s="288"/>
      <x:c r="CP18" s="548"/>
      <x:c r="CQ18" s="548"/>
      <x:c r="CR18" s="282"/>
      <x:c r="CS18" s="283"/>
      <x:c r="CT18" s="286" t="s">
        <x:v>136</x:v>
      </x:c>
      <x:c r="CU18" s="287"/>
      <x:c r="CV18" s="287"/>
      <x:c r="CW18" s="287"/>
      <x:c r="CX18" s="287"/>
      <x:c r="CY18" s="287"/>
      <x:c r="CZ18" s="287"/>
      <x:c r="DA18" s="287"/>
      <x:c r="DB18" s="287"/>
      <x:c r="DC18" s="288"/>
      <x:c r="DD18" s="284"/>
      <x:c r="DE18" s="284"/>
      <x:c r="DF18" s="282"/>
      <x:c r="DG18" s="283"/>
      <x:c r="DK18" s="71"/>
      <x:c r="DL18" s="71"/>
      <x:c r="DM18" s="71"/>
      <x:c r="DN18" s="71"/>
      <x:c r="DO18" s="71"/>
      <x:c r="DP18" s="71"/>
      <x:c r="DQ18" s="71"/>
      <x:c r="DR18" s="71"/>
      <x:c r="DS18" s="29"/>
      <x:c r="DT18" s="29"/>
      <x:c r="DU18" s="71"/>
      <x:c r="DV18" s="71"/>
      <x:c r="DW18" s="71"/>
      <x:c r="DX18" s="71"/>
      <x:c r="DY18" s="71"/>
      <x:c r="DZ18" s="71"/>
      <x:c r="EA18" s="71"/>
      <x:c r="EB18" s="71"/>
      <x:c r="EC18" s="29"/>
      <x:c r="ED18" s="29"/>
      <x:c r="EE18" s="29"/>
      <x:c r="EF18" s="71"/>
      <x:c r="EG18" s="71"/>
      <x:c r="EH18" s="71"/>
      <x:c r="EI18" s="71"/>
      <x:c r="EJ18" s="71"/>
      <x:c r="EK18" s="71"/>
      <x:c r="EL18" s="71"/>
      <x:c r="EM18" s="71"/>
    </x:row>
    <x:row r="19" ht="6" customHeight="1">
      <x:c r="A19" s="8"/>
      <x:c r="B19" s="8"/>
      <x:c r="C19" s="8"/>
      <x:c r="D19" s="8"/>
      <x:c r="E19" s="8"/>
      <x:c r="F19" s="8"/>
      <x:c r="G19" s="8"/>
      <x:c r="H19" s="8"/>
      <x:c r="I19" s="8"/>
      <x:c r="J19" s="8"/>
      <x:c r="K19" s="8"/>
      <x:c r="L19" s="8"/>
      <x:c r="M19" s="8"/>
      <x:c r="N19" s="8"/>
      <x:c r="O19" s="8"/>
      <x:c r="P19" s="8"/>
      <x:c r="Q19" s="8"/>
      <x:c r="R19" s="8"/>
      <x:c r="S19" s="8"/>
      <x:c r="T19" s="8"/>
      <x:c r="U19" s="8"/>
      <x:c r="V19" s="8"/>
      <x:c r="W19" s="8"/>
      <x:c r="X19" s="8"/>
      <x:c r="Y19" s="8"/>
      <x:c r="Z19" s="8"/>
      <x:c r="AA19" s="8"/>
      <x:c r="AB19" s="8"/>
      <x:c r="AC19" s="8"/>
      <x:c r="AD19" s="8"/>
      <x:c r="AE19" s="8"/>
      <x:c r="AF19" s="8"/>
      <x:c r="AG19" s="8"/>
      <x:c r="AH19" s="8"/>
      <x:c r="AI19" s="8"/>
      <x:c r="AJ19" s="8"/>
      <x:c r="AK19" s="8"/>
      <x:c r="AL19" s="8"/>
      <x:c r="AM19" s="8"/>
      <x:c r="AN19" s="8"/>
      <x:c r="AO19" s="8"/>
      <x:c r="AP19" s="8"/>
      <x:c r="AQ19" s="8"/>
      <x:c r="AR19" s="8"/>
      <x:c r="AS19" s="8"/>
      <x:c r="AT19" s="8"/>
      <x:c r="AU19" s="8"/>
      <x:c r="AV19" s="8"/>
      <x:c r="AW19" s="8"/>
      <x:c r="AX19" s="8"/>
      <x:c r="AY19" s="8"/>
      <x:c r="AZ19" s="8"/>
      <x:c r="BA19" s="20"/>
      <x:c r="BB19" s="19"/>
      <x:c r="BD19" s="289"/>
      <x:c r="BE19" s="290"/>
      <x:c r="BF19" s="290"/>
      <x:c r="BG19" s="290"/>
      <x:c r="BH19" s="290"/>
      <x:c r="BI19" s="290"/>
      <x:c r="BJ19" s="290"/>
      <x:c r="BK19" s="290"/>
      <x:c r="BL19" s="290"/>
      <x:c r="BM19" s="291"/>
      <x:c r="BN19" s="285"/>
      <x:c r="BO19" s="285"/>
      <x:c r="BP19" s="282"/>
      <x:c r="BQ19" s="283"/>
      <x:c r="BR19" s="552"/>
      <x:c r="BS19" s="553"/>
      <x:c r="BT19" s="553"/>
      <x:c r="BU19" s="553"/>
      <x:c r="BV19" s="553"/>
      <x:c r="BW19" s="554"/>
      <x:c r="BX19" s="387"/>
      <x:c r="BY19" s="389"/>
      <x:c r="BZ19" s="557"/>
      <x:c r="CA19" s="558"/>
      <x:c r="CB19" s="391"/>
      <x:c r="CC19" s="391"/>
      <x:c r="CD19" s="292"/>
      <x:c r="CE19" s="293"/>
      <x:c r="CF19" s="289"/>
      <x:c r="CG19" s="290"/>
      <x:c r="CH19" s="290"/>
      <x:c r="CI19" s="290"/>
      <x:c r="CJ19" s="290"/>
      <x:c r="CK19" s="290"/>
      <x:c r="CL19" s="290"/>
      <x:c r="CM19" s="290"/>
      <x:c r="CN19" s="290"/>
      <x:c r="CO19" s="291"/>
      <x:c r="CP19" s="431"/>
      <x:c r="CQ19" s="431"/>
      <x:c r="CR19" s="282"/>
      <x:c r="CS19" s="283"/>
      <x:c r="CT19" s="289"/>
      <x:c r="CU19" s="290"/>
      <x:c r="CV19" s="290"/>
      <x:c r="CW19" s="290"/>
      <x:c r="CX19" s="290"/>
      <x:c r="CY19" s="290"/>
      <x:c r="CZ19" s="290"/>
      <x:c r="DA19" s="290"/>
      <x:c r="DB19" s="290"/>
      <x:c r="DC19" s="291"/>
      <x:c r="DD19" s="285"/>
      <x:c r="DE19" s="285"/>
      <x:c r="DF19" s="282"/>
      <x:c r="DG19" s="283"/>
      <x:c r="DK19" s="71"/>
      <x:c r="DL19" s="71"/>
      <x:c r="DM19" s="71"/>
      <x:c r="DN19" s="71"/>
      <x:c r="DO19" s="71"/>
      <x:c r="DP19" s="71"/>
      <x:c r="DQ19" s="71"/>
      <x:c r="DR19" s="71"/>
      <x:c r="DS19" s="29"/>
      <x:c r="DT19" s="29"/>
      <x:c r="DU19" s="71"/>
      <x:c r="DV19" s="71"/>
      <x:c r="DW19" s="71"/>
      <x:c r="DX19" s="71"/>
      <x:c r="DY19" s="71"/>
      <x:c r="DZ19" s="71"/>
      <x:c r="EA19" s="71"/>
      <x:c r="EB19" s="71"/>
      <x:c r="EC19" s="29"/>
      <x:c r="ED19" s="29"/>
      <x:c r="EE19" s="29"/>
      <x:c r="EF19" s="71"/>
      <x:c r="EG19" s="71"/>
      <x:c r="EH19" s="71"/>
      <x:c r="EI19" s="71"/>
      <x:c r="EJ19" s="71"/>
      <x:c r="EK19" s="71"/>
      <x:c r="EL19" s="71"/>
      <x:c r="EM19" s="71"/>
    </x:row>
    <x:row r="20" ht="6" customHeight="1">
      <x:c r="A20" s="496" t="s">
        <x:v>191</x:v>
      </x:c>
      <x:c r="B20" s="497"/>
      <x:c r="C20" s="497"/>
      <x:c r="D20" s="497"/>
      <x:c r="E20" s="497"/>
      <x:c r="F20" s="497"/>
      <x:c r="G20" s="498"/>
      <x:c r="H20" s="559"/>
      <x:c r="I20" s="560"/>
      <x:c r="J20" s="560"/>
      <x:c r="K20" s="560"/>
      <x:c r="L20" s="560"/>
      <x:c r="M20" s="560"/>
      <x:c r="N20" s="560"/>
      <x:c r="O20" s="560"/>
      <x:c r="P20" s="560"/>
      <x:c r="Q20" s="560"/>
      <x:c r="R20" s="563" t="str">
        <x:f>IF($H$20="","",(TEXT($H$20,"aaa")))</x:f>
      </x:c>
      <x:c r="S20" s="564"/>
      <x:c r="T20" s="565"/>
      <x:c r="U20" s="566" t="s">
        <x:v>184</x:v>
      </x:c>
      <x:c r="V20" s="566"/>
      <x:c r="W20" s="566"/>
      <x:c r="X20" s="568"/>
      <x:c r="Y20" s="596"/>
      <x:c r="Z20" s="596"/>
      <x:c r="AA20" s="597"/>
      <x:c r="AB20" s="8"/>
      <x:c r="AC20" s="542" t="s">
        <x:v>192</x:v>
      </x:c>
      <x:c r="AD20" s="543"/>
      <x:c r="AE20" s="543"/>
      <x:c r="AF20" s="543"/>
      <x:c r="AG20" s="544"/>
      <x:c r="AH20" s="576"/>
      <x:c r="AI20" s="576"/>
      <x:c r="AJ20" s="576"/>
      <x:c r="AK20" s="576"/>
      <x:c r="AL20" s="576"/>
      <x:c r="AM20" s="576"/>
      <x:c r="AN20" s="576"/>
      <x:c r="AO20" s="576"/>
      <x:c r="AP20" s="576"/>
      <x:c r="AQ20" s="577"/>
      <x:c r="AR20" s="580" t="str">
        <x:f>IF($AH$20="","",(TEXT($AH$20,"aaa")))</x:f>
      </x:c>
      <x:c r="AS20" s="581"/>
      <x:c r="AT20" s="582"/>
      <x:c r="AU20" s="586" t="s">
        <x:v>184</x:v>
      </x:c>
      <x:c r="AV20" s="587"/>
      <x:c r="AW20" s="587"/>
      <x:c r="AX20" s="590"/>
      <x:c r="AY20" s="590"/>
      <x:c r="AZ20" s="590"/>
      <x:c r="BA20" s="590"/>
      <x:c r="BB20" s="591"/>
      <x:c r="BD20" s="286" t="s">
        <x:v>193</x:v>
      </x:c>
      <x:c r="BE20" s="475"/>
      <x:c r="BF20" s="475"/>
      <x:c r="BG20" s="475"/>
      <x:c r="BH20" s="475"/>
      <x:c r="BI20" s="475"/>
      <x:c r="BJ20" s="475"/>
      <x:c r="BK20" s="384"/>
      <x:c r="BL20" s="385"/>
      <x:c r="BM20" s="386"/>
      <x:c r="BN20" s="285"/>
      <x:c r="BO20" s="285"/>
      <x:c r="BP20" s="282"/>
      <x:c r="BQ20" s="283"/>
      <x:c r="BR20" s="450" t="s">
        <x:v>78</x:v>
      </x:c>
      <x:c r="BS20" s="287"/>
      <x:c r="BT20" s="287"/>
      <x:c r="BU20" s="287"/>
      <x:c r="BV20" s="287"/>
      <x:c r="BW20" s="287"/>
      <x:c r="BX20" s="287"/>
      <x:c r="BY20" s="287"/>
      <x:c r="BZ20" s="287"/>
      <x:c r="CA20" s="288"/>
      <x:c r="CB20" s="390"/>
      <x:c r="CC20" s="390"/>
      <x:c r="CD20" s="292"/>
      <x:c r="CE20" s="293"/>
      <x:c r="CF20" s="286" t="s">
        <x:v>110</x:v>
      </x:c>
      <x:c r="CG20" s="287"/>
      <x:c r="CH20" s="287"/>
      <x:c r="CI20" s="287"/>
      <x:c r="CJ20" s="287"/>
      <x:c r="CK20" s="287"/>
      <x:c r="CL20" s="287"/>
      <x:c r="CM20" s="287"/>
      <x:c r="CN20" s="287"/>
      <x:c r="CO20" s="288"/>
      <x:c r="CP20" s="548"/>
      <x:c r="CQ20" s="548"/>
      <x:c r="CR20" s="282"/>
      <x:c r="CS20" s="283"/>
      <x:c r="CT20" s="286" t="s">
        <x:v>137</x:v>
      </x:c>
      <x:c r="CU20" s="287"/>
      <x:c r="CV20" s="287"/>
      <x:c r="CW20" s="287"/>
      <x:c r="CX20" s="287"/>
      <x:c r="CY20" s="287"/>
      <x:c r="CZ20" s="287"/>
      <x:c r="DA20" s="287"/>
      <x:c r="DB20" s="287"/>
      <x:c r="DC20" s="288"/>
      <x:c r="DD20" s="284"/>
      <x:c r="DE20" s="284"/>
      <x:c r="DF20" s="282"/>
      <x:c r="DG20" s="283"/>
      <x:c r="DK20" s="71"/>
      <x:c r="DL20" s="71"/>
      <x:c r="DM20" s="71"/>
      <x:c r="DN20" s="71"/>
      <x:c r="DO20" s="71"/>
      <x:c r="DP20" s="71"/>
      <x:c r="DQ20" s="71"/>
      <x:c r="DR20" s="71"/>
      <x:c r="DS20" s="29"/>
      <x:c r="DT20" s="29"/>
      <x:c r="DU20" s="71"/>
      <x:c r="DV20" s="71"/>
      <x:c r="DW20" s="71"/>
      <x:c r="DX20" s="71"/>
      <x:c r="DY20" s="71"/>
      <x:c r="DZ20" s="71"/>
      <x:c r="EA20" s="71"/>
      <x:c r="EB20" s="71"/>
      <x:c r="EC20" s="29"/>
      <x:c r="ED20" s="29"/>
      <x:c r="EE20" s="29"/>
      <x:c r="EF20" s="71"/>
      <x:c r="EG20" s="71"/>
      <x:c r="EH20" s="71"/>
      <x:c r="EI20" s="71"/>
      <x:c r="EJ20" s="71"/>
      <x:c r="EK20" s="71"/>
      <x:c r="EL20" s="71"/>
      <x:c r="EM20" s="71"/>
    </x:row>
    <x:row r="21" ht="6" customHeight="1">
      <x:c r="A21" s="499"/>
      <x:c r="B21" s="500"/>
      <x:c r="C21" s="500"/>
      <x:c r="D21" s="500"/>
      <x:c r="E21" s="500"/>
      <x:c r="F21" s="500"/>
      <x:c r="G21" s="501"/>
      <x:c r="H21" s="594"/>
      <x:c r="I21" s="595"/>
      <x:c r="J21" s="595"/>
      <x:c r="K21" s="595"/>
      <x:c r="L21" s="595"/>
      <x:c r="M21" s="595"/>
      <x:c r="N21" s="595"/>
      <x:c r="O21" s="595"/>
      <x:c r="P21" s="595"/>
      <x:c r="Q21" s="595"/>
      <x:c r="R21" s="515"/>
      <x:c r="S21" s="516"/>
      <x:c r="T21" s="517"/>
      <x:c r="U21" s="567"/>
      <x:c r="V21" s="567"/>
      <x:c r="W21" s="567"/>
      <x:c r="X21" s="598"/>
      <x:c r="Y21" s="598"/>
      <x:c r="Z21" s="598"/>
      <x:c r="AA21" s="599"/>
      <x:c r="AB21" s="8"/>
      <x:c r="AC21" s="545"/>
      <x:c r="AD21" s="546"/>
      <x:c r="AE21" s="546"/>
      <x:c r="AF21" s="546"/>
      <x:c r="AG21" s="547"/>
      <x:c r="AH21" s="578"/>
      <x:c r="AI21" s="578"/>
      <x:c r="AJ21" s="578"/>
      <x:c r="AK21" s="578"/>
      <x:c r="AL21" s="578"/>
      <x:c r="AM21" s="578"/>
      <x:c r="AN21" s="578"/>
      <x:c r="AO21" s="578"/>
      <x:c r="AP21" s="578"/>
      <x:c r="AQ21" s="579"/>
      <x:c r="AR21" s="583"/>
      <x:c r="AS21" s="584"/>
      <x:c r="AT21" s="585"/>
      <x:c r="AU21" s="588"/>
      <x:c r="AV21" s="589"/>
      <x:c r="AW21" s="589"/>
      <x:c r="AX21" s="592"/>
      <x:c r="AY21" s="592"/>
      <x:c r="AZ21" s="592"/>
      <x:c r="BA21" s="592"/>
      <x:c r="BB21" s="593"/>
      <x:c r="BD21" s="476"/>
      <x:c r="BE21" s="477"/>
      <x:c r="BF21" s="477"/>
      <x:c r="BG21" s="477"/>
      <x:c r="BH21" s="477"/>
      <x:c r="BI21" s="477"/>
      <x:c r="BJ21" s="477"/>
      <x:c r="BK21" s="387"/>
      <x:c r="BL21" s="388"/>
      <x:c r="BM21" s="389"/>
      <x:c r="BN21" s="285"/>
      <x:c r="BO21" s="285"/>
      <x:c r="BP21" s="282"/>
      <x:c r="BQ21" s="283"/>
      <x:c r="BR21" s="289"/>
      <x:c r="BS21" s="290"/>
      <x:c r="BT21" s="290"/>
      <x:c r="BU21" s="290"/>
      <x:c r="BV21" s="290"/>
      <x:c r="BW21" s="290"/>
      <x:c r="BX21" s="290"/>
      <x:c r="BY21" s="290"/>
      <x:c r="BZ21" s="290"/>
      <x:c r="CA21" s="291"/>
      <x:c r="CB21" s="391"/>
      <x:c r="CC21" s="391"/>
      <x:c r="CD21" s="292"/>
      <x:c r="CE21" s="293"/>
      <x:c r="CF21" s="289"/>
      <x:c r="CG21" s="290"/>
      <x:c r="CH21" s="290"/>
      <x:c r="CI21" s="290"/>
      <x:c r="CJ21" s="290"/>
      <x:c r="CK21" s="290"/>
      <x:c r="CL21" s="290"/>
      <x:c r="CM21" s="290"/>
      <x:c r="CN21" s="290"/>
      <x:c r="CO21" s="291"/>
      <x:c r="CP21" s="431"/>
      <x:c r="CQ21" s="431"/>
      <x:c r="CR21" s="282"/>
      <x:c r="CS21" s="283"/>
      <x:c r="CT21" s="289"/>
      <x:c r="CU21" s="290"/>
      <x:c r="CV21" s="290"/>
      <x:c r="CW21" s="290"/>
      <x:c r="CX21" s="290"/>
      <x:c r="CY21" s="290"/>
      <x:c r="CZ21" s="290"/>
      <x:c r="DA21" s="290"/>
      <x:c r="DB21" s="290"/>
      <x:c r="DC21" s="291"/>
      <x:c r="DD21" s="285"/>
      <x:c r="DE21" s="285"/>
      <x:c r="DF21" s="282"/>
      <x:c r="DG21" s="283"/>
      <x:c r="DK21" s="71"/>
      <x:c r="DL21" s="71"/>
      <x:c r="DM21" s="71"/>
      <x:c r="DN21" s="71"/>
      <x:c r="DO21" s="71"/>
      <x:c r="DP21" s="71"/>
      <x:c r="DQ21" s="71"/>
      <x:c r="DR21" s="71"/>
      <x:c r="DS21" s="29"/>
      <x:c r="DT21" s="29"/>
      <x:c r="DU21" s="71"/>
      <x:c r="DV21" s="71"/>
      <x:c r="DW21" s="71"/>
      <x:c r="DX21" s="71"/>
      <x:c r="DY21" s="71"/>
      <x:c r="DZ21" s="71"/>
      <x:c r="EA21" s="71"/>
      <x:c r="EB21" s="71"/>
      <x:c r="EC21" s="71"/>
      <x:c r="ED21" s="71"/>
      <x:c r="EE21" s="29"/>
      <x:c r="EF21" s="72"/>
      <x:c r="EG21" s="72"/>
      <x:c r="EH21" s="72"/>
      <x:c r="EI21" s="72"/>
      <x:c r="EJ21" s="72"/>
      <x:c r="EK21" s="72"/>
      <x:c r="EL21" s="72"/>
      <x:c r="EM21" s="72"/>
    </x:row>
    <x:row r="22" ht="6" customHeight="1">
      <x:c r="A22" s="496" t="s">
        <x:v>194</x:v>
      </x:c>
      <x:c r="B22" s="497"/>
      <x:c r="C22" s="497"/>
      <x:c r="D22" s="497"/>
      <x:c r="E22" s="497"/>
      <x:c r="F22" s="497"/>
      <x:c r="G22" s="498"/>
      <x:c r="H22" s="559"/>
      <x:c r="I22" s="560"/>
      <x:c r="J22" s="560"/>
      <x:c r="K22" s="560"/>
      <x:c r="L22" s="560"/>
      <x:c r="M22" s="560"/>
      <x:c r="N22" s="560"/>
      <x:c r="O22" s="560"/>
      <x:c r="P22" s="560"/>
      <x:c r="Q22" s="560"/>
      <x:c r="R22" s="563" t="str">
        <x:f>IF($H$22="","",(TEXT($H$22,"aaa")))</x:f>
      </x:c>
      <x:c r="S22" s="564"/>
      <x:c r="T22" s="565"/>
      <x:c r="U22" s="566" t="s">
        <x:v>184</x:v>
      </x:c>
      <x:c r="V22" s="566"/>
      <x:c r="W22" s="566"/>
      <x:c r="X22" s="568"/>
      <x:c r="Y22" s="569"/>
      <x:c r="Z22" s="569"/>
      <x:c r="AA22" s="570"/>
      <x:c r="AB22" s="8"/>
      <x:c r="AC22" s="573" t="s">
        <x:v>195</x:v>
      </x:c>
      <x:c r="AD22" s="574"/>
      <x:c r="AE22" s="574"/>
      <x:c r="AF22" s="574"/>
      <x:c r="AG22" s="575"/>
      <x:c r="AH22" s="576"/>
      <x:c r="AI22" s="576"/>
      <x:c r="AJ22" s="576"/>
      <x:c r="AK22" s="576"/>
      <x:c r="AL22" s="576"/>
      <x:c r="AM22" s="576"/>
      <x:c r="AN22" s="576"/>
      <x:c r="AO22" s="576"/>
      <x:c r="AP22" s="576"/>
      <x:c r="AQ22" s="577"/>
      <x:c r="AR22" s="580" t="str">
        <x:f>IF($AH$22="","",(TEXT($AH$22,"aaa")))</x:f>
      </x:c>
      <x:c r="AS22" s="581"/>
      <x:c r="AT22" s="582"/>
      <x:c r="AU22" s="586" t="s">
        <x:v>184</x:v>
      </x:c>
      <x:c r="AV22" s="587"/>
      <x:c r="AW22" s="587"/>
      <x:c r="AX22" s="590"/>
      <x:c r="AY22" s="590"/>
      <x:c r="AZ22" s="590"/>
      <x:c r="BA22" s="590"/>
      <x:c r="BB22" s="591"/>
      <x:c r="BD22" s="450" t="s">
        <x:v>196</x:v>
      </x:c>
      <x:c r="BE22" s="287"/>
      <x:c r="BF22" s="287"/>
      <x:c r="BG22" s="287"/>
      <x:c r="BH22" s="287"/>
      <x:c r="BI22" s="287"/>
      <x:c r="BJ22" s="287"/>
      <x:c r="BK22" s="384"/>
      <x:c r="BL22" s="385"/>
      <x:c r="BM22" s="386"/>
      <x:c r="BN22" s="285"/>
      <x:c r="BO22" s="285"/>
      <x:c r="BP22" s="282"/>
      <x:c r="BQ22" s="283"/>
      <x:c r="BR22" s="450" t="s">
        <x:v>197</x:v>
      </x:c>
      <x:c r="BS22" s="287"/>
      <x:c r="BT22" s="287"/>
      <x:c r="BU22" s="287"/>
      <x:c r="BV22" s="287"/>
      <x:c r="BW22" s="287"/>
      <x:c r="BX22" s="287"/>
      <x:c r="BY22" s="287"/>
      <x:c r="BZ22" s="287"/>
      <x:c r="CA22" s="288"/>
      <x:c r="CB22" s="390"/>
      <x:c r="CC22" s="390"/>
      <x:c r="CD22" s="292"/>
      <x:c r="CE22" s="293"/>
      <x:c r="CF22" s="450" t="s">
        <x:v>198</x:v>
      </x:c>
      <x:c r="CG22" s="287"/>
      <x:c r="CH22" s="287"/>
      <x:c r="CI22" s="287"/>
      <x:c r="CJ22" s="287"/>
      <x:c r="CK22" s="287"/>
      <x:c r="CL22" s="287"/>
      <x:c r="CM22" s="287"/>
      <x:c r="CN22" s="287"/>
      <x:c r="CO22" s="288"/>
      <x:c r="CP22" s="548"/>
      <x:c r="CQ22" s="548"/>
      <x:c r="CR22" s="282"/>
      <x:c r="CS22" s="283"/>
      <x:c r="CT22" s="286" t="s">
        <x:v>139</x:v>
      </x:c>
      <x:c r="CU22" s="287"/>
      <x:c r="CV22" s="287"/>
      <x:c r="CW22" s="287"/>
      <x:c r="CX22" s="287"/>
      <x:c r="CY22" s="287"/>
      <x:c r="CZ22" s="287"/>
      <x:c r="DA22" s="287"/>
      <x:c r="DB22" s="287"/>
      <x:c r="DC22" s="288"/>
      <x:c r="DD22" s="284"/>
      <x:c r="DE22" s="284"/>
      <x:c r="DF22" s="282"/>
      <x:c r="DG22" s="283"/>
      <x:c r="DK22" s="71"/>
      <x:c r="DL22" s="71"/>
      <x:c r="DM22" s="71"/>
      <x:c r="DN22" s="71"/>
      <x:c r="DO22" s="71"/>
      <x:c r="DP22" s="71"/>
      <x:c r="DQ22" s="71"/>
      <x:c r="DR22" s="71"/>
      <x:c r="DS22" s="29"/>
      <x:c r="DT22" s="29"/>
      <x:c r="DU22" s="71"/>
      <x:c r="DV22" s="71"/>
      <x:c r="DW22" s="71"/>
      <x:c r="DX22" s="71"/>
      <x:c r="DY22" s="71"/>
      <x:c r="DZ22" s="71"/>
      <x:c r="EA22" s="71"/>
      <x:c r="EB22" s="71"/>
      <x:c r="EC22" s="71"/>
      <x:c r="ED22" s="71"/>
      <x:c r="EE22" s="29"/>
      <x:c r="EF22" s="72"/>
      <x:c r="EG22" s="72"/>
      <x:c r="EH22" s="72"/>
      <x:c r="EI22" s="72"/>
      <x:c r="EJ22" s="72"/>
      <x:c r="EK22" s="72"/>
      <x:c r="EL22" s="72"/>
      <x:c r="EM22" s="72"/>
    </x:row>
    <x:row r="23" ht="6" customHeight="1">
      <x:c r="A23" s="499"/>
      <x:c r="B23" s="500"/>
      <x:c r="C23" s="500"/>
      <x:c r="D23" s="500"/>
      <x:c r="E23" s="500"/>
      <x:c r="F23" s="500"/>
      <x:c r="G23" s="501"/>
      <x:c r="H23" s="561"/>
      <x:c r="I23" s="562"/>
      <x:c r="J23" s="562"/>
      <x:c r="K23" s="562"/>
      <x:c r="L23" s="562"/>
      <x:c r="M23" s="562"/>
      <x:c r="N23" s="562"/>
      <x:c r="O23" s="562"/>
      <x:c r="P23" s="562"/>
      <x:c r="Q23" s="562"/>
      <x:c r="R23" s="515"/>
      <x:c r="S23" s="516"/>
      <x:c r="T23" s="517"/>
      <x:c r="U23" s="567"/>
      <x:c r="V23" s="567"/>
      <x:c r="W23" s="567"/>
      <x:c r="X23" s="571"/>
      <x:c r="Y23" s="571"/>
      <x:c r="Z23" s="571"/>
      <x:c r="AA23" s="572"/>
      <x:c r="AB23" s="8"/>
      <x:c r="AC23" s="545"/>
      <x:c r="AD23" s="546"/>
      <x:c r="AE23" s="546"/>
      <x:c r="AF23" s="546"/>
      <x:c r="AG23" s="547"/>
      <x:c r="AH23" s="578"/>
      <x:c r="AI23" s="578"/>
      <x:c r="AJ23" s="578"/>
      <x:c r="AK23" s="578"/>
      <x:c r="AL23" s="578"/>
      <x:c r="AM23" s="578"/>
      <x:c r="AN23" s="578"/>
      <x:c r="AO23" s="578"/>
      <x:c r="AP23" s="578"/>
      <x:c r="AQ23" s="579"/>
      <x:c r="AR23" s="583"/>
      <x:c r="AS23" s="584"/>
      <x:c r="AT23" s="585"/>
      <x:c r="AU23" s="588"/>
      <x:c r="AV23" s="589"/>
      <x:c r="AW23" s="589"/>
      <x:c r="AX23" s="592"/>
      <x:c r="AY23" s="592"/>
      <x:c r="AZ23" s="592"/>
      <x:c r="BA23" s="592"/>
      <x:c r="BB23" s="593"/>
      <x:c r="BD23" s="289"/>
      <x:c r="BE23" s="290"/>
      <x:c r="BF23" s="290"/>
      <x:c r="BG23" s="290"/>
      <x:c r="BH23" s="290"/>
      <x:c r="BI23" s="290"/>
      <x:c r="BJ23" s="290"/>
      <x:c r="BK23" s="387"/>
      <x:c r="BL23" s="388"/>
      <x:c r="BM23" s="389"/>
      <x:c r="BN23" s="285"/>
      <x:c r="BO23" s="285"/>
      <x:c r="BP23" s="282"/>
      <x:c r="BQ23" s="283"/>
      <x:c r="BR23" s="289"/>
      <x:c r="BS23" s="290"/>
      <x:c r="BT23" s="290"/>
      <x:c r="BU23" s="290"/>
      <x:c r="BV23" s="290"/>
      <x:c r="BW23" s="290"/>
      <x:c r="BX23" s="290"/>
      <x:c r="BY23" s="290"/>
      <x:c r="BZ23" s="290"/>
      <x:c r="CA23" s="291"/>
      <x:c r="CB23" s="391"/>
      <x:c r="CC23" s="391"/>
      <x:c r="CD23" s="292"/>
      <x:c r="CE23" s="293"/>
      <x:c r="CF23" s="289"/>
      <x:c r="CG23" s="290"/>
      <x:c r="CH23" s="290"/>
      <x:c r="CI23" s="290"/>
      <x:c r="CJ23" s="290"/>
      <x:c r="CK23" s="290"/>
      <x:c r="CL23" s="290"/>
      <x:c r="CM23" s="290"/>
      <x:c r="CN23" s="290"/>
      <x:c r="CO23" s="291"/>
      <x:c r="CP23" s="431"/>
      <x:c r="CQ23" s="431"/>
      <x:c r="CR23" s="282"/>
      <x:c r="CS23" s="283"/>
      <x:c r="CT23" s="289"/>
      <x:c r="CU23" s="290"/>
      <x:c r="CV23" s="290"/>
      <x:c r="CW23" s="290"/>
      <x:c r="CX23" s="290"/>
      <x:c r="CY23" s="290"/>
      <x:c r="CZ23" s="290"/>
      <x:c r="DA23" s="290"/>
      <x:c r="DB23" s="290"/>
      <x:c r="DC23" s="291"/>
      <x:c r="DD23" s="285"/>
      <x:c r="DE23" s="285"/>
      <x:c r="DF23" s="282"/>
      <x:c r="DG23" s="283"/>
      <x:c r="DK23" s="71"/>
      <x:c r="DL23" s="71"/>
      <x:c r="DM23" s="71"/>
      <x:c r="DN23" s="71"/>
      <x:c r="DO23" s="71"/>
      <x:c r="DP23" s="71"/>
      <x:c r="DQ23" s="71"/>
      <x:c r="DR23" s="71"/>
      <x:c r="DS23" s="29"/>
      <x:c r="DT23" s="29"/>
      <x:c r="DU23" s="71"/>
      <x:c r="DV23" s="71"/>
      <x:c r="DW23" s="71"/>
      <x:c r="DX23" s="71"/>
      <x:c r="DY23" s="71"/>
      <x:c r="DZ23" s="71"/>
      <x:c r="EA23" s="71"/>
      <x:c r="EB23" s="71"/>
      <x:c r="EC23" s="29"/>
      <x:c r="ED23" s="29"/>
      <x:c r="EE23" s="29"/>
      <x:c r="EF23" s="71"/>
      <x:c r="EG23" s="71"/>
      <x:c r="EH23" s="71"/>
      <x:c r="EI23" s="71"/>
      <x:c r="EJ23" s="71"/>
      <x:c r="EK23" s="71"/>
      <x:c r="EL23" s="71"/>
      <x:c r="EM23" s="71"/>
    </x:row>
    <x:row r="24" ht="6" customHeight="1">
      <x:c r="A24" s="8"/>
      <x:c r="B24" s="8"/>
      <x:c r="C24" s="8"/>
      <x:c r="D24" s="8"/>
      <x:c r="E24" s="8"/>
      <x:c r="F24" s="8"/>
      <x:c r="G24" s="8"/>
      <x:c r="H24" s="8"/>
      <x:c r="I24" s="8"/>
      <x:c r="J24" s="8"/>
      <x:c r="K24" s="8"/>
      <x:c r="L24" s="8"/>
      <x:c r="M24" s="8"/>
      <x:c r="N24" s="8"/>
      <x:c r="O24" s="8"/>
      <x:c r="P24" s="8"/>
      <x:c r="Q24" s="8"/>
      <x:c r="R24" s="8"/>
      <x:c r="S24" s="8"/>
      <x:c r="T24" s="8"/>
      <x:c r="U24" s="8"/>
      <x:c r="V24" s="8"/>
      <x:c r="W24" s="8"/>
      <x:c r="X24" s="8"/>
      <x:c r="Y24" s="8"/>
      <x:c r="Z24" s="8"/>
      <x:c r="AA24" s="8"/>
      <x:c r="AB24" s="8"/>
      <x:c r="AC24" s="8"/>
      <x:c r="AD24" s="8"/>
      <x:c r="AE24" s="8"/>
      <x:c r="AF24" s="8"/>
      <x:c r="AG24" s="8"/>
      <x:c r="AH24" s="8"/>
      <x:c r="AI24" s="8"/>
      <x:c r="AJ24" s="8"/>
      <x:c r="AK24" s="8"/>
      <x:c r="AL24" s="8"/>
      <x:c r="AM24" s="8"/>
      <x:c r="AN24" s="8"/>
      <x:c r="AO24" s="8"/>
      <x:c r="AP24" s="8"/>
      <x:c r="AQ24" s="8"/>
      <x:c r="AR24" s="8"/>
      <x:c r="AS24" s="8"/>
      <x:c r="AT24" s="8"/>
      <x:c r="AU24" s="8"/>
      <x:c r="AV24" s="8"/>
      <x:c r="AW24" s="8"/>
      <x:c r="AX24" s="8"/>
      <x:c r="AY24" s="8"/>
      <x:c r="AZ24" s="8"/>
      <x:c r="BA24" s="20"/>
      <x:c r="BB24" s="19"/>
      <x:c r="BD24" s="286" t="s">
        <x:v>199</x:v>
      </x:c>
      <x:c r="BE24" s="287"/>
      <x:c r="BF24" s="287"/>
      <x:c r="BG24" s="287"/>
      <x:c r="BH24" s="287"/>
      <x:c r="BI24" s="287"/>
      <x:c r="BJ24" s="287"/>
      <x:c r="BK24" s="287"/>
      <x:c r="BL24" s="287"/>
      <x:c r="BM24" s="288"/>
      <x:c r="BN24" s="431"/>
      <x:c r="BO24" s="431"/>
      <x:c r="BP24" s="282"/>
      <x:c r="BQ24" s="283"/>
      <x:c r="BR24" s="450" t="s">
        <x:v>80</x:v>
      </x:c>
      <x:c r="BS24" s="287"/>
      <x:c r="BT24" s="287"/>
      <x:c r="BU24" s="287"/>
      <x:c r="BV24" s="287"/>
      <x:c r="BW24" s="287"/>
      <x:c r="BX24" s="287"/>
      <x:c r="BY24" s="287"/>
      <x:c r="BZ24" s="287"/>
      <x:c r="CA24" s="288"/>
      <x:c r="CB24" s="390"/>
      <x:c r="CC24" s="390"/>
      <x:c r="CD24" s="292"/>
      <x:c r="CE24" s="293"/>
      <x:c r="CF24" s="286" t="s">
        <x:v>200</x:v>
      </x:c>
      <x:c r="CG24" s="287"/>
      <x:c r="CH24" s="287"/>
      <x:c r="CI24" s="287"/>
      <x:c r="CJ24" s="287"/>
      <x:c r="CK24" s="287"/>
      <x:c r="CL24" s="287"/>
      <x:c r="CM24" s="287"/>
      <x:c r="CN24" s="287"/>
      <x:c r="CO24" s="288"/>
      <x:c r="CP24" s="548"/>
      <x:c r="CQ24" s="548"/>
      <x:c r="CR24" s="606"/>
      <x:c r="CS24" s="607"/>
      <x:c r="CT24" s="286" t="s">
        <x:v>140</x:v>
      </x:c>
      <x:c r="CU24" s="287"/>
      <x:c r="CV24" s="287"/>
      <x:c r="CW24" s="287"/>
      <x:c r="CX24" s="287"/>
      <x:c r="CY24" s="287"/>
      <x:c r="CZ24" s="287"/>
      <x:c r="DA24" s="287"/>
      <x:c r="DB24" s="287"/>
      <x:c r="DC24" s="288"/>
      <x:c r="DD24" s="548"/>
      <x:c r="DE24" s="548"/>
      <x:c r="DF24" s="604"/>
      <x:c r="DG24" s="605"/>
      <x:c r="DK24" s="71"/>
      <x:c r="DL24" s="71"/>
      <x:c r="DM24" s="71"/>
      <x:c r="DN24" s="71"/>
      <x:c r="DO24" s="71"/>
      <x:c r="DP24" s="71"/>
      <x:c r="DQ24" s="71"/>
      <x:c r="DR24" s="71"/>
      <x:c r="DS24" s="29"/>
      <x:c r="DT24" s="29"/>
      <x:c r="DU24" s="71"/>
      <x:c r="DV24" s="71"/>
      <x:c r="DW24" s="71"/>
      <x:c r="DX24" s="71"/>
      <x:c r="DY24" s="71"/>
      <x:c r="DZ24" s="71"/>
      <x:c r="EA24" s="71"/>
      <x:c r="EB24" s="71"/>
      <x:c r="EC24" s="29"/>
      <x:c r="ED24" s="29"/>
      <x:c r="EE24" s="29"/>
      <x:c r="EF24" s="71"/>
      <x:c r="EG24" s="71"/>
      <x:c r="EH24" s="71"/>
      <x:c r="EI24" s="71"/>
      <x:c r="EJ24" s="71"/>
      <x:c r="EK24" s="71"/>
      <x:c r="EL24" s="71"/>
      <x:c r="EM24" s="71"/>
    </x:row>
    <x:row r="25" ht="6" customHeight="1">
      <x:c r="A25" s="627" t="s">
        <x:v>201</x:v>
      </x:c>
      <x:c r="B25" s="628"/>
      <x:c r="C25" s="610"/>
      <x:c r="D25" s="611"/>
      <x:c r="E25" s="611"/>
      <x:c r="F25" s="611"/>
      <x:c r="G25" s="611"/>
      <x:c r="H25" s="613" t="s">
        <x:v>202</x:v>
      </x:c>
      <x:c r="I25" s="614"/>
      <x:c r="J25" s="614"/>
      <x:c r="K25" s="610"/>
      <x:c r="L25" s="617"/>
      <x:c r="M25" s="617"/>
      <x:c r="N25" s="617"/>
      <x:c r="O25" s="617"/>
      <x:c r="P25" s="613" t="s">
        <x:v>203</x:v>
      </x:c>
      <x:c r="Q25" s="614"/>
      <x:c r="R25" s="614"/>
      <x:c r="S25" s="618"/>
      <x:c r="T25" s="618"/>
      <x:c r="U25" s="618"/>
      <x:c r="V25" s="618"/>
      <x:c r="W25" s="618"/>
      <x:c r="X25" s="618"/>
      <x:c r="Y25" s="618"/>
      <x:c r="Z25" s="618"/>
      <x:c r="AA25" s="618"/>
      <x:c r="AB25" s="618"/>
      <x:c r="AC25" s="618"/>
      <x:c r="AD25" s="618"/>
      <x:c r="AE25" s="618"/>
      <x:c r="AF25" s="618"/>
      <x:c r="AG25" s="618"/>
      <x:c r="AH25" s="618"/>
      <x:c r="AI25" s="618"/>
      <x:c r="AJ25" s="618"/>
      <x:c r="AK25" s="618"/>
      <x:c r="AL25" s="618"/>
      <x:c r="AM25" s="618"/>
      <x:c r="AN25" s="618"/>
      <x:c r="AO25" s="618"/>
      <x:c r="AP25" s="618"/>
      <x:c r="AQ25" s="618"/>
      <x:c r="AR25" s="618"/>
      <x:c r="AS25" s="618"/>
      <x:c r="AT25" s="600"/>
      <x:c r="AU25" s="600"/>
      <x:c r="AV25" s="600"/>
      <x:c r="AW25" s="600" t="s">
        <x:v>204</x:v>
      </x:c>
      <x:c r="AX25" s="600"/>
      <x:c r="AY25" s="494"/>
      <x:c r="AZ25" s="494"/>
      <x:c r="BA25" s="600" t="s">
        <x:v>205</x:v>
      </x:c>
      <x:c r="BB25" s="602"/>
      <x:c r="BD25" s="289"/>
      <x:c r="BE25" s="290"/>
      <x:c r="BF25" s="290"/>
      <x:c r="BG25" s="290"/>
      <x:c r="BH25" s="290"/>
      <x:c r="BI25" s="290"/>
      <x:c r="BJ25" s="290"/>
      <x:c r="BK25" s="290"/>
      <x:c r="BL25" s="290"/>
      <x:c r="BM25" s="291"/>
      <x:c r="BN25" s="431"/>
      <x:c r="BO25" s="431"/>
      <x:c r="BP25" s="282"/>
      <x:c r="BQ25" s="283"/>
      <x:c r="BR25" s="289"/>
      <x:c r="BS25" s="290"/>
      <x:c r="BT25" s="290"/>
      <x:c r="BU25" s="290"/>
      <x:c r="BV25" s="290"/>
      <x:c r="BW25" s="290"/>
      <x:c r="BX25" s="290"/>
      <x:c r="BY25" s="290"/>
      <x:c r="BZ25" s="290"/>
      <x:c r="CA25" s="291"/>
      <x:c r="CB25" s="391"/>
      <x:c r="CC25" s="391"/>
      <x:c r="CD25" s="292"/>
      <x:c r="CE25" s="293"/>
      <x:c r="CF25" s="289"/>
      <x:c r="CG25" s="290"/>
      <x:c r="CH25" s="290"/>
      <x:c r="CI25" s="290"/>
      <x:c r="CJ25" s="290"/>
      <x:c r="CK25" s="290"/>
      <x:c r="CL25" s="290"/>
      <x:c r="CM25" s="290"/>
      <x:c r="CN25" s="290"/>
      <x:c r="CO25" s="291"/>
      <x:c r="CP25" s="431"/>
      <x:c r="CQ25" s="431"/>
      <x:c r="CR25" s="608"/>
      <x:c r="CS25" s="609"/>
      <x:c r="CT25" s="289"/>
      <x:c r="CU25" s="290"/>
      <x:c r="CV25" s="290"/>
      <x:c r="CW25" s="290"/>
      <x:c r="CX25" s="290"/>
      <x:c r="CY25" s="290"/>
      <x:c r="CZ25" s="290"/>
      <x:c r="DA25" s="290"/>
      <x:c r="DB25" s="290"/>
      <x:c r="DC25" s="291"/>
      <x:c r="DD25" s="431"/>
      <x:c r="DE25" s="431"/>
      <x:c r="DF25" s="604"/>
      <x:c r="DG25" s="605"/>
      <x:c r="DK25" s="71"/>
      <x:c r="DL25" s="71"/>
      <x:c r="DM25" s="71"/>
      <x:c r="DN25" s="71"/>
      <x:c r="DO25" s="71"/>
      <x:c r="DP25" s="71"/>
      <x:c r="DQ25" s="71"/>
      <x:c r="DR25" s="71"/>
      <x:c r="DS25" s="29"/>
      <x:c r="DT25" s="29"/>
      <x:c r="DU25" s="71"/>
      <x:c r="DV25" s="71"/>
      <x:c r="DW25" s="71"/>
      <x:c r="DX25" s="71"/>
      <x:c r="DY25" s="71"/>
      <x:c r="DZ25" s="71"/>
      <x:c r="EA25" s="71"/>
      <x:c r="EB25" s="71"/>
      <x:c r="EC25" s="71"/>
      <x:c r="ED25" s="71"/>
      <x:c r="EE25" s="29"/>
      <x:c r="EF25" s="71"/>
      <x:c r="EG25" s="71"/>
      <x:c r="EH25" s="71"/>
      <x:c r="EI25" s="71"/>
      <x:c r="EJ25" s="71"/>
      <x:c r="EK25" s="71"/>
      <x:c r="EL25" s="71"/>
      <x:c r="EM25" s="71"/>
    </x:row>
    <x:row r="26" ht="6" customHeight="1">
      <x:c r="A26" s="629"/>
      <x:c r="B26" s="630"/>
      <x:c r="C26" s="612"/>
      <x:c r="D26" s="612"/>
      <x:c r="E26" s="612"/>
      <x:c r="F26" s="612"/>
      <x:c r="G26" s="612"/>
      <x:c r="H26" s="615"/>
      <x:c r="I26" s="615"/>
      <x:c r="J26" s="615"/>
      <x:c r="K26" s="612"/>
      <x:c r="L26" s="612"/>
      <x:c r="M26" s="612"/>
      <x:c r="N26" s="612"/>
      <x:c r="O26" s="612"/>
      <x:c r="P26" s="615"/>
      <x:c r="Q26" s="615"/>
      <x:c r="R26" s="615"/>
      <x:c r="S26" s="619"/>
      <x:c r="T26" s="619"/>
      <x:c r="U26" s="619"/>
      <x:c r="V26" s="619"/>
      <x:c r="W26" s="619"/>
      <x:c r="X26" s="619"/>
      <x:c r="Y26" s="619"/>
      <x:c r="Z26" s="619"/>
      <x:c r="AA26" s="619"/>
      <x:c r="AB26" s="619"/>
      <x:c r="AC26" s="619"/>
      <x:c r="AD26" s="619"/>
      <x:c r="AE26" s="619"/>
      <x:c r="AF26" s="619"/>
      <x:c r="AG26" s="619"/>
      <x:c r="AH26" s="619"/>
      <x:c r="AI26" s="619"/>
      <x:c r="AJ26" s="619"/>
      <x:c r="AK26" s="619"/>
      <x:c r="AL26" s="619"/>
      <x:c r="AM26" s="619"/>
      <x:c r="AN26" s="619"/>
      <x:c r="AO26" s="619"/>
      <x:c r="AP26" s="619"/>
      <x:c r="AQ26" s="619"/>
      <x:c r="AR26" s="619"/>
      <x:c r="AS26" s="619"/>
      <x:c r="AT26" s="601"/>
      <x:c r="AU26" s="601"/>
      <x:c r="AV26" s="601"/>
      <x:c r="AW26" s="601"/>
      <x:c r="AX26" s="601"/>
      <x:c r="AY26" s="345"/>
      <x:c r="AZ26" s="345"/>
      <x:c r="BA26" s="601"/>
      <x:c r="BB26" s="603"/>
      <x:c r="BD26" s="286" t="s">
        <x:v>49</x:v>
      </x:c>
      <x:c r="BE26" s="287"/>
      <x:c r="BF26" s="287"/>
      <x:c r="BG26" s="287"/>
      <x:c r="BH26" s="287"/>
      <x:c r="BI26" s="287"/>
      <x:c r="BJ26" s="287"/>
      <x:c r="BK26" s="287"/>
      <x:c r="BL26" s="287"/>
      <x:c r="BM26" s="288"/>
      <x:c r="BN26" s="431"/>
      <x:c r="BO26" s="431"/>
      <x:c r="BP26" s="282"/>
      <x:c r="BQ26" s="283"/>
      <x:c r="BR26" s="272" t="s">
        <x:v>206</x:v>
      </x:c>
      <x:c r="BS26" s="273"/>
      <x:c r="BT26" s="273"/>
      <x:c r="BU26" s="273"/>
      <x:c r="BV26" s="273"/>
      <x:c r="BW26" s="273"/>
      <x:c r="BX26" s="273"/>
      <x:c r="BY26" s="273"/>
      <x:c r="BZ26" s="273"/>
      <x:c r="CA26" s="273"/>
      <x:c r="CB26" s="273"/>
      <x:c r="CC26" s="273"/>
      <x:c r="CD26" s="273"/>
      <x:c r="CE26" s="274"/>
      <x:c r="CF26" s="286" t="s">
        <x:v>108</x:v>
      </x:c>
      <x:c r="CG26" s="287"/>
      <x:c r="CH26" s="287"/>
      <x:c r="CI26" s="287"/>
      <x:c r="CJ26" s="287"/>
      <x:c r="CK26" s="287"/>
      <x:c r="CL26" s="287"/>
      <x:c r="CM26" s="287"/>
      <x:c r="CN26" s="287"/>
      <x:c r="CO26" s="288"/>
      <x:c r="CP26" s="548"/>
      <x:c r="CQ26" s="548"/>
      <x:c r="CR26" s="282"/>
      <x:c r="CS26" s="283"/>
      <x:c r="CT26" s="286" t="s">
        <x:v>207</x:v>
      </x:c>
      <x:c r="CU26" s="287"/>
      <x:c r="CV26" s="287"/>
      <x:c r="CW26" s="287"/>
      <x:c r="CX26" s="287"/>
      <x:c r="CY26" s="287"/>
      <x:c r="CZ26" s="287"/>
      <x:c r="DA26" s="287"/>
      <x:c r="DB26" s="287"/>
      <x:c r="DC26" s="288"/>
      <x:c r="DD26" s="548"/>
      <x:c r="DE26" s="548"/>
      <x:c r="DF26" s="604"/>
      <x:c r="DG26" s="605"/>
      <x:c r="DK26" s="71"/>
      <x:c r="DL26" s="71"/>
      <x:c r="DM26" s="71"/>
      <x:c r="DN26" s="71"/>
      <x:c r="DO26" s="71"/>
      <x:c r="DP26" s="71"/>
      <x:c r="DQ26" s="71"/>
      <x:c r="DR26" s="71"/>
      <x:c r="DS26" s="29"/>
      <x:c r="DT26" s="29"/>
      <x:c r="DU26" s="71"/>
      <x:c r="DV26" s="71"/>
      <x:c r="DW26" s="71"/>
      <x:c r="DX26" s="71"/>
      <x:c r="DY26" s="71"/>
      <x:c r="DZ26" s="71"/>
      <x:c r="EA26" s="71"/>
      <x:c r="EB26" s="71"/>
      <x:c r="EC26" s="71"/>
      <x:c r="ED26" s="71"/>
      <x:c r="EE26" s="29"/>
      <x:c r="EF26" s="71"/>
      <x:c r="EG26" s="71"/>
      <x:c r="EH26" s="71"/>
      <x:c r="EI26" s="71"/>
      <x:c r="EJ26" s="71"/>
      <x:c r="EK26" s="71"/>
      <x:c r="EL26" s="71"/>
      <x:c r="EM26" s="71"/>
    </x:row>
    <x:row r="27" ht="6" customHeight="1">
      <x:c r="A27" s="629"/>
      <x:c r="B27" s="630"/>
      <x:c r="C27" s="612"/>
      <x:c r="D27" s="612"/>
      <x:c r="E27" s="612"/>
      <x:c r="F27" s="612"/>
      <x:c r="G27" s="612"/>
      <x:c r="H27" s="615"/>
      <x:c r="I27" s="615"/>
      <x:c r="J27" s="615"/>
      <x:c r="K27" s="612"/>
      <x:c r="L27" s="612"/>
      <x:c r="M27" s="612"/>
      <x:c r="N27" s="612"/>
      <x:c r="O27" s="612"/>
      <x:c r="P27" s="615"/>
      <x:c r="Q27" s="615"/>
      <x:c r="R27" s="615"/>
      <x:c r="S27" s="619"/>
      <x:c r="T27" s="619"/>
      <x:c r="U27" s="619"/>
      <x:c r="V27" s="619"/>
      <x:c r="W27" s="619"/>
      <x:c r="X27" s="619"/>
      <x:c r="Y27" s="619"/>
      <x:c r="Z27" s="619"/>
      <x:c r="AA27" s="619"/>
      <x:c r="AB27" s="619"/>
      <x:c r="AC27" s="619"/>
      <x:c r="AD27" s="619"/>
      <x:c r="AE27" s="619"/>
      <x:c r="AF27" s="619"/>
      <x:c r="AG27" s="619"/>
      <x:c r="AH27" s="619"/>
      <x:c r="AI27" s="619"/>
      <x:c r="AJ27" s="619"/>
      <x:c r="AK27" s="619"/>
      <x:c r="AL27" s="619"/>
      <x:c r="AM27" s="619"/>
      <x:c r="AN27" s="619"/>
      <x:c r="AO27" s="619"/>
      <x:c r="AP27" s="619"/>
      <x:c r="AQ27" s="619"/>
      <x:c r="AR27" s="619"/>
      <x:c r="AS27" s="619"/>
      <x:c r="AT27" s="621"/>
      <x:c r="AU27" s="621"/>
      <x:c r="AV27" s="621"/>
      <x:c r="AW27" s="621"/>
      <x:c r="AX27" s="621"/>
      <x:c r="AY27" s="621"/>
      <x:c r="AZ27" s="623" t="s">
        <x:v>208</x:v>
      </x:c>
      <x:c r="BA27" s="623"/>
      <x:c r="BB27" s="624"/>
      <x:c r="BD27" s="289"/>
      <x:c r="BE27" s="290"/>
      <x:c r="BF27" s="290"/>
      <x:c r="BG27" s="290"/>
      <x:c r="BH27" s="290"/>
      <x:c r="BI27" s="290"/>
      <x:c r="BJ27" s="290"/>
      <x:c r="BK27" s="290"/>
      <x:c r="BL27" s="290"/>
      <x:c r="BM27" s="291"/>
      <x:c r="BN27" s="431"/>
      <x:c r="BO27" s="431"/>
      <x:c r="BP27" s="282"/>
      <x:c r="BQ27" s="283"/>
      <x:c r="BR27" s="266"/>
      <x:c r="BS27" s="267"/>
      <x:c r="BT27" s="267"/>
      <x:c r="BU27" s="267"/>
      <x:c r="BV27" s="267"/>
      <x:c r="BW27" s="267"/>
      <x:c r="BX27" s="267"/>
      <x:c r="BY27" s="267"/>
      <x:c r="BZ27" s="267"/>
      <x:c r="CA27" s="267"/>
      <x:c r="CB27" s="267"/>
      <x:c r="CC27" s="267"/>
      <x:c r="CD27" s="267"/>
      <x:c r="CE27" s="268"/>
      <x:c r="CF27" s="289"/>
      <x:c r="CG27" s="290"/>
      <x:c r="CH27" s="290"/>
      <x:c r="CI27" s="290"/>
      <x:c r="CJ27" s="290"/>
      <x:c r="CK27" s="290"/>
      <x:c r="CL27" s="290"/>
      <x:c r="CM27" s="290"/>
      <x:c r="CN27" s="290"/>
      <x:c r="CO27" s="291"/>
      <x:c r="CP27" s="431"/>
      <x:c r="CQ27" s="431"/>
      <x:c r="CR27" s="282"/>
      <x:c r="CS27" s="283"/>
      <x:c r="CT27" s="289"/>
      <x:c r="CU27" s="290"/>
      <x:c r="CV27" s="290"/>
      <x:c r="CW27" s="290"/>
      <x:c r="CX27" s="290"/>
      <x:c r="CY27" s="290"/>
      <x:c r="CZ27" s="290"/>
      <x:c r="DA27" s="290"/>
      <x:c r="DB27" s="290"/>
      <x:c r="DC27" s="291"/>
      <x:c r="DD27" s="431"/>
      <x:c r="DE27" s="431"/>
      <x:c r="DF27" s="604"/>
      <x:c r="DG27" s="605"/>
      <x:c r="DK27" s="71"/>
      <x:c r="DL27" s="71"/>
      <x:c r="DM27" s="71"/>
      <x:c r="DN27" s="71"/>
      <x:c r="DO27" s="71"/>
      <x:c r="DP27" s="71"/>
      <x:c r="DQ27" s="71"/>
      <x:c r="DR27" s="71"/>
      <x:c r="DS27" s="29"/>
      <x:c r="DT27" s="29"/>
      <x:c r="DU27" s="71"/>
      <x:c r="DV27" s="71"/>
      <x:c r="DW27" s="71"/>
      <x:c r="DX27" s="71"/>
      <x:c r="DY27" s="71"/>
      <x:c r="DZ27" s="71"/>
      <x:c r="EA27" s="71"/>
      <x:c r="EB27" s="71"/>
      <x:c r="EC27" s="29"/>
      <x:c r="ED27" s="29"/>
      <x:c r="EE27" s="29"/>
      <x:c r="EF27" s="71"/>
      <x:c r="EG27" s="71"/>
      <x:c r="EH27" s="71"/>
      <x:c r="EI27" s="71"/>
      <x:c r="EJ27" s="71"/>
      <x:c r="EK27" s="71"/>
      <x:c r="EL27" s="71"/>
      <x:c r="EM27" s="71"/>
    </x:row>
    <x:row r="28" ht="6" customHeight="1">
      <x:c r="A28" s="629"/>
      <x:c r="B28" s="630"/>
      <x:c r="C28" s="612"/>
      <x:c r="D28" s="612"/>
      <x:c r="E28" s="612"/>
      <x:c r="F28" s="612"/>
      <x:c r="G28" s="612"/>
      <x:c r="H28" s="616"/>
      <x:c r="I28" s="616"/>
      <x:c r="J28" s="616"/>
      <x:c r="K28" s="612"/>
      <x:c r="L28" s="612"/>
      <x:c r="M28" s="612"/>
      <x:c r="N28" s="612"/>
      <x:c r="O28" s="612"/>
      <x:c r="P28" s="616"/>
      <x:c r="Q28" s="616"/>
      <x:c r="R28" s="616"/>
      <x:c r="S28" s="620"/>
      <x:c r="T28" s="620"/>
      <x:c r="U28" s="620"/>
      <x:c r="V28" s="620"/>
      <x:c r="W28" s="620"/>
      <x:c r="X28" s="620"/>
      <x:c r="Y28" s="620"/>
      <x:c r="Z28" s="620"/>
      <x:c r="AA28" s="620"/>
      <x:c r="AB28" s="620"/>
      <x:c r="AC28" s="620"/>
      <x:c r="AD28" s="620"/>
      <x:c r="AE28" s="620"/>
      <x:c r="AF28" s="620"/>
      <x:c r="AG28" s="620"/>
      <x:c r="AH28" s="620"/>
      <x:c r="AI28" s="620"/>
      <x:c r="AJ28" s="620"/>
      <x:c r="AK28" s="620"/>
      <x:c r="AL28" s="620"/>
      <x:c r="AM28" s="620"/>
      <x:c r="AN28" s="620"/>
      <x:c r="AO28" s="620"/>
      <x:c r="AP28" s="620"/>
      <x:c r="AQ28" s="620"/>
      <x:c r="AR28" s="620"/>
      <x:c r="AS28" s="620"/>
      <x:c r="AT28" s="622"/>
      <x:c r="AU28" s="622"/>
      <x:c r="AV28" s="622"/>
      <x:c r="AW28" s="622"/>
      <x:c r="AX28" s="622"/>
      <x:c r="AY28" s="622"/>
      <x:c r="AZ28" s="625"/>
      <x:c r="BA28" s="625"/>
      <x:c r="BB28" s="626"/>
      <x:c r="BD28" s="286" t="s">
        <x:v>50</x:v>
      </x:c>
      <x:c r="BE28" s="287"/>
      <x:c r="BF28" s="287"/>
      <x:c r="BG28" s="287"/>
      <x:c r="BH28" s="287"/>
      <x:c r="BI28" s="287"/>
      <x:c r="BJ28" s="287"/>
      <x:c r="BK28" s="287"/>
      <x:c r="BL28" s="287"/>
      <x:c r="BM28" s="288"/>
      <x:c r="BN28" s="431"/>
      <x:c r="BO28" s="431"/>
      <x:c r="BP28" s="282"/>
      <x:c r="BQ28" s="283"/>
      <x:c r="BR28" s="450" t="s">
        <x:v>209</x:v>
      </x:c>
      <x:c r="BS28" s="287"/>
      <x:c r="BT28" s="287"/>
      <x:c r="BU28" s="287"/>
      <x:c r="BV28" s="287"/>
      <x:c r="BW28" s="384"/>
      <x:c r="BX28" s="385"/>
      <x:c r="BY28" s="385"/>
      <x:c r="BZ28" s="385"/>
      <x:c r="CA28" s="386"/>
      <x:c r="CB28" s="390"/>
      <x:c r="CC28" s="390"/>
      <x:c r="CD28" s="292"/>
      <x:c r="CE28" s="293"/>
      <x:c r="CF28" s="286" t="s">
        <x:v>210</x:v>
      </x:c>
      <x:c r="CG28" s="287"/>
      <x:c r="CH28" s="287"/>
      <x:c r="CI28" s="287"/>
      <x:c r="CJ28" s="287"/>
      <x:c r="CK28" s="287"/>
      <x:c r="CL28" s="287"/>
      <x:c r="CM28" s="287"/>
      <x:c r="CN28" s="287"/>
      <x:c r="CO28" s="288"/>
      <x:c r="CP28" s="548"/>
      <x:c r="CQ28" s="548"/>
      <x:c r="CR28" s="282"/>
      <x:c r="CS28" s="283"/>
      <x:c r="CT28" s="286" t="s">
        <x:v>145</x:v>
      </x:c>
      <x:c r="CU28" s="287"/>
      <x:c r="CV28" s="287"/>
      <x:c r="CW28" s="287"/>
      <x:c r="CX28" s="287"/>
      <x:c r="CY28" s="287"/>
      <x:c r="CZ28" s="287"/>
      <x:c r="DA28" s="287"/>
      <x:c r="DB28" s="287"/>
      <x:c r="DC28" s="288"/>
      <x:c r="DD28" s="548"/>
      <x:c r="DE28" s="548"/>
      <x:c r="DF28" s="604"/>
      <x:c r="DG28" s="605"/>
      <x:c r="DK28" s="71"/>
      <x:c r="DL28" s="71"/>
      <x:c r="DM28" s="71"/>
      <x:c r="DN28" s="71"/>
      <x:c r="DO28" s="71"/>
      <x:c r="DP28" s="71"/>
      <x:c r="DQ28" s="71"/>
      <x:c r="DR28" s="71"/>
      <x:c r="DS28" s="29"/>
      <x:c r="DT28" s="29"/>
      <x:c r="DU28" s="71"/>
      <x:c r="DV28" s="71"/>
      <x:c r="DW28" s="71"/>
      <x:c r="DX28" s="71"/>
      <x:c r="DY28" s="71"/>
      <x:c r="DZ28" s="71"/>
      <x:c r="EA28" s="71"/>
      <x:c r="EB28" s="71"/>
      <x:c r="EC28" s="29"/>
      <x:c r="ED28" s="29"/>
      <x:c r="EE28" s="29"/>
      <x:c r="EF28" s="71"/>
      <x:c r="EG28" s="71"/>
      <x:c r="EH28" s="71"/>
      <x:c r="EI28" s="71"/>
      <x:c r="EJ28" s="71"/>
      <x:c r="EK28" s="71"/>
      <x:c r="EL28" s="71"/>
      <x:c r="EM28" s="71"/>
    </x:row>
    <x:row r="29" ht="6" customHeight="1">
      <x:c r="A29" s="629"/>
      <x:c r="B29" s="630"/>
      <x:c r="C29" s="659"/>
      <x:c r="D29" s="660"/>
      <x:c r="E29" s="660"/>
      <x:c r="F29" s="660"/>
      <x:c r="G29" s="660"/>
      <x:c r="H29" s="660"/>
      <x:c r="I29" s="660"/>
      <x:c r="J29" s="660"/>
      <x:c r="K29" s="660"/>
      <x:c r="L29" s="660"/>
      <x:c r="M29" s="660"/>
      <x:c r="N29" s="660"/>
      <x:c r="O29" s="660"/>
      <x:c r="P29" s="660"/>
      <x:c r="Q29" s="660"/>
      <x:c r="R29" s="660"/>
      <x:c r="S29" s="660"/>
      <x:c r="T29" s="660"/>
      <x:c r="U29" s="660"/>
      <x:c r="V29" s="660"/>
      <x:c r="W29" s="660"/>
      <x:c r="X29" s="660"/>
      <x:c r="Y29" s="660"/>
      <x:c r="Z29" s="660"/>
      <x:c r="AA29" s="660"/>
      <x:c r="AB29" s="660"/>
      <x:c r="AC29" s="660"/>
      <x:c r="AD29" s="660"/>
      <x:c r="AE29" s="660"/>
      <x:c r="AF29" s="660"/>
      <x:c r="AG29" s="660"/>
      <x:c r="AH29" s="660"/>
      <x:c r="AI29" s="660"/>
      <x:c r="AJ29" s="660"/>
      <x:c r="AK29" s="661"/>
      <x:c r="AL29" s="654" t="s">
        <x:v>211</x:v>
      </x:c>
      <x:c r="AM29" s="550"/>
      <x:c r="AN29" s="550"/>
      <x:c r="AO29" s="550"/>
      <x:c r="AP29" s="550"/>
      <x:c r="AQ29" s="550"/>
      <x:c r="AR29" s="550"/>
      <x:c r="AS29" s="550"/>
      <x:c r="AT29" s="550"/>
      <x:c r="AU29" s="550"/>
      <x:c r="AV29" s="550"/>
      <x:c r="AW29" s="550"/>
      <x:c r="AX29" s="550"/>
      <x:c r="AY29" s="550"/>
      <x:c r="AZ29" s="550"/>
      <x:c r="BA29" s="550"/>
      <x:c r="BB29" s="655"/>
      <x:c r="BD29" s="289"/>
      <x:c r="BE29" s="290"/>
      <x:c r="BF29" s="290"/>
      <x:c r="BG29" s="290"/>
      <x:c r="BH29" s="290"/>
      <x:c r="BI29" s="290"/>
      <x:c r="BJ29" s="290"/>
      <x:c r="BK29" s="290"/>
      <x:c r="BL29" s="290"/>
      <x:c r="BM29" s="291"/>
      <x:c r="BN29" s="431"/>
      <x:c r="BO29" s="431"/>
      <x:c r="BP29" s="282"/>
      <x:c r="BQ29" s="283"/>
      <x:c r="BR29" s="289"/>
      <x:c r="BS29" s="290"/>
      <x:c r="BT29" s="290"/>
      <x:c r="BU29" s="290"/>
      <x:c r="BV29" s="290"/>
      <x:c r="BW29" s="387"/>
      <x:c r="BX29" s="388"/>
      <x:c r="BY29" s="388"/>
      <x:c r="BZ29" s="388"/>
      <x:c r="CA29" s="389"/>
      <x:c r="CB29" s="391"/>
      <x:c r="CC29" s="391"/>
      <x:c r="CD29" s="292"/>
      <x:c r="CE29" s="293"/>
      <x:c r="CF29" s="289"/>
      <x:c r="CG29" s="290"/>
      <x:c r="CH29" s="290"/>
      <x:c r="CI29" s="290"/>
      <x:c r="CJ29" s="290"/>
      <x:c r="CK29" s="290"/>
      <x:c r="CL29" s="290"/>
      <x:c r="CM29" s="290"/>
      <x:c r="CN29" s="290"/>
      <x:c r="CO29" s="291"/>
      <x:c r="CP29" s="431"/>
      <x:c r="CQ29" s="431"/>
      <x:c r="CR29" s="282"/>
      <x:c r="CS29" s="283"/>
      <x:c r="CT29" s="289"/>
      <x:c r="CU29" s="290"/>
      <x:c r="CV29" s="290"/>
      <x:c r="CW29" s="290"/>
      <x:c r="CX29" s="290"/>
      <x:c r="CY29" s="290"/>
      <x:c r="CZ29" s="290"/>
      <x:c r="DA29" s="290"/>
      <x:c r="DB29" s="290"/>
      <x:c r="DC29" s="291"/>
      <x:c r="DD29" s="431"/>
      <x:c r="DE29" s="431"/>
      <x:c r="DF29" s="604"/>
      <x:c r="DG29" s="605"/>
      <x:c r="DK29" s="71"/>
      <x:c r="DL29" s="71"/>
      <x:c r="DM29" s="71"/>
      <x:c r="DN29" s="71"/>
      <x:c r="DO29" s="71"/>
      <x:c r="DP29" s="71"/>
      <x:c r="DQ29" s="71"/>
      <x:c r="DR29" s="71"/>
      <x:c r="DS29" s="29"/>
      <x:c r="DT29" s="29"/>
      <x:c r="DU29" s="71"/>
      <x:c r="DV29" s="71"/>
      <x:c r="DW29" s="71"/>
      <x:c r="DX29" s="71"/>
      <x:c r="DY29" s="71"/>
      <x:c r="DZ29" s="71"/>
      <x:c r="EA29" s="71"/>
      <x:c r="EB29" s="71"/>
      <x:c r="EC29" s="29"/>
      <x:c r="ED29" s="29"/>
      <x:c r="EE29" s="29"/>
      <x:c r="EF29" s="71"/>
      <x:c r="EG29" s="71"/>
      <x:c r="EH29" s="71"/>
      <x:c r="EI29" s="71"/>
      <x:c r="EJ29" s="71"/>
      <x:c r="EK29" s="73"/>
      <x:c r="EL29" s="73"/>
      <x:c r="EM29" s="73"/>
    </x:row>
    <x:row r="30" ht="6" customHeight="1">
      <x:c r="A30" s="629"/>
      <x:c r="B30" s="630"/>
      <x:c r="C30" s="662"/>
      <x:c r="D30" s="663"/>
      <x:c r="E30" s="663"/>
      <x:c r="F30" s="663"/>
      <x:c r="G30" s="663"/>
      <x:c r="H30" s="663"/>
      <x:c r="I30" s="663"/>
      <x:c r="J30" s="663"/>
      <x:c r="K30" s="663"/>
      <x:c r="L30" s="663"/>
      <x:c r="M30" s="663"/>
      <x:c r="N30" s="663"/>
      <x:c r="O30" s="663"/>
      <x:c r="P30" s="663"/>
      <x:c r="Q30" s="663"/>
      <x:c r="R30" s="663"/>
      <x:c r="S30" s="663"/>
      <x:c r="T30" s="663"/>
      <x:c r="U30" s="663"/>
      <x:c r="V30" s="663"/>
      <x:c r="W30" s="663"/>
      <x:c r="X30" s="663"/>
      <x:c r="Y30" s="663"/>
      <x:c r="Z30" s="663"/>
      <x:c r="AA30" s="663"/>
      <x:c r="AB30" s="663"/>
      <x:c r="AC30" s="663"/>
      <x:c r="AD30" s="663"/>
      <x:c r="AE30" s="663"/>
      <x:c r="AF30" s="663"/>
      <x:c r="AG30" s="663"/>
      <x:c r="AH30" s="663"/>
      <x:c r="AI30" s="663"/>
      <x:c r="AJ30" s="663"/>
      <x:c r="AK30" s="664"/>
      <x:c r="AL30" s="656"/>
      <x:c r="AM30" s="657"/>
      <x:c r="AN30" s="657"/>
      <x:c r="AO30" s="657"/>
      <x:c r="AP30" s="657"/>
      <x:c r="AQ30" s="657"/>
      <x:c r="AR30" s="657"/>
      <x:c r="AS30" s="657"/>
      <x:c r="AT30" s="657"/>
      <x:c r="AU30" s="657"/>
      <x:c r="AV30" s="657"/>
      <x:c r="AW30" s="657"/>
      <x:c r="AX30" s="657"/>
      <x:c r="AY30" s="657"/>
      <x:c r="AZ30" s="657"/>
      <x:c r="BA30" s="657"/>
      <x:c r="BB30" s="658"/>
      <x:c r="BD30" s="286" t="s">
        <x:v>51</x:v>
      </x:c>
      <x:c r="BE30" s="287"/>
      <x:c r="BF30" s="287"/>
      <x:c r="BG30" s="287"/>
      <x:c r="BH30" s="287"/>
      <x:c r="BI30" s="287"/>
      <x:c r="BJ30" s="287"/>
      <x:c r="BK30" s="287"/>
      <x:c r="BL30" s="287"/>
      <x:c r="BM30" s="288"/>
      <x:c r="BN30" s="431"/>
      <x:c r="BO30" s="431"/>
      <x:c r="BP30" s="282"/>
      <x:c r="BQ30" s="283"/>
      <x:c r="BR30" s="450" t="s">
        <x:v>212</x:v>
      </x:c>
      <x:c r="BS30" s="287"/>
      <x:c r="BT30" s="287"/>
      <x:c r="BU30" s="287"/>
      <x:c r="BV30" s="287"/>
      <x:c r="BW30" s="287"/>
      <x:c r="BX30" s="287"/>
      <x:c r="BY30" s="287"/>
      <x:c r="BZ30" s="287"/>
      <x:c r="CA30" s="288"/>
      <x:c r="CB30" s="390"/>
      <x:c r="CC30" s="390"/>
      <x:c r="CD30" s="292"/>
      <x:c r="CE30" s="293"/>
      <x:c r="CF30" s="286" t="s">
        <x:v>213</x:v>
      </x:c>
      <x:c r="CG30" s="475"/>
      <x:c r="CH30" s="475"/>
      <x:c r="CI30" s="475"/>
      <x:c r="CJ30" s="475"/>
      <x:c r="CK30" s="385"/>
      <x:c r="CL30" s="385"/>
      <x:c r="CM30" s="385"/>
      <x:c r="CN30" s="385"/>
      <x:c r="CO30" s="386"/>
      <x:c r="CP30" s="548"/>
      <x:c r="CQ30" s="548"/>
      <x:c r="CR30" s="282"/>
      <x:c r="CS30" s="283"/>
      <x:c r="CT30" s="286" t="s">
        <x:v>143</x:v>
      </x:c>
      <x:c r="CU30" s="287"/>
      <x:c r="CV30" s="287"/>
      <x:c r="CW30" s="287"/>
      <x:c r="CX30" s="287"/>
      <x:c r="CY30" s="287"/>
      <x:c r="CZ30" s="287"/>
      <x:c r="DA30" s="287"/>
      <x:c r="DB30" s="287"/>
      <x:c r="DC30" s="288"/>
      <x:c r="DD30" s="728"/>
      <x:c r="DE30" s="728"/>
      <x:c r="DF30" s="604"/>
      <x:c r="DG30" s="605"/>
      <x:c r="DK30" s="71"/>
      <x:c r="DL30" s="71"/>
      <x:c r="DM30" s="71"/>
      <x:c r="DN30" s="71"/>
      <x:c r="DO30" s="71"/>
      <x:c r="DP30" s="71"/>
      <x:c r="DQ30" s="71"/>
      <x:c r="DR30" s="71"/>
      <x:c r="DS30" s="29"/>
      <x:c r="DT30" s="29"/>
      <x:c r="DU30" s="71"/>
      <x:c r="DV30" s="71"/>
      <x:c r="DW30" s="71"/>
      <x:c r="DX30" s="71"/>
      <x:c r="DY30" s="71"/>
      <x:c r="DZ30" s="71"/>
      <x:c r="EA30" s="71"/>
      <x:c r="EB30" s="71"/>
      <x:c r="EC30" s="29"/>
      <x:c r="ED30" s="29"/>
      <x:c r="EE30" s="29"/>
      <x:c r="EF30" s="71"/>
      <x:c r="EG30" s="71"/>
      <x:c r="EH30" s="71"/>
      <x:c r="EI30" s="71"/>
      <x:c r="EJ30" s="71"/>
      <x:c r="EK30" s="73"/>
      <x:c r="EL30" s="73"/>
      <x:c r="EM30" s="73"/>
    </x:row>
    <x:row r="31" ht="6" customHeight="1">
      <x:c r="A31" s="629"/>
      <x:c r="B31" s="630"/>
      <x:c r="C31" s="633"/>
      <x:c r="D31" s="634"/>
      <x:c r="E31" s="634"/>
      <x:c r="F31" s="634"/>
      <x:c r="G31" s="634"/>
      <x:c r="H31" s="634"/>
      <x:c r="I31" s="634"/>
      <x:c r="J31" s="634"/>
      <x:c r="K31" s="634"/>
      <x:c r="L31" s="634"/>
      <x:c r="M31" s="634"/>
      <x:c r="N31" s="634"/>
      <x:c r="O31" s="634"/>
      <x:c r="P31" s="634"/>
      <x:c r="Q31" s="634"/>
      <x:c r="R31" s="635"/>
      <x:c r="S31" s="641" t="s">
        <x:v>168</x:v>
      </x:c>
      <x:c r="T31" s="343"/>
      <x:c r="U31" s="644" t="s">
        <x:v>214</x:v>
      </x:c>
      <x:c r="V31" s="432"/>
      <x:c r="W31" s="432"/>
      <x:c r="X31" s="432"/>
      <x:c r="Y31" s="645"/>
      <x:c r="Z31" s="646"/>
      <x:c r="AA31" s="646"/>
      <x:c r="AB31" s="646"/>
      <x:c r="AC31" s="646"/>
      <x:c r="AD31" s="646"/>
      <x:c r="AE31" s="646"/>
      <x:c r="AF31" s="646"/>
      <x:c r="AG31" s="646"/>
      <x:c r="AH31" s="646"/>
      <x:c r="AI31" s="646"/>
      <x:c r="AJ31" s="646"/>
      <x:c r="AK31" s="647"/>
      <x:c r="AL31" s="439"/>
      <x:c r="AM31" s="440"/>
      <x:c r="AN31" s="440"/>
      <x:c r="AO31" s="440"/>
      <x:c r="AP31" s="440"/>
      <x:c r="AQ31" s="440"/>
      <x:c r="AR31" s="440"/>
      <x:c r="AS31" s="440"/>
      <x:c r="AT31" s="440"/>
      <x:c r="AU31" s="440"/>
      <x:c r="AV31" s="440"/>
      <x:c r="AW31" s="440"/>
      <x:c r="AX31" s="440"/>
      <x:c r="AY31" s="440"/>
      <x:c r="AZ31" s="440"/>
      <x:c r="BA31" s="440"/>
      <x:c r="BB31" s="441"/>
      <x:c r="BD31" s="651"/>
      <x:c r="BE31" s="652"/>
      <x:c r="BF31" s="652"/>
      <x:c r="BG31" s="652"/>
      <x:c r="BH31" s="652"/>
      <x:c r="BI31" s="652"/>
      <x:c r="BJ31" s="652"/>
      <x:c r="BK31" s="652"/>
      <x:c r="BL31" s="652"/>
      <x:c r="BM31" s="653"/>
      <x:c r="BN31" s="431"/>
      <x:c r="BO31" s="431"/>
      <x:c r="BP31" s="282"/>
      <x:c r="BQ31" s="283"/>
      <x:c r="BR31" s="289"/>
      <x:c r="BS31" s="290"/>
      <x:c r="BT31" s="290"/>
      <x:c r="BU31" s="290"/>
      <x:c r="BV31" s="290"/>
      <x:c r="BW31" s="290"/>
      <x:c r="BX31" s="290"/>
      <x:c r="BY31" s="290"/>
      <x:c r="BZ31" s="290"/>
      <x:c r="CA31" s="291"/>
      <x:c r="CB31" s="391"/>
      <x:c r="CC31" s="391"/>
      <x:c r="CD31" s="292"/>
      <x:c r="CE31" s="293"/>
      <x:c r="CF31" s="476"/>
      <x:c r="CG31" s="477"/>
      <x:c r="CH31" s="477"/>
      <x:c r="CI31" s="477"/>
      <x:c r="CJ31" s="477"/>
      <x:c r="CK31" s="388"/>
      <x:c r="CL31" s="388"/>
      <x:c r="CM31" s="388"/>
      <x:c r="CN31" s="388"/>
      <x:c r="CO31" s="389"/>
      <x:c r="CP31" s="431"/>
      <x:c r="CQ31" s="431"/>
      <x:c r="CR31" s="282"/>
      <x:c r="CS31" s="283"/>
      <x:c r="CT31" s="289"/>
      <x:c r="CU31" s="290"/>
      <x:c r="CV31" s="290"/>
      <x:c r="CW31" s="290"/>
      <x:c r="CX31" s="290"/>
      <x:c r="CY31" s="290"/>
      <x:c r="CZ31" s="290"/>
      <x:c r="DA31" s="290"/>
      <x:c r="DB31" s="290"/>
      <x:c r="DC31" s="291"/>
      <x:c r="DD31" s="729"/>
      <x:c r="DE31" s="729"/>
      <x:c r="DF31" s="604"/>
      <x:c r="DG31" s="605"/>
      <x:c r="DK31" s="71"/>
      <x:c r="DL31" s="71"/>
      <x:c r="DM31" s="71"/>
      <x:c r="DN31" s="71"/>
      <x:c r="DO31" s="71"/>
      <x:c r="DP31" s="71"/>
      <x:c r="DQ31" s="71"/>
      <x:c r="DR31" s="71"/>
      <x:c r="DS31" s="29"/>
      <x:c r="DT31" s="29"/>
      <x:c r="DU31" s="71"/>
      <x:c r="DV31" s="71"/>
      <x:c r="DW31" s="71"/>
      <x:c r="DX31" s="71"/>
      <x:c r="DY31" s="71"/>
      <x:c r="DZ31" s="71"/>
      <x:c r="EA31" s="71"/>
      <x:c r="EB31" s="71"/>
      <x:c r="EC31" s="29"/>
      <x:c r="ED31" s="29"/>
      <x:c r="EE31" s="29"/>
      <x:c r="EF31" s="71"/>
      <x:c r="EG31" s="71"/>
      <x:c r="EH31" s="71"/>
      <x:c r="EI31" s="71"/>
      <x:c r="EJ31" s="71"/>
      <x:c r="EK31" s="71"/>
      <x:c r="EL31" s="71"/>
      <x:c r="EM31" s="71"/>
    </x:row>
    <x:row r="32" ht="6" customHeight="1">
      <x:c r="A32" s="629"/>
      <x:c r="B32" s="630"/>
      <x:c r="C32" s="636"/>
      <x:c r="D32" s="637"/>
      <x:c r="E32" s="637"/>
      <x:c r="F32" s="637"/>
      <x:c r="G32" s="637"/>
      <x:c r="H32" s="637"/>
      <x:c r="I32" s="637"/>
      <x:c r="J32" s="637"/>
      <x:c r="K32" s="637"/>
      <x:c r="L32" s="637"/>
      <x:c r="M32" s="637"/>
      <x:c r="N32" s="637"/>
      <x:c r="O32" s="637"/>
      <x:c r="P32" s="637"/>
      <x:c r="Q32" s="637"/>
      <x:c r="R32" s="638"/>
      <x:c r="S32" s="642"/>
      <x:c r="T32" s="346"/>
      <x:c r="U32" s="432"/>
      <x:c r="V32" s="432"/>
      <x:c r="W32" s="432"/>
      <x:c r="X32" s="432"/>
      <x:c r="Y32" s="648"/>
      <x:c r="Z32" s="649"/>
      <x:c r="AA32" s="649"/>
      <x:c r="AB32" s="649"/>
      <x:c r="AC32" s="649"/>
      <x:c r="AD32" s="649"/>
      <x:c r="AE32" s="649"/>
      <x:c r="AF32" s="649"/>
      <x:c r="AG32" s="649"/>
      <x:c r="AH32" s="649"/>
      <x:c r="AI32" s="649"/>
      <x:c r="AJ32" s="649"/>
      <x:c r="AK32" s="650"/>
      <x:c r="AL32" s="439"/>
      <x:c r="AM32" s="440"/>
      <x:c r="AN32" s="440"/>
      <x:c r="AO32" s="440"/>
      <x:c r="AP32" s="440"/>
      <x:c r="AQ32" s="440"/>
      <x:c r="AR32" s="440"/>
      <x:c r="AS32" s="440"/>
      <x:c r="AT32" s="440"/>
      <x:c r="AU32" s="440"/>
      <x:c r="AV32" s="440"/>
      <x:c r="AW32" s="440"/>
      <x:c r="AX32" s="440"/>
      <x:c r="AY32" s="440"/>
      <x:c r="AZ32" s="440"/>
      <x:c r="BA32" s="440"/>
      <x:c r="BB32" s="441"/>
      <x:c r="BD32" s="651" t="s">
        <x:v>52</x:v>
      </x:c>
      <x:c r="BE32" s="652"/>
      <x:c r="BF32" s="652"/>
      <x:c r="BG32" s="652"/>
      <x:c r="BH32" s="652"/>
      <x:c r="BI32" s="652"/>
      <x:c r="BJ32" s="652"/>
      <x:c r="BK32" s="652"/>
      <x:c r="BL32" s="652"/>
      <x:c r="BM32" s="653"/>
      <x:c r="BN32" s="431"/>
      <x:c r="BO32" s="431"/>
      <x:c r="BP32" s="282"/>
      <x:c r="BQ32" s="283"/>
      <x:c r="BR32" s="450" t="s">
        <x:v>96</x:v>
      </x:c>
      <x:c r="BS32" s="287"/>
      <x:c r="BT32" s="287"/>
      <x:c r="BU32" s="287"/>
      <x:c r="BV32" s="287"/>
      <x:c r="BW32" s="287"/>
      <x:c r="BX32" s="287"/>
      <x:c r="BY32" s="287"/>
      <x:c r="BZ32" s="287"/>
      <x:c r="CA32" s="288"/>
      <x:c r="CB32" s="390"/>
      <x:c r="CC32" s="390"/>
      <x:c r="CD32" s="292"/>
      <x:c r="CE32" s="293"/>
      <x:c r="CF32" s="286" t="s">
        <x:v>215</x:v>
      </x:c>
      <x:c r="CG32" s="287"/>
      <x:c r="CH32" s="287"/>
      <x:c r="CI32" s="287"/>
      <x:c r="CJ32" s="287"/>
      <x:c r="CK32" s="287"/>
      <x:c r="CL32" s="287"/>
      <x:c r="CM32" s="287"/>
      <x:c r="CN32" s="287"/>
      <x:c r="CO32" s="288"/>
      <x:c r="CP32" s="548"/>
      <x:c r="CQ32" s="548"/>
      <x:c r="CR32" s="282"/>
      <x:c r="CS32" s="283"/>
      <x:c r="CT32" s="286" t="s">
        <x:v>131</x:v>
      </x:c>
      <x:c r="CU32" s="475"/>
      <x:c r="CV32" s="475"/>
      <x:c r="CW32" s="475"/>
      <x:c r="CX32" s="475"/>
      <x:c r="CY32" s="475"/>
      <x:c r="CZ32" s="475"/>
      <x:c r="DA32" s="475"/>
      <x:c r="DB32" s="475"/>
      <x:c r="DC32" s="697"/>
      <x:c r="DD32" s="284"/>
      <x:c r="DE32" s="284"/>
      <x:c r="DF32" s="604"/>
      <x:c r="DG32" s="605"/>
      <x:c r="DK32" s="71"/>
      <x:c r="DL32" s="71"/>
      <x:c r="DM32" s="71"/>
      <x:c r="DN32" s="71"/>
      <x:c r="DO32" s="71"/>
      <x:c r="DP32" s="71"/>
      <x:c r="DQ32" s="71"/>
      <x:c r="DR32" s="71"/>
      <x:c r="DS32" s="29"/>
      <x:c r="DT32" s="29"/>
      <x:c r="DU32" s="71"/>
      <x:c r="DV32" s="71"/>
      <x:c r="DW32" s="71"/>
      <x:c r="DX32" s="71"/>
      <x:c r="DY32" s="71"/>
      <x:c r="DZ32" s="71"/>
      <x:c r="EA32" s="71"/>
      <x:c r="EB32" s="71"/>
      <x:c r="EC32" s="29"/>
      <x:c r="ED32" s="29"/>
      <x:c r="EE32" s="29"/>
      <x:c r="EF32" s="71"/>
      <x:c r="EG32" s="71"/>
      <x:c r="EH32" s="71"/>
      <x:c r="EI32" s="71"/>
      <x:c r="EJ32" s="71"/>
      <x:c r="EK32" s="71"/>
      <x:c r="EL32" s="71"/>
      <x:c r="EM32" s="71"/>
    </x:row>
    <x:row r="33" ht="6" customHeight="1">
      <x:c r="A33" s="629"/>
      <x:c r="B33" s="630"/>
      <x:c r="C33" s="636"/>
      <x:c r="D33" s="637"/>
      <x:c r="E33" s="637"/>
      <x:c r="F33" s="637"/>
      <x:c r="G33" s="637"/>
      <x:c r="H33" s="637"/>
      <x:c r="I33" s="637"/>
      <x:c r="J33" s="637"/>
      <x:c r="K33" s="637"/>
      <x:c r="L33" s="637"/>
      <x:c r="M33" s="637"/>
      <x:c r="N33" s="637"/>
      <x:c r="O33" s="637"/>
      <x:c r="P33" s="637"/>
      <x:c r="Q33" s="637"/>
      <x:c r="R33" s="638"/>
      <x:c r="S33" s="642"/>
      <x:c r="T33" s="346"/>
      <x:c r="U33" s="432" t="s">
        <x:v>216</x:v>
      </x:c>
      <x:c r="V33" s="432"/>
      <x:c r="W33" s="432"/>
      <x:c r="X33" s="432"/>
      <x:c r="Y33" s="433"/>
      <x:c r="Z33" s="434"/>
      <x:c r="AA33" s="434"/>
      <x:c r="AB33" s="434"/>
      <x:c r="AC33" s="434"/>
      <x:c r="AD33" s="434"/>
      <x:c r="AE33" s="434"/>
      <x:c r="AF33" s="434"/>
      <x:c r="AG33" s="434"/>
      <x:c r="AH33" s="434"/>
      <x:c r="AI33" s="434"/>
      <x:c r="AJ33" s="434"/>
      <x:c r="AK33" s="435"/>
      <x:c r="AL33" s="439"/>
      <x:c r="AM33" s="440"/>
      <x:c r="AN33" s="440"/>
      <x:c r="AO33" s="440"/>
      <x:c r="AP33" s="440"/>
      <x:c r="AQ33" s="440"/>
      <x:c r="AR33" s="440"/>
      <x:c r="AS33" s="440"/>
      <x:c r="AT33" s="440"/>
      <x:c r="AU33" s="440"/>
      <x:c r="AV33" s="440"/>
      <x:c r="AW33" s="440"/>
      <x:c r="AX33" s="440"/>
      <x:c r="AY33" s="440"/>
      <x:c r="AZ33" s="440"/>
      <x:c r="BA33" s="440"/>
      <x:c r="BB33" s="441"/>
      <x:c r="BD33" s="289"/>
      <x:c r="BE33" s="290"/>
      <x:c r="BF33" s="290"/>
      <x:c r="BG33" s="290"/>
      <x:c r="BH33" s="290"/>
      <x:c r="BI33" s="290"/>
      <x:c r="BJ33" s="290"/>
      <x:c r="BK33" s="290"/>
      <x:c r="BL33" s="290"/>
      <x:c r="BM33" s="291"/>
      <x:c r="BN33" s="431"/>
      <x:c r="BO33" s="431"/>
      <x:c r="BP33" s="282"/>
      <x:c r="BQ33" s="283"/>
      <x:c r="BR33" s="289"/>
      <x:c r="BS33" s="290"/>
      <x:c r="BT33" s="290"/>
      <x:c r="BU33" s="290"/>
      <x:c r="BV33" s="290"/>
      <x:c r="BW33" s="290"/>
      <x:c r="BX33" s="290"/>
      <x:c r="BY33" s="290"/>
      <x:c r="BZ33" s="290"/>
      <x:c r="CA33" s="291"/>
      <x:c r="CB33" s="391"/>
      <x:c r="CC33" s="391"/>
      <x:c r="CD33" s="292"/>
      <x:c r="CE33" s="293"/>
      <x:c r="CF33" s="289"/>
      <x:c r="CG33" s="290"/>
      <x:c r="CH33" s="290"/>
      <x:c r="CI33" s="290"/>
      <x:c r="CJ33" s="290"/>
      <x:c r="CK33" s="290"/>
      <x:c r="CL33" s="290"/>
      <x:c r="CM33" s="290"/>
      <x:c r="CN33" s="290"/>
      <x:c r="CO33" s="291"/>
      <x:c r="CP33" s="431"/>
      <x:c r="CQ33" s="431"/>
      <x:c r="CR33" s="282"/>
      <x:c r="CS33" s="283"/>
      <x:c r="CT33" s="476"/>
      <x:c r="CU33" s="477"/>
      <x:c r="CV33" s="477"/>
      <x:c r="CW33" s="477"/>
      <x:c r="CX33" s="477"/>
      <x:c r="CY33" s="477"/>
      <x:c r="CZ33" s="477"/>
      <x:c r="DA33" s="477"/>
      <x:c r="DB33" s="477"/>
      <x:c r="DC33" s="698"/>
      <x:c r="DD33" s="285"/>
      <x:c r="DE33" s="285"/>
      <x:c r="DF33" s="604"/>
      <x:c r="DG33" s="605"/>
      <x:c r="DK33" s="74"/>
      <x:c r="DL33" s="75"/>
      <x:c r="DM33" s="75"/>
      <x:c r="DN33" s="75"/>
      <x:c r="DO33" s="75"/>
      <x:c r="DP33" s="75"/>
      <x:c r="DQ33" s="75"/>
      <x:c r="DR33" s="75"/>
      <x:c r="DS33" s="29"/>
      <x:c r="DT33" s="29"/>
      <x:c r="DU33" s="77"/>
      <x:c r="DV33" s="77"/>
      <x:c r="DW33" s="77"/>
      <x:c r="DX33" s="77"/>
      <x:c r="DY33" s="77"/>
      <x:c r="DZ33" s="77"/>
      <x:c r="EA33" s="77"/>
      <x:c r="EB33" s="77"/>
      <x:c r="EC33" s="71"/>
      <x:c r="ED33" s="29"/>
      <x:c r="EE33" s="29"/>
      <x:c r="EF33" s="71"/>
      <x:c r="EG33" s="71"/>
      <x:c r="EH33" s="71"/>
      <x:c r="EI33" s="71"/>
      <x:c r="EJ33" s="71"/>
      <x:c r="EK33" s="71"/>
      <x:c r="EL33" s="71"/>
      <x:c r="EM33" s="71"/>
    </x:row>
    <x:row r="34" ht="6" customHeight="1">
      <x:c r="A34" s="631"/>
      <x:c r="B34" s="632"/>
      <x:c r="C34" s="636"/>
      <x:c r="D34" s="637"/>
      <x:c r="E34" s="637"/>
      <x:c r="F34" s="639"/>
      <x:c r="G34" s="639"/>
      <x:c r="H34" s="639"/>
      <x:c r="I34" s="639"/>
      <x:c r="J34" s="639"/>
      <x:c r="K34" s="639"/>
      <x:c r="L34" s="639"/>
      <x:c r="M34" s="639"/>
      <x:c r="N34" s="639"/>
      <x:c r="O34" s="639"/>
      <x:c r="P34" s="639"/>
      <x:c r="Q34" s="639"/>
      <x:c r="R34" s="640"/>
      <x:c r="S34" s="643"/>
      <x:c r="T34" s="359"/>
      <x:c r="U34" s="432"/>
      <x:c r="V34" s="432"/>
      <x:c r="W34" s="432"/>
      <x:c r="X34" s="432"/>
      <x:c r="Y34" s="436"/>
      <x:c r="Z34" s="437"/>
      <x:c r="AA34" s="437"/>
      <x:c r="AB34" s="437"/>
      <x:c r="AC34" s="437"/>
      <x:c r="AD34" s="437"/>
      <x:c r="AE34" s="437"/>
      <x:c r="AF34" s="437"/>
      <x:c r="AG34" s="437"/>
      <x:c r="AH34" s="437"/>
      <x:c r="AI34" s="437"/>
      <x:c r="AJ34" s="437"/>
      <x:c r="AK34" s="438"/>
      <x:c r="AL34" s="387"/>
      <x:c r="AM34" s="388"/>
      <x:c r="AN34" s="388"/>
      <x:c r="AO34" s="388"/>
      <x:c r="AP34" s="388"/>
      <x:c r="AQ34" s="388"/>
      <x:c r="AR34" s="388"/>
      <x:c r="AS34" s="388"/>
      <x:c r="AT34" s="388"/>
      <x:c r="AU34" s="388"/>
      <x:c r="AV34" s="388"/>
      <x:c r="AW34" s="388"/>
      <x:c r="AX34" s="388"/>
      <x:c r="AY34" s="388"/>
      <x:c r="AZ34" s="388"/>
      <x:c r="BA34" s="388"/>
      <x:c r="BB34" s="442"/>
      <x:c r="BD34" s="286" t="s">
        <x:v>53</x:v>
      </x:c>
      <x:c r="BE34" s="287"/>
      <x:c r="BF34" s="287"/>
      <x:c r="BG34" s="287"/>
      <x:c r="BH34" s="287"/>
      <x:c r="BI34" s="287"/>
      <x:c r="BJ34" s="287"/>
      <x:c r="BK34" s="287"/>
      <x:c r="BL34" s="287"/>
      <x:c r="BM34" s="288"/>
      <x:c r="BN34" s="431"/>
      <x:c r="BO34" s="431"/>
      <x:c r="BP34" s="282"/>
      <x:c r="BQ34" s="283"/>
      <x:c r="BR34" s="450" t="s">
        <x:v>97</x:v>
      </x:c>
      <x:c r="BS34" s="287"/>
      <x:c r="BT34" s="287"/>
      <x:c r="BU34" s="287"/>
      <x:c r="BV34" s="287"/>
      <x:c r="BW34" s="287"/>
      <x:c r="BX34" s="287"/>
      <x:c r="BY34" s="287"/>
      <x:c r="BZ34" s="287"/>
      <x:c r="CA34" s="288"/>
      <x:c r="CB34" s="390"/>
      <x:c r="CC34" s="390"/>
      <x:c r="CD34" s="292"/>
      <x:c r="CE34" s="293"/>
      <x:c r="CF34" s="286" t="s">
        <x:v>217</x:v>
      </x:c>
      <x:c r="CG34" s="287"/>
      <x:c r="CH34" s="287"/>
      <x:c r="CI34" s="287"/>
      <x:c r="CJ34" s="287"/>
      <x:c r="CK34" s="287"/>
      <x:c r="CL34" s="287"/>
      <x:c r="CM34" s="287"/>
      <x:c r="CN34" s="287"/>
      <x:c r="CO34" s="288"/>
      <x:c r="CP34" s="548"/>
      <x:c r="CQ34" s="548"/>
      <x:c r="CR34" s="282"/>
      <x:c r="CS34" s="283"/>
      <x:c r="CT34" s="286" t="s">
        <x:v>132</x:v>
      </x:c>
      <x:c r="CU34" s="475"/>
      <x:c r="CV34" s="475"/>
      <x:c r="CW34" s="475"/>
      <x:c r="CX34" s="475"/>
      <x:c r="CY34" s="475"/>
      <x:c r="CZ34" s="475"/>
      <x:c r="DA34" s="475"/>
      <x:c r="DB34" s="475"/>
      <x:c r="DC34" s="697"/>
      <x:c r="DD34" s="284"/>
      <x:c r="DE34" s="284"/>
      <x:c r="DF34" s="604"/>
      <x:c r="DG34" s="605"/>
      <x:c r="DK34" s="75"/>
      <x:c r="DL34" s="75"/>
      <x:c r="DM34" s="75"/>
      <x:c r="DN34" s="75"/>
      <x:c r="DO34" s="75"/>
      <x:c r="DP34" s="75"/>
      <x:c r="DQ34" s="75"/>
      <x:c r="DR34" s="75"/>
      <x:c r="DS34" s="29"/>
      <x:c r="DT34" s="29"/>
      <x:c r="DU34" s="76"/>
      <x:c r="DV34" s="77"/>
      <x:c r="DW34" s="77"/>
      <x:c r="DX34" s="77"/>
      <x:c r="DY34" s="77"/>
      <x:c r="DZ34" s="77"/>
      <x:c r="EA34" s="77"/>
      <x:c r="EB34" s="77"/>
      <x:c r="EC34" s="71"/>
      <x:c r="ED34" s="29"/>
      <x:c r="EE34" s="29"/>
      <x:c r="EF34" s="71"/>
      <x:c r="EG34" s="71"/>
      <x:c r="EH34" s="71"/>
      <x:c r="EI34" s="71"/>
      <x:c r="EJ34" s="71"/>
      <x:c r="EK34" s="71"/>
      <x:c r="EL34" s="71"/>
      <x:c r="EM34" s="71"/>
    </x:row>
    <x:row r="35" ht="6" customHeight="1">
      <x:c r="A35" s="707" t="s">
        <x:v>218</x:v>
      </x:c>
      <x:c r="B35" s="708"/>
      <x:c r="C35" s="708"/>
      <x:c r="D35" s="708"/>
      <x:c r="E35" s="709"/>
      <x:c r="F35" s="678"/>
      <x:c r="G35" s="679"/>
      <x:c r="H35" s="679"/>
      <x:c r="I35" s="679"/>
      <x:c r="J35" s="679"/>
      <x:c r="K35" s="679"/>
      <x:c r="L35" s="675" t="s">
        <x:v>202</x:v>
      </x:c>
      <x:c r="M35" s="676"/>
      <x:c r="N35" s="676"/>
      <x:c r="O35" s="684"/>
      <x:c r="P35" s="679"/>
      <x:c r="Q35" s="679"/>
      <x:c r="R35" s="679"/>
      <x:c r="S35" s="679"/>
      <x:c r="T35" s="679"/>
      <x:c r="U35" s="675" t="s">
        <x:v>203</x:v>
      </x:c>
      <x:c r="V35" s="676"/>
      <x:c r="W35" s="676"/>
      <x:c r="X35" s="685"/>
      <x:c r="Y35" s="685"/>
      <x:c r="Z35" s="685"/>
      <x:c r="AA35" s="685"/>
      <x:c r="AB35" s="685"/>
      <x:c r="AC35" s="685"/>
      <x:c r="AD35" s="685"/>
      <x:c r="AE35" s="685"/>
      <x:c r="AF35" s="685"/>
      <x:c r="AG35" s="685"/>
      <x:c r="AH35" s="685"/>
      <x:c r="AI35" s="685"/>
      <x:c r="AJ35" s="685"/>
      <x:c r="AK35" s="685"/>
      <x:c r="AL35" s="685"/>
      <x:c r="AM35" s="685"/>
      <x:c r="AN35" s="685"/>
      <x:c r="AO35" s="685"/>
      <x:c r="AP35" s="685"/>
      <x:c r="AQ35" s="685"/>
      <x:c r="AR35" s="685"/>
      <x:c r="AS35" s="685"/>
      <x:c r="AT35" s="685"/>
      <x:c r="AU35" s="685"/>
      <x:c r="AV35" s="685"/>
      <x:c r="AW35" s="685"/>
      <x:c r="AX35" s="685"/>
      <x:c r="AY35" s="685"/>
      <x:c r="AZ35" s="685"/>
      <x:c r="BA35" s="685"/>
      <x:c r="BB35" s="686"/>
      <x:c r="BD35" s="289"/>
      <x:c r="BE35" s="290"/>
      <x:c r="BF35" s="290"/>
      <x:c r="BG35" s="290"/>
      <x:c r="BH35" s="290"/>
      <x:c r="BI35" s="290"/>
      <x:c r="BJ35" s="290"/>
      <x:c r="BK35" s="290"/>
      <x:c r="BL35" s="290"/>
      <x:c r="BM35" s="291"/>
      <x:c r="BN35" s="431"/>
      <x:c r="BO35" s="431"/>
      <x:c r="BP35" s="282"/>
      <x:c r="BQ35" s="283"/>
      <x:c r="BR35" s="289"/>
      <x:c r="BS35" s="290"/>
      <x:c r="BT35" s="290"/>
      <x:c r="BU35" s="290"/>
      <x:c r="BV35" s="290"/>
      <x:c r="BW35" s="290"/>
      <x:c r="BX35" s="290"/>
      <x:c r="BY35" s="290"/>
      <x:c r="BZ35" s="290"/>
      <x:c r="CA35" s="291"/>
      <x:c r="CB35" s="391"/>
      <x:c r="CC35" s="391"/>
      <x:c r="CD35" s="292"/>
      <x:c r="CE35" s="293"/>
      <x:c r="CF35" s="289"/>
      <x:c r="CG35" s="290"/>
      <x:c r="CH35" s="290"/>
      <x:c r="CI35" s="290"/>
      <x:c r="CJ35" s="290"/>
      <x:c r="CK35" s="290"/>
      <x:c r="CL35" s="290"/>
      <x:c r="CM35" s="290"/>
      <x:c r="CN35" s="290"/>
      <x:c r="CO35" s="291"/>
      <x:c r="CP35" s="431"/>
      <x:c r="CQ35" s="431"/>
      <x:c r="CR35" s="282"/>
      <x:c r="CS35" s="283"/>
      <x:c r="CT35" s="476"/>
      <x:c r="CU35" s="477"/>
      <x:c r="CV35" s="477"/>
      <x:c r="CW35" s="477"/>
      <x:c r="CX35" s="477"/>
      <x:c r="CY35" s="477"/>
      <x:c r="CZ35" s="477"/>
      <x:c r="DA35" s="477"/>
      <x:c r="DB35" s="477"/>
      <x:c r="DC35" s="698"/>
      <x:c r="DD35" s="285"/>
      <x:c r="DE35" s="285"/>
      <x:c r="DF35" s="604"/>
      <x:c r="DG35" s="605"/>
      <x:c r="DK35" s="71"/>
      <x:c r="DL35" s="71"/>
      <x:c r="DM35" s="71"/>
      <x:c r="DN35" s="71"/>
      <x:c r="DO35" s="71"/>
      <x:c r="DP35" s="71"/>
      <x:c r="DQ35" s="71"/>
      <x:c r="DR35" s="71"/>
      <x:c r="DS35" s="29"/>
      <x:c r="DT35" s="29"/>
      <x:c r="DU35" s="77"/>
      <x:c r="DV35" s="77"/>
      <x:c r="DW35" s="77"/>
      <x:c r="DX35" s="77"/>
      <x:c r="DY35" s="77"/>
      <x:c r="DZ35" s="77"/>
      <x:c r="EA35" s="77"/>
      <x:c r="EB35" s="77"/>
      <x:c r="EC35" s="71"/>
      <x:c r="ED35" s="29"/>
      <x:c r="EE35" s="29"/>
      <x:c r="EF35" s="71"/>
      <x:c r="EG35" s="71"/>
      <x:c r="EH35" s="71"/>
      <x:c r="EI35" s="71"/>
      <x:c r="EJ35" s="71"/>
      <x:c r="EK35" s="71"/>
      <x:c r="EL35" s="71"/>
      <x:c r="EM35" s="71"/>
    </x:row>
    <x:row r="36" ht="6" customHeight="1">
      <x:c r="A36" s="710"/>
      <x:c r="B36" s="711"/>
      <x:c r="C36" s="711"/>
      <x:c r="D36" s="711"/>
      <x:c r="E36" s="712"/>
      <x:c r="F36" s="680"/>
      <x:c r="G36" s="681"/>
      <x:c r="H36" s="681"/>
      <x:c r="I36" s="681"/>
      <x:c r="J36" s="681"/>
      <x:c r="K36" s="681"/>
      <x:c r="L36" s="615"/>
      <x:c r="M36" s="615"/>
      <x:c r="N36" s="615"/>
      <x:c r="O36" s="681"/>
      <x:c r="P36" s="681"/>
      <x:c r="Q36" s="681"/>
      <x:c r="R36" s="681"/>
      <x:c r="S36" s="681"/>
      <x:c r="T36" s="681"/>
      <x:c r="U36" s="615"/>
      <x:c r="V36" s="615"/>
      <x:c r="W36" s="615"/>
      <x:c r="X36" s="687"/>
      <x:c r="Y36" s="687"/>
      <x:c r="Z36" s="687"/>
      <x:c r="AA36" s="687"/>
      <x:c r="AB36" s="687"/>
      <x:c r="AC36" s="687"/>
      <x:c r="AD36" s="687"/>
      <x:c r="AE36" s="687"/>
      <x:c r="AF36" s="687"/>
      <x:c r="AG36" s="687"/>
      <x:c r="AH36" s="687"/>
      <x:c r="AI36" s="687"/>
      <x:c r="AJ36" s="687"/>
      <x:c r="AK36" s="687"/>
      <x:c r="AL36" s="687"/>
      <x:c r="AM36" s="687"/>
      <x:c r="AN36" s="687"/>
      <x:c r="AO36" s="687"/>
      <x:c r="AP36" s="687"/>
      <x:c r="AQ36" s="687"/>
      <x:c r="AR36" s="687"/>
      <x:c r="AS36" s="687"/>
      <x:c r="AT36" s="687"/>
      <x:c r="AU36" s="687"/>
      <x:c r="AV36" s="687"/>
      <x:c r="AW36" s="687"/>
      <x:c r="AX36" s="687"/>
      <x:c r="AY36" s="687"/>
      <x:c r="AZ36" s="687"/>
      <x:c r="BA36" s="687"/>
      <x:c r="BB36" s="688"/>
      <x:c r="BD36" s="286" t="s">
        <x:v>54</x:v>
      </x:c>
      <x:c r="BE36" s="287"/>
      <x:c r="BF36" s="287"/>
      <x:c r="BG36" s="287"/>
      <x:c r="BH36" s="287"/>
      <x:c r="BI36" s="287"/>
      <x:c r="BJ36" s="287"/>
      <x:c r="BK36" s="287"/>
      <x:c r="BL36" s="287"/>
      <x:c r="BM36" s="288"/>
      <x:c r="BN36" s="431"/>
      <x:c r="BO36" s="431"/>
      <x:c r="BP36" s="282"/>
      <x:c r="BQ36" s="283"/>
      <x:c r="BR36" s="450" t="s">
        <x:v>219</x:v>
      </x:c>
      <x:c r="BS36" s="287"/>
      <x:c r="BT36" s="287"/>
      <x:c r="BU36" s="287"/>
      <x:c r="BV36" s="287"/>
      <x:c r="BW36" s="287"/>
      <x:c r="BX36" s="287"/>
      <x:c r="BY36" s="287"/>
      <x:c r="BZ36" s="287"/>
      <x:c r="CA36" s="288"/>
      <x:c r="CB36" s="390"/>
      <x:c r="CC36" s="390"/>
      <x:c r="CD36" s="292"/>
      <x:c r="CE36" s="293"/>
      <x:c r="CF36" s="286" t="s">
        <x:v>220</x:v>
      </x:c>
      <x:c r="CG36" s="287"/>
      <x:c r="CH36" s="287"/>
      <x:c r="CI36" s="287"/>
      <x:c r="CJ36" s="287"/>
      <x:c r="CK36" s="287"/>
      <x:c r="CL36" s="287"/>
      <x:c r="CM36" s="287"/>
      <x:c r="CN36" s="287"/>
      <x:c r="CO36" s="288"/>
      <x:c r="CP36" s="548"/>
      <x:c r="CQ36" s="548"/>
      <x:c r="CR36" s="282"/>
      <x:c r="CS36" s="283"/>
      <x:c r="CT36" s="450"/>
      <x:c r="CU36" s="287"/>
      <x:c r="CV36" s="287"/>
      <x:c r="CW36" s="287"/>
      <x:c r="CX36" s="287"/>
      <x:c r="CY36" s="287"/>
      <x:c r="CZ36" s="287"/>
      <x:c r="DA36" s="287"/>
      <x:c r="DB36" s="287"/>
      <x:c r="DC36" s="288"/>
      <x:c r="DD36" s="284"/>
      <x:c r="DE36" s="284"/>
      <x:c r="DF36" s="604"/>
      <x:c r="DG36" s="605"/>
      <x:c r="DK36" s="71"/>
      <x:c r="DL36" s="71"/>
      <x:c r="DM36" s="71"/>
      <x:c r="DN36" s="71"/>
      <x:c r="DO36" s="71"/>
      <x:c r="DP36" s="71"/>
      <x:c r="DQ36" s="71"/>
      <x:c r="DR36" s="71"/>
      <x:c r="DS36" s="7"/>
      <x:c r="DT36" s="7"/>
      <x:c r="DU36" s="71"/>
      <x:c r="DV36" s="71"/>
      <x:c r="DW36" s="71"/>
      <x:c r="DX36" s="71"/>
      <x:c r="DY36" s="71"/>
      <x:c r="DZ36" s="71"/>
      <x:c r="EA36" s="71"/>
      <x:c r="EB36" s="71"/>
      <x:c r="EC36" s="71"/>
      <x:c r="ED36" s="7"/>
      <x:c r="EE36" s="7"/>
      <x:c r="EF36" s="71"/>
      <x:c r="EG36" s="71"/>
      <x:c r="EH36" s="71"/>
      <x:c r="EI36" s="71"/>
      <x:c r="EJ36" s="71"/>
      <x:c r="EK36" s="71"/>
      <x:c r="EL36" s="71"/>
      <x:c r="EM36" s="71"/>
    </x:row>
    <x:row r="37" ht="6" customHeight="1">
      <x:c r="A37" s="710"/>
      <x:c r="B37" s="711"/>
      <x:c r="C37" s="711"/>
      <x:c r="D37" s="711"/>
      <x:c r="E37" s="712"/>
      <x:c r="F37" s="682"/>
      <x:c r="G37" s="683"/>
      <x:c r="H37" s="683"/>
      <x:c r="I37" s="683"/>
      <x:c r="J37" s="683"/>
      <x:c r="K37" s="683"/>
      <x:c r="L37" s="616"/>
      <x:c r="M37" s="616"/>
      <x:c r="N37" s="616"/>
      <x:c r="O37" s="683"/>
      <x:c r="P37" s="683"/>
      <x:c r="Q37" s="683"/>
      <x:c r="R37" s="683"/>
      <x:c r="S37" s="683"/>
      <x:c r="T37" s="683"/>
      <x:c r="U37" s="616"/>
      <x:c r="V37" s="616"/>
      <x:c r="W37" s="616"/>
      <x:c r="X37" s="689"/>
      <x:c r="Y37" s="689"/>
      <x:c r="Z37" s="689"/>
      <x:c r="AA37" s="689"/>
      <x:c r="AB37" s="689"/>
      <x:c r="AC37" s="689"/>
      <x:c r="AD37" s="689"/>
      <x:c r="AE37" s="689"/>
      <x:c r="AF37" s="689"/>
      <x:c r="AG37" s="689"/>
      <x:c r="AH37" s="689"/>
      <x:c r="AI37" s="689"/>
      <x:c r="AJ37" s="689"/>
      <x:c r="AK37" s="689"/>
      <x:c r="AL37" s="689"/>
      <x:c r="AM37" s="689"/>
      <x:c r="AN37" s="689"/>
      <x:c r="AO37" s="689"/>
      <x:c r="AP37" s="689"/>
      <x:c r="AQ37" s="689"/>
      <x:c r="AR37" s="689"/>
      <x:c r="AS37" s="689"/>
      <x:c r="AT37" s="689"/>
      <x:c r="AU37" s="689"/>
      <x:c r="AV37" s="689"/>
      <x:c r="AW37" s="689"/>
      <x:c r="AX37" s="689"/>
      <x:c r="AY37" s="689"/>
      <x:c r="AZ37" s="689"/>
      <x:c r="BA37" s="689"/>
      <x:c r="BB37" s="690"/>
      <x:c r="BD37" s="289"/>
      <x:c r="BE37" s="290"/>
      <x:c r="BF37" s="290"/>
      <x:c r="BG37" s="290"/>
      <x:c r="BH37" s="290"/>
      <x:c r="BI37" s="290"/>
      <x:c r="BJ37" s="290"/>
      <x:c r="BK37" s="290"/>
      <x:c r="BL37" s="290"/>
      <x:c r="BM37" s="291"/>
      <x:c r="BN37" s="431"/>
      <x:c r="BO37" s="431"/>
      <x:c r="BP37" s="282"/>
      <x:c r="BQ37" s="283"/>
      <x:c r="BR37" s="289"/>
      <x:c r="BS37" s="290"/>
      <x:c r="BT37" s="290"/>
      <x:c r="BU37" s="290"/>
      <x:c r="BV37" s="290"/>
      <x:c r="BW37" s="290"/>
      <x:c r="BX37" s="290"/>
      <x:c r="BY37" s="290"/>
      <x:c r="BZ37" s="290"/>
      <x:c r="CA37" s="291"/>
      <x:c r="CB37" s="391"/>
      <x:c r="CC37" s="391"/>
      <x:c r="CD37" s="292"/>
      <x:c r="CE37" s="293"/>
      <x:c r="CF37" s="289"/>
      <x:c r="CG37" s="290"/>
      <x:c r="CH37" s="290"/>
      <x:c r="CI37" s="290"/>
      <x:c r="CJ37" s="290"/>
      <x:c r="CK37" s="290"/>
      <x:c r="CL37" s="290"/>
      <x:c r="CM37" s="290"/>
      <x:c r="CN37" s="290"/>
      <x:c r="CO37" s="291"/>
      <x:c r="CP37" s="431"/>
      <x:c r="CQ37" s="431"/>
      <x:c r="CR37" s="282"/>
      <x:c r="CS37" s="283"/>
      <x:c r="CT37" s="289"/>
      <x:c r="CU37" s="290"/>
      <x:c r="CV37" s="290"/>
      <x:c r="CW37" s="290"/>
      <x:c r="CX37" s="290"/>
      <x:c r="CY37" s="290"/>
      <x:c r="CZ37" s="290"/>
      <x:c r="DA37" s="290"/>
      <x:c r="DB37" s="290"/>
      <x:c r="DC37" s="291"/>
      <x:c r="DD37" s="285"/>
      <x:c r="DE37" s="285"/>
      <x:c r="DF37" s="604"/>
      <x:c r="DG37" s="605"/>
      <x:c r="DK37" s="76"/>
      <x:c r="DL37" s="77"/>
      <x:c r="DM37" s="77"/>
      <x:c r="DN37" s="77"/>
      <x:c r="DO37" s="77"/>
      <x:c r="DP37" s="77"/>
      <x:c r="DQ37" s="77"/>
      <x:c r="DR37" s="77"/>
      <x:c r="DS37" s="7"/>
      <x:c r="DT37" s="7"/>
      <x:c r="DU37" s="71"/>
      <x:c r="DV37" s="71"/>
      <x:c r="DW37" s="71"/>
      <x:c r="DX37" s="71"/>
      <x:c r="DY37" s="71"/>
      <x:c r="DZ37" s="71"/>
      <x:c r="EA37" s="71"/>
      <x:c r="EB37" s="71"/>
      <x:c r="EC37" s="72"/>
      <x:c r="ED37" s="7"/>
      <x:c r="EE37" s="7"/>
      <x:c r="EF37" s="71"/>
      <x:c r="EG37" s="71"/>
      <x:c r="EH37" s="71"/>
      <x:c r="EI37" s="71"/>
      <x:c r="EJ37" s="71"/>
      <x:c r="EK37" s="71"/>
      <x:c r="EL37" s="71"/>
      <x:c r="EM37" s="71"/>
    </x:row>
    <x:row r="38" ht="6" customHeight="1">
      <x:c r="A38" s="710"/>
      <x:c r="B38" s="711"/>
      <x:c r="C38" s="711"/>
      <x:c r="D38" s="711"/>
      <x:c r="E38" s="712"/>
      <x:c r="F38" s="716"/>
      <x:c r="G38" s="717"/>
      <x:c r="H38" s="717"/>
      <x:c r="I38" s="717"/>
      <x:c r="J38" s="717"/>
      <x:c r="K38" s="717"/>
      <x:c r="L38" s="717"/>
      <x:c r="M38" s="717"/>
      <x:c r="N38" s="717"/>
      <x:c r="O38" s="717"/>
      <x:c r="P38" s="717"/>
      <x:c r="Q38" s="717"/>
      <x:c r="R38" s="717"/>
      <x:c r="S38" s="641" t="s">
        <x:v>168</x:v>
      </x:c>
      <x:c r="T38" s="343"/>
      <x:c r="U38" s="699" t="s">
        <x:v>221</x:v>
      </x:c>
      <x:c r="V38" s="722"/>
      <x:c r="W38" s="722"/>
      <x:c r="X38" s="722"/>
      <x:c r="Y38" s="722"/>
      <x:c r="Z38" s="723"/>
      <x:c r="AA38" s="444"/>
      <x:c r="AB38" s="445"/>
      <x:c r="AC38" s="445"/>
      <x:c r="AD38" s="445"/>
      <x:c r="AE38" s="445"/>
      <x:c r="AF38" s="445"/>
      <x:c r="AG38" s="445"/>
      <x:c r="AH38" s="445"/>
      <x:c r="AI38" s="445"/>
      <x:c r="AJ38" s="445"/>
      <x:c r="AK38" s="446"/>
      <x:c r="AL38" s="730"/>
      <x:c r="AM38" s="731"/>
      <x:c r="AN38" s="731"/>
      <x:c r="AO38" s="731"/>
      <x:c r="AP38" s="731"/>
      <x:c r="AQ38" s="731"/>
      <x:c r="AR38" s="731"/>
      <x:c r="AS38" s="731"/>
      <x:c r="AT38" s="731"/>
      <x:c r="AU38" s="731"/>
      <x:c r="AV38" s="731"/>
      <x:c r="AW38" s="731"/>
      <x:c r="AX38" s="731"/>
      <x:c r="AY38" s="731"/>
      <x:c r="AZ38" s="731"/>
      <x:c r="BA38" s="731"/>
      <x:c r="BB38" s="732"/>
      <x:c r="BD38" s="286" t="s">
        <x:v>222</x:v>
      </x:c>
      <x:c r="BE38" s="287"/>
      <x:c r="BF38" s="287"/>
      <x:c r="BG38" s="287"/>
      <x:c r="BH38" s="287"/>
      <x:c r="BI38" s="287"/>
      <x:c r="BJ38" s="287"/>
      <x:c r="BK38" s="287"/>
      <x:c r="BL38" s="287"/>
      <x:c r="BM38" s="288"/>
      <x:c r="BN38" s="431"/>
      <x:c r="BO38" s="431"/>
      <x:c r="BP38" s="282"/>
      <x:c r="BQ38" s="283"/>
      <x:c r="BR38" s="691" t="s">
        <x:v>101</x:v>
      </x:c>
      <x:c r="BS38" s="692"/>
      <x:c r="BT38" s="692"/>
      <x:c r="BU38" s="692"/>
      <x:c r="BV38" s="692"/>
      <x:c r="BW38" s="692"/>
      <x:c r="BX38" s="692"/>
      <x:c r="BY38" s="692"/>
      <x:c r="BZ38" s="692"/>
      <x:c r="CA38" s="693"/>
      <x:c r="CB38" s="390"/>
      <x:c r="CC38" s="390"/>
      <x:c r="CD38" s="292"/>
      <x:c r="CE38" s="293"/>
      <x:c r="CF38" s="286" t="s">
        <x:v>123</x:v>
      </x:c>
      <x:c r="CG38" s="287"/>
      <x:c r="CH38" s="287"/>
      <x:c r="CI38" s="287"/>
      <x:c r="CJ38" s="287"/>
      <x:c r="CK38" s="287"/>
      <x:c r="CL38" s="287"/>
      <x:c r="CM38" s="287"/>
      <x:c r="CN38" s="287"/>
      <x:c r="CO38" s="288"/>
      <x:c r="CP38" s="548"/>
      <x:c r="CQ38" s="548"/>
      <x:c r="CR38" s="282"/>
      <x:c r="CS38" s="283"/>
      <x:c r="CT38" s="450"/>
      <x:c r="CU38" s="287"/>
      <x:c r="CV38" s="287"/>
      <x:c r="CW38" s="287"/>
      <x:c r="CX38" s="287"/>
      <x:c r="CY38" s="287"/>
      <x:c r="CZ38" s="287"/>
      <x:c r="DA38" s="287"/>
      <x:c r="DB38" s="287"/>
      <x:c r="DC38" s="288"/>
      <x:c r="DD38" s="284"/>
      <x:c r="DE38" s="284"/>
      <x:c r="DF38" s="604"/>
      <x:c r="DG38" s="605"/>
      <x:c r="DK38" s="77"/>
      <x:c r="DL38" s="77"/>
      <x:c r="DM38" s="77"/>
      <x:c r="DN38" s="77"/>
      <x:c r="DO38" s="77"/>
      <x:c r="DP38" s="77"/>
      <x:c r="DQ38" s="77"/>
      <x:c r="DR38" s="77"/>
      <x:c r="DS38" s="7"/>
      <x:c r="DT38" s="7"/>
      <x:c r="DU38" s="71"/>
      <x:c r="DV38" s="71"/>
      <x:c r="DW38" s="71"/>
      <x:c r="DX38" s="71"/>
      <x:c r="DY38" s="71"/>
      <x:c r="DZ38" s="71"/>
      <x:c r="EA38" s="71"/>
      <x:c r="EB38" s="71"/>
      <x:c r="EC38" s="72"/>
      <x:c r="ED38" s="7"/>
      <x:c r="EE38" s="7"/>
      <x:c r="EF38" s="71"/>
      <x:c r="EG38" s="71"/>
      <x:c r="EH38" s="71"/>
      <x:c r="EI38" s="71"/>
      <x:c r="EJ38" s="71"/>
      <x:c r="EK38" s="71"/>
      <x:c r="EL38" s="71"/>
      <x:c r="EM38" s="71"/>
    </x:row>
    <x:row r="39" ht="6" customHeight="1">
      <x:c r="A39" s="710"/>
      <x:c r="B39" s="711"/>
      <x:c r="C39" s="711"/>
      <x:c r="D39" s="711"/>
      <x:c r="E39" s="712"/>
      <x:c r="F39" s="718"/>
      <x:c r="G39" s="719"/>
      <x:c r="H39" s="719"/>
      <x:c r="I39" s="719"/>
      <x:c r="J39" s="719"/>
      <x:c r="K39" s="719"/>
      <x:c r="L39" s="719"/>
      <x:c r="M39" s="719"/>
      <x:c r="N39" s="719"/>
      <x:c r="O39" s="719"/>
      <x:c r="P39" s="719"/>
      <x:c r="Q39" s="719"/>
      <x:c r="R39" s="719"/>
      <x:c r="S39" s="642"/>
      <x:c r="T39" s="346"/>
      <x:c r="U39" s="625"/>
      <x:c r="V39" s="625"/>
      <x:c r="W39" s="625"/>
      <x:c r="X39" s="625"/>
      <x:c r="Y39" s="625"/>
      <x:c r="Z39" s="724"/>
      <x:c r="AA39" s="725"/>
      <x:c r="AB39" s="726"/>
      <x:c r="AC39" s="726"/>
      <x:c r="AD39" s="726"/>
      <x:c r="AE39" s="726"/>
      <x:c r="AF39" s="726"/>
      <x:c r="AG39" s="726"/>
      <x:c r="AH39" s="726"/>
      <x:c r="AI39" s="726"/>
      <x:c r="AJ39" s="726"/>
      <x:c r="AK39" s="727"/>
      <x:c r="AL39" s="733"/>
      <x:c r="AM39" s="734"/>
      <x:c r="AN39" s="734"/>
      <x:c r="AO39" s="734"/>
      <x:c r="AP39" s="734"/>
      <x:c r="AQ39" s="734"/>
      <x:c r="AR39" s="734"/>
      <x:c r="AS39" s="734"/>
      <x:c r="AT39" s="734"/>
      <x:c r="AU39" s="734"/>
      <x:c r="AV39" s="734"/>
      <x:c r="AW39" s="734"/>
      <x:c r="AX39" s="734"/>
      <x:c r="AY39" s="734"/>
      <x:c r="AZ39" s="734"/>
      <x:c r="BA39" s="734"/>
      <x:c r="BB39" s="735"/>
      <x:c r="BD39" s="289"/>
      <x:c r="BE39" s="290"/>
      <x:c r="BF39" s="290"/>
      <x:c r="BG39" s="290"/>
      <x:c r="BH39" s="290"/>
      <x:c r="BI39" s="290"/>
      <x:c r="BJ39" s="290"/>
      <x:c r="BK39" s="290"/>
      <x:c r="BL39" s="290"/>
      <x:c r="BM39" s="291"/>
      <x:c r="BN39" s="431"/>
      <x:c r="BO39" s="431"/>
      <x:c r="BP39" s="282"/>
      <x:c r="BQ39" s="283"/>
      <x:c r="BR39" s="694"/>
      <x:c r="BS39" s="695"/>
      <x:c r="BT39" s="695"/>
      <x:c r="BU39" s="695"/>
      <x:c r="BV39" s="695"/>
      <x:c r="BW39" s="695"/>
      <x:c r="BX39" s="695"/>
      <x:c r="BY39" s="695"/>
      <x:c r="BZ39" s="695"/>
      <x:c r="CA39" s="696"/>
      <x:c r="CB39" s="391"/>
      <x:c r="CC39" s="391"/>
      <x:c r="CD39" s="292"/>
      <x:c r="CE39" s="293"/>
      <x:c r="CF39" s="289"/>
      <x:c r="CG39" s="290"/>
      <x:c r="CH39" s="290"/>
      <x:c r="CI39" s="290"/>
      <x:c r="CJ39" s="290"/>
      <x:c r="CK39" s="290"/>
      <x:c r="CL39" s="290"/>
      <x:c r="CM39" s="290"/>
      <x:c r="CN39" s="290"/>
      <x:c r="CO39" s="291"/>
      <x:c r="CP39" s="431"/>
      <x:c r="CQ39" s="431"/>
      <x:c r="CR39" s="282"/>
      <x:c r="CS39" s="283"/>
      <x:c r="CT39" s="289"/>
      <x:c r="CU39" s="290"/>
      <x:c r="CV39" s="290"/>
      <x:c r="CW39" s="290"/>
      <x:c r="CX39" s="290"/>
      <x:c r="CY39" s="290"/>
      <x:c r="CZ39" s="290"/>
      <x:c r="DA39" s="290"/>
      <x:c r="DB39" s="290"/>
      <x:c r="DC39" s="291"/>
      <x:c r="DD39" s="285"/>
      <x:c r="DE39" s="285"/>
      <x:c r="DF39" s="604"/>
      <x:c r="DG39" s="605"/>
      <x:c r="DK39" s="76"/>
      <x:c r="DL39" s="77"/>
      <x:c r="DM39" s="77"/>
      <x:c r="DN39" s="77"/>
      <x:c r="DO39" s="77"/>
      <x:c r="DP39" s="77"/>
      <x:c r="DQ39" s="77"/>
      <x:c r="DR39" s="77"/>
      <x:c r="DS39" s="7"/>
      <x:c r="DT39" s="7"/>
      <x:c r="DU39" s="71"/>
      <x:c r="DV39" s="71"/>
      <x:c r="DW39" s="71"/>
      <x:c r="DX39" s="71"/>
      <x:c r="DY39" s="71"/>
      <x:c r="DZ39" s="71"/>
      <x:c r="EA39" s="71"/>
      <x:c r="EB39" s="71"/>
      <x:c r="EC39" s="71"/>
      <x:c r="ED39" s="7"/>
      <x:c r="EE39" s="7"/>
      <x:c r="EF39" s="71"/>
      <x:c r="EG39" s="73"/>
      <x:c r="EH39" s="73"/>
      <x:c r="EI39" s="73"/>
      <x:c r="EJ39" s="73"/>
      <x:c r="EK39" s="73"/>
      <x:c r="EL39" s="73"/>
      <x:c r="EM39" s="73"/>
    </x:row>
    <x:row r="40" ht="6" customHeight="1">
      <x:c r="A40" s="710"/>
      <x:c r="B40" s="711"/>
      <x:c r="C40" s="711"/>
      <x:c r="D40" s="711"/>
      <x:c r="E40" s="712"/>
      <x:c r="F40" s="718"/>
      <x:c r="G40" s="719"/>
      <x:c r="H40" s="719"/>
      <x:c r="I40" s="719"/>
      <x:c r="J40" s="719"/>
      <x:c r="K40" s="719"/>
      <x:c r="L40" s="719"/>
      <x:c r="M40" s="719"/>
      <x:c r="N40" s="719"/>
      <x:c r="O40" s="719"/>
      <x:c r="P40" s="719"/>
      <x:c r="Q40" s="719"/>
      <x:c r="R40" s="719"/>
      <x:c r="S40" s="642"/>
      <x:c r="T40" s="346"/>
      <x:c r="U40" s="699" t="s">
        <x:v>216</x:v>
      </x:c>
      <x:c r="V40" s="699"/>
      <x:c r="W40" s="699"/>
      <x:c r="X40" s="699"/>
      <x:c r="Y40" s="699"/>
      <x:c r="Z40" s="739"/>
      <x:c r="AA40" s="444"/>
      <x:c r="AB40" s="445"/>
      <x:c r="AC40" s="445"/>
      <x:c r="AD40" s="445"/>
      <x:c r="AE40" s="445"/>
      <x:c r="AF40" s="445"/>
      <x:c r="AG40" s="445"/>
      <x:c r="AH40" s="445"/>
      <x:c r="AI40" s="445"/>
      <x:c r="AJ40" s="445"/>
      <x:c r="AK40" s="446"/>
      <x:c r="AL40" s="733"/>
      <x:c r="AM40" s="734"/>
      <x:c r="AN40" s="734"/>
      <x:c r="AO40" s="734"/>
      <x:c r="AP40" s="734"/>
      <x:c r="AQ40" s="734"/>
      <x:c r="AR40" s="734"/>
      <x:c r="AS40" s="734"/>
      <x:c r="AT40" s="734"/>
      <x:c r="AU40" s="734"/>
      <x:c r="AV40" s="734"/>
      <x:c r="AW40" s="734"/>
      <x:c r="AX40" s="734"/>
      <x:c r="AY40" s="734"/>
      <x:c r="AZ40" s="734"/>
      <x:c r="BA40" s="734"/>
      <x:c r="BB40" s="735"/>
      <x:c r="BD40" s="286" t="s">
        <x:v>57</x:v>
      </x:c>
      <x:c r="BE40" s="287"/>
      <x:c r="BF40" s="287"/>
      <x:c r="BG40" s="287"/>
      <x:c r="BH40" s="287"/>
      <x:c r="BI40" s="287"/>
      <x:c r="BJ40" s="287"/>
      <x:c r="BK40" s="287"/>
      <x:c r="BL40" s="287"/>
      <x:c r="BM40" s="288"/>
      <x:c r="BN40" s="431"/>
      <x:c r="BO40" s="431"/>
      <x:c r="BP40" s="282"/>
      <x:c r="BQ40" s="283"/>
      <x:c r="BR40" s="450" t="s">
        <x:v>223</x:v>
      </x:c>
      <x:c r="BS40" s="287"/>
      <x:c r="BT40" s="287"/>
      <x:c r="BU40" s="287"/>
      <x:c r="BV40" s="287"/>
      <x:c r="BW40" s="287"/>
      <x:c r="BX40" s="287"/>
      <x:c r="BY40" s="287"/>
      <x:c r="BZ40" s="287"/>
      <x:c r="CA40" s="288"/>
      <x:c r="CB40" s="390"/>
      <x:c r="CC40" s="390"/>
      <x:c r="CD40" s="292"/>
      <x:c r="CE40" s="293"/>
      <x:c r="CF40" s="701" t="s">
        <x:v>224</x:v>
      </x:c>
      <x:c r="CG40" s="702"/>
      <x:c r="CH40" s="702"/>
      <x:c r="CI40" s="702"/>
      <x:c r="CJ40" s="702"/>
      <x:c r="CK40" s="702"/>
      <x:c r="CL40" s="702"/>
      <x:c r="CM40" s="702"/>
      <x:c r="CN40" s="702"/>
      <x:c r="CO40" s="703"/>
      <x:c r="CP40" s="548"/>
      <x:c r="CQ40" s="548"/>
      <x:c r="CR40" s="282"/>
      <x:c r="CS40" s="283"/>
      <x:c r="CT40" s="450"/>
      <x:c r="CU40" s="287"/>
      <x:c r="CV40" s="287"/>
      <x:c r="CW40" s="287"/>
      <x:c r="CX40" s="287"/>
      <x:c r="CY40" s="287"/>
      <x:c r="CZ40" s="287"/>
      <x:c r="DA40" s="287"/>
      <x:c r="DB40" s="287"/>
      <x:c r="DC40" s="288"/>
      <x:c r="DD40" s="284"/>
      <x:c r="DE40" s="284"/>
      <x:c r="DF40" s="604"/>
      <x:c r="DG40" s="605"/>
      <x:c r="DK40" s="77"/>
      <x:c r="DL40" s="77"/>
      <x:c r="DM40" s="77"/>
      <x:c r="DN40" s="77"/>
      <x:c r="DO40" s="77"/>
      <x:c r="DP40" s="77"/>
      <x:c r="DQ40" s="77"/>
      <x:c r="DR40" s="77"/>
      <x:c r="DS40" s="7"/>
      <x:c r="DT40" s="7"/>
      <x:c r="DU40" s="71"/>
      <x:c r="DV40" s="71"/>
      <x:c r="DW40" s="71"/>
      <x:c r="DX40" s="71"/>
      <x:c r="DY40" s="71"/>
      <x:c r="DZ40" s="71"/>
      <x:c r="EA40" s="71"/>
      <x:c r="EB40" s="71"/>
      <x:c r="EC40" s="71"/>
      <x:c r="ED40" s="7"/>
      <x:c r="EE40" s="7"/>
      <x:c r="EF40" s="73"/>
      <x:c r="EG40" s="73"/>
      <x:c r="EH40" s="73"/>
      <x:c r="EI40" s="73"/>
      <x:c r="EJ40" s="73"/>
      <x:c r="EK40" s="73"/>
      <x:c r="EL40" s="73"/>
      <x:c r="EM40" s="73"/>
    </x:row>
    <x:row r="41" ht="6" customHeight="1">
      <x:c r="A41" s="713"/>
      <x:c r="B41" s="714"/>
      <x:c r="C41" s="714"/>
      <x:c r="D41" s="714"/>
      <x:c r="E41" s="715"/>
      <x:c r="F41" s="720"/>
      <x:c r="G41" s="721"/>
      <x:c r="H41" s="721"/>
      <x:c r="I41" s="721"/>
      <x:c r="J41" s="721"/>
      <x:c r="K41" s="721"/>
      <x:c r="L41" s="721"/>
      <x:c r="M41" s="721"/>
      <x:c r="N41" s="721"/>
      <x:c r="O41" s="721"/>
      <x:c r="P41" s="721"/>
      <x:c r="Q41" s="721"/>
      <x:c r="R41" s="721"/>
      <x:c r="S41" s="643"/>
      <x:c r="T41" s="359"/>
      <x:c r="U41" s="601"/>
      <x:c r="V41" s="601"/>
      <x:c r="W41" s="601"/>
      <x:c r="X41" s="601"/>
      <x:c r="Y41" s="601"/>
      <x:c r="Z41" s="740"/>
      <x:c r="AA41" s="725"/>
      <x:c r="AB41" s="726"/>
      <x:c r="AC41" s="726"/>
      <x:c r="AD41" s="726"/>
      <x:c r="AE41" s="726"/>
      <x:c r="AF41" s="726"/>
      <x:c r="AG41" s="726"/>
      <x:c r="AH41" s="726"/>
      <x:c r="AI41" s="726"/>
      <x:c r="AJ41" s="726"/>
      <x:c r="AK41" s="727"/>
      <x:c r="AL41" s="736"/>
      <x:c r="AM41" s="737"/>
      <x:c r="AN41" s="737"/>
      <x:c r="AO41" s="737"/>
      <x:c r="AP41" s="737"/>
      <x:c r="AQ41" s="737"/>
      <x:c r="AR41" s="737"/>
      <x:c r="AS41" s="737"/>
      <x:c r="AT41" s="737"/>
      <x:c r="AU41" s="737"/>
      <x:c r="AV41" s="737"/>
      <x:c r="AW41" s="737"/>
      <x:c r="AX41" s="737"/>
      <x:c r="AY41" s="737"/>
      <x:c r="AZ41" s="737"/>
      <x:c r="BA41" s="737"/>
      <x:c r="BB41" s="738"/>
      <x:c r="BD41" s="289"/>
      <x:c r="BE41" s="290"/>
      <x:c r="BF41" s="290"/>
      <x:c r="BG41" s="290"/>
      <x:c r="BH41" s="290"/>
      <x:c r="BI41" s="290"/>
      <x:c r="BJ41" s="290"/>
      <x:c r="BK41" s="290"/>
      <x:c r="BL41" s="290"/>
      <x:c r="BM41" s="291"/>
      <x:c r="BN41" s="431"/>
      <x:c r="BO41" s="431"/>
      <x:c r="BP41" s="282"/>
      <x:c r="BQ41" s="283"/>
      <x:c r="BR41" s="289"/>
      <x:c r="BS41" s="290"/>
      <x:c r="BT41" s="290"/>
      <x:c r="BU41" s="290"/>
      <x:c r="BV41" s="290"/>
      <x:c r="BW41" s="290"/>
      <x:c r="BX41" s="290"/>
      <x:c r="BY41" s="290"/>
      <x:c r="BZ41" s="290"/>
      <x:c r="CA41" s="291"/>
      <x:c r="CB41" s="391"/>
      <x:c r="CC41" s="391"/>
      <x:c r="CD41" s="292"/>
      <x:c r="CE41" s="293"/>
      <x:c r="CF41" s="704"/>
      <x:c r="CG41" s="705"/>
      <x:c r="CH41" s="705"/>
      <x:c r="CI41" s="705"/>
      <x:c r="CJ41" s="705"/>
      <x:c r="CK41" s="705"/>
      <x:c r="CL41" s="705"/>
      <x:c r="CM41" s="705"/>
      <x:c r="CN41" s="705"/>
      <x:c r="CO41" s="706"/>
      <x:c r="CP41" s="431"/>
      <x:c r="CQ41" s="431"/>
      <x:c r="CR41" s="282"/>
      <x:c r="CS41" s="283"/>
      <x:c r="CT41" s="289"/>
      <x:c r="CU41" s="290"/>
      <x:c r="CV41" s="290"/>
      <x:c r="CW41" s="290"/>
      <x:c r="CX41" s="290"/>
      <x:c r="CY41" s="290"/>
      <x:c r="CZ41" s="290"/>
      <x:c r="DA41" s="290"/>
      <x:c r="DB41" s="290"/>
      <x:c r="DC41" s="291"/>
      <x:c r="DD41" s="285"/>
      <x:c r="DE41" s="285"/>
      <x:c r="DF41" s="604"/>
      <x:c r="DG41" s="605"/>
      <x:c r="DK41" s="71"/>
      <x:c r="DL41" s="71"/>
      <x:c r="DM41" s="71"/>
      <x:c r="DN41" s="71"/>
      <x:c r="DO41" s="71"/>
      <x:c r="DP41" s="71"/>
      <x:c r="DQ41" s="71"/>
      <x:c r="DR41" s="71"/>
      <x:c r="DS41" s="7"/>
      <x:c r="DT41" s="7"/>
      <x:c r="DU41" s="71"/>
      <x:c r="DV41" s="71"/>
      <x:c r="DW41" s="71"/>
      <x:c r="DX41" s="71"/>
      <x:c r="DY41" s="71"/>
      <x:c r="DZ41" s="71"/>
      <x:c r="EA41" s="71"/>
      <x:c r="EB41" s="71"/>
      <x:c r="EC41" s="71"/>
      <x:c r="ED41" s="7"/>
      <x:c r="EE41" s="7"/>
      <x:c r="EF41" s="71"/>
      <x:c r="EG41" s="71"/>
      <x:c r="EH41" s="71"/>
      <x:c r="EI41" s="71"/>
      <x:c r="EJ41" s="71"/>
      <x:c r="EK41" s="71"/>
      <x:c r="EL41" s="71"/>
      <x:c r="EM41" s="71"/>
    </x:row>
    <x:row r="42" ht="6" customHeight="1">
      <x:c r="A42" s="627" t="s">
        <x:v>225</x:v>
      </x:c>
      <x:c r="B42" s="628"/>
      <x:c r="C42" s="671"/>
      <x:c r="D42" s="672"/>
      <x:c r="E42" s="672"/>
      <x:c r="F42" s="673"/>
      <x:c r="G42" s="673"/>
      <x:c r="H42" s="675" t="s">
        <x:v>202</x:v>
      </x:c>
      <x:c r="I42" s="676"/>
      <x:c r="J42" s="676"/>
      <x:c r="K42" s="677"/>
      <x:c r="L42" s="677"/>
      <x:c r="M42" s="677"/>
      <x:c r="N42" s="677"/>
      <x:c r="O42" s="677"/>
      <x:c r="P42" s="675" t="s">
        <x:v>203</x:v>
      </x:c>
      <x:c r="Q42" s="676"/>
      <x:c r="R42" s="676"/>
      <x:c r="S42" s="753"/>
      <x:c r="T42" s="753"/>
      <x:c r="U42" s="753"/>
      <x:c r="V42" s="753"/>
      <x:c r="W42" s="753"/>
      <x:c r="X42" s="753"/>
      <x:c r="Y42" s="753"/>
      <x:c r="Z42" s="753"/>
      <x:c r="AA42" s="753"/>
      <x:c r="AB42" s="753"/>
      <x:c r="AC42" s="753"/>
      <x:c r="AD42" s="753"/>
      <x:c r="AE42" s="753"/>
      <x:c r="AF42" s="753"/>
      <x:c r="AG42" s="753"/>
      <x:c r="AH42" s="753"/>
      <x:c r="AI42" s="753"/>
      <x:c r="AJ42" s="753"/>
      <x:c r="AK42" s="753"/>
      <x:c r="AL42" s="753"/>
      <x:c r="AM42" s="753"/>
      <x:c r="AN42" s="753"/>
      <x:c r="AO42" s="753"/>
      <x:c r="AP42" s="753"/>
      <x:c r="AQ42" s="753"/>
      <x:c r="AR42" s="753"/>
      <x:c r="AS42" s="753"/>
      <x:c r="AT42" s="699"/>
      <x:c r="AU42" s="699"/>
      <x:c r="AV42" s="699"/>
      <x:c r="AW42" s="699" t="s">
        <x:v>204</x:v>
      </x:c>
      <x:c r="AX42" s="699"/>
      <x:c r="AY42" s="342"/>
      <x:c r="AZ42" s="342"/>
      <x:c r="BA42" s="699" t="s">
        <x:v>205</x:v>
      </x:c>
      <x:c r="BB42" s="700"/>
      <x:c r="BD42" s="286" t="s">
        <x:v>60</x:v>
      </x:c>
      <x:c r="BE42" s="287"/>
      <x:c r="BF42" s="287"/>
      <x:c r="BG42" s="287"/>
      <x:c r="BH42" s="287"/>
      <x:c r="BI42" s="287"/>
      <x:c r="BJ42" s="287"/>
      <x:c r="BK42" s="287"/>
      <x:c r="BL42" s="287"/>
      <x:c r="BM42" s="288"/>
      <x:c r="BN42" s="431"/>
      <x:c r="BO42" s="431"/>
      <x:c r="BP42" s="282"/>
      <x:c r="BQ42" s="283"/>
      <x:c r="BR42" s="450" t="s">
        <x:v>226</x:v>
      </x:c>
      <x:c r="BS42" s="287"/>
      <x:c r="BT42" s="287"/>
      <x:c r="BU42" s="287"/>
      <x:c r="BV42" s="287"/>
      <x:c r="BW42" s="287"/>
      <x:c r="BX42" s="287"/>
      <x:c r="BY42" s="287"/>
      <x:c r="BZ42" s="287"/>
      <x:c r="CA42" s="288"/>
      <x:c r="CB42" s="390"/>
      <x:c r="CC42" s="390"/>
      <x:c r="CD42" s="292"/>
      <x:c r="CE42" s="293"/>
      <x:c r="CF42" s="450" t="s">
        <x:v>227</x:v>
      </x:c>
      <x:c r="CG42" s="287"/>
      <x:c r="CH42" s="287"/>
      <x:c r="CI42" s="287"/>
      <x:c r="CJ42" s="287"/>
      <x:c r="CK42" s="287"/>
      <x:c r="CL42" s="287"/>
      <x:c r="CM42" s="287"/>
      <x:c r="CN42" s="287"/>
      <x:c r="CO42" s="288"/>
      <x:c r="CP42" s="548"/>
      <x:c r="CQ42" s="548"/>
      <x:c r="CR42" s="282"/>
      <x:c r="CS42" s="283"/>
      <x:c r="CT42" s="450"/>
      <x:c r="CU42" s="287"/>
      <x:c r="CV42" s="287"/>
      <x:c r="CW42" s="287"/>
      <x:c r="CX42" s="287"/>
      <x:c r="CY42" s="287"/>
      <x:c r="CZ42" s="287"/>
      <x:c r="DA42" s="287"/>
      <x:c r="DB42" s="287"/>
      <x:c r="DC42" s="288"/>
      <x:c r="DD42" s="284"/>
      <x:c r="DE42" s="284"/>
      <x:c r="DF42" s="604"/>
      <x:c r="DG42" s="605"/>
      <x:c r="DK42" s="71"/>
      <x:c r="DL42" s="71"/>
      <x:c r="DM42" s="71"/>
      <x:c r="DN42" s="71"/>
      <x:c r="DO42" s="71"/>
      <x:c r="DP42" s="71"/>
      <x:c r="DQ42" s="71"/>
      <x:c r="DR42" s="71"/>
      <x:c r="DS42" s="7"/>
      <x:c r="DT42" s="7"/>
      <x:c r="DU42" s="7"/>
      <x:c r="DV42" s="71"/>
      <x:c r="DW42" s="71"/>
      <x:c r="DX42" s="71"/>
      <x:c r="DY42" s="71"/>
      <x:c r="DZ42" s="71"/>
      <x:c r="EA42" s="71"/>
      <x:c r="EB42" s="71"/>
      <x:c r="EC42" s="71"/>
      <x:c r="ED42" s="7"/>
      <x:c r="EE42" s="7"/>
      <x:c r="EF42" s="71"/>
      <x:c r="EG42" s="71"/>
      <x:c r="EH42" s="71"/>
      <x:c r="EI42" s="71"/>
      <x:c r="EJ42" s="71"/>
      <x:c r="EK42" s="71"/>
      <x:c r="EL42" s="71"/>
      <x:c r="EM42" s="71"/>
    </x:row>
    <x:row r="43" ht="6" customHeight="1">
      <x:c r="A43" s="629"/>
      <x:c r="B43" s="630"/>
      <x:c r="C43" s="674"/>
      <x:c r="D43" s="673"/>
      <x:c r="E43" s="673"/>
      <x:c r="F43" s="673"/>
      <x:c r="G43" s="673"/>
      <x:c r="H43" s="615"/>
      <x:c r="I43" s="615"/>
      <x:c r="J43" s="615"/>
      <x:c r="K43" s="677"/>
      <x:c r="L43" s="677"/>
      <x:c r="M43" s="677"/>
      <x:c r="N43" s="677"/>
      <x:c r="O43" s="677"/>
      <x:c r="P43" s="615"/>
      <x:c r="Q43" s="615"/>
      <x:c r="R43" s="615"/>
      <x:c r="S43" s="754"/>
      <x:c r="T43" s="754"/>
      <x:c r="U43" s="754"/>
      <x:c r="V43" s="754"/>
      <x:c r="W43" s="754"/>
      <x:c r="X43" s="754"/>
      <x:c r="Y43" s="754"/>
      <x:c r="Z43" s="754"/>
      <x:c r="AA43" s="754"/>
      <x:c r="AB43" s="754"/>
      <x:c r="AC43" s="754"/>
      <x:c r="AD43" s="754"/>
      <x:c r="AE43" s="754"/>
      <x:c r="AF43" s="754"/>
      <x:c r="AG43" s="754"/>
      <x:c r="AH43" s="754"/>
      <x:c r="AI43" s="754"/>
      <x:c r="AJ43" s="754"/>
      <x:c r="AK43" s="754"/>
      <x:c r="AL43" s="754"/>
      <x:c r="AM43" s="754"/>
      <x:c r="AN43" s="754"/>
      <x:c r="AO43" s="754"/>
      <x:c r="AP43" s="754"/>
      <x:c r="AQ43" s="754"/>
      <x:c r="AR43" s="754"/>
      <x:c r="AS43" s="754"/>
      <x:c r="AT43" s="601"/>
      <x:c r="AU43" s="601"/>
      <x:c r="AV43" s="601"/>
      <x:c r="AW43" s="601"/>
      <x:c r="AX43" s="601"/>
      <x:c r="AY43" s="345"/>
      <x:c r="AZ43" s="345"/>
      <x:c r="BA43" s="601"/>
      <x:c r="BB43" s="603"/>
      <x:c r="BD43" s="289"/>
      <x:c r="BE43" s="290"/>
      <x:c r="BF43" s="290"/>
      <x:c r="BG43" s="290"/>
      <x:c r="BH43" s="290"/>
      <x:c r="BI43" s="290"/>
      <x:c r="BJ43" s="290"/>
      <x:c r="BK43" s="290"/>
      <x:c r="BL43" s="290"/>
      <x:c r="BM43" s="291"/>
      <x:c r="BN43" s="431"/>
      <x:c r="BO43" s="431"/>
      <x:c r="BP43" s="282"/>
      <x:c r="BQ43" s="283"/>
      <x:c r="BR43" s="289"/>
      <x:c r="BS43" s="290"/>
      <x:c r="BT43" s="290"/>
      <x:c r="BU43" s="290"/>
      <x:c r="BV43" s="290"/>
      <x:c r="BW43" s="290"/>
      <x:c r="BX43" s="290"/>
      <x:c r="BY43" s="290"/>
      <x:c r="BZ43" s="290"/>
      <x:c r="CA43" s="291"/>
      <x:c r="CB43" s="391"/>
      <x:c r="CC43" s="391"/>
      <x:c r="CD43" s="292"/>
      <x:c r="CE43" s="293"/>
      <x:c r="CF43" s="289"/>
      <x:c r="CG43" s="290"/>
      <x:c r="CH43" s="290"/>
      <x:c r="CI43" s="290"/>
      <x:c r="CJ43" s="290"/>
      <x:c r="CK43" s="290"/>
      <x:c r="CL43" s="290"/>
      <x:c r="CM43" s="290"/>
      <x:c r="CN43" s="290"/>
      <x:c r="CO43" s="291"/>
      <x:c r="CP43" s="431"/>
      <x:c r="CQ43" s="431"/>
      <x:c r="CR43" s="282"/>
      <x:c r="CS43" s="283"/>
      <x:c r="CT43" s="289"/>
      <x:c r="CU43" s="290"/>
      <x:c r="CV43" s="290"/>
      <x:c r="CW43" s="290"/>
      <x:c r="CX43" s="290"/>
      <x:c r="CY43" s="290"/>
      <x:c r="CZ43" s="290"/>
      <x:c r="DA43" s="290"/>
      <x:c r="DB43" s="290"/>
      <x:c r="DC43" s="291"/>
      <x:c r="DD43" s="285"/>
      <x:c r="DE43" s="285"/>
      <x:c r="DF43" s="604"/>
      <x:c r="DG43" s="605"/>
      <x:c r="DK43" s="71"/>
      <x:c r="DL43" s="71"/>
      <x:c r="DM43" s="71"/>
      <x:c r="DN43" s="71"/>
      <x:c r="DO43" s="71"/>
      <x:c r="DP43" s="71"/>
      <x:c r="DQ43" s="71"/>
      <x:c r="DR43" s="71"/>
      <x:c r="DS43" s="7"/>
      <x:c r="DT43" s="7"/>
      <x:c r="DU43" s="7"/>
      <x:c r="DV43" s="71"/>
      <x:c r="DW43" s="71"/>
      <x:c r="DX43" s="71"/>
      <x:c r="DY43" s="71"/>
      <x:c r="DZ43" s="71"/>
      <x:c r="EA43" s="71"/>
      <x:c r="EB43" s="71"/>
      <x:c r="EC43" s="71"/>
      <x:c r="ED43" s="7"/>
      <x:c r="EE43" s="7"/>
      <x:c r="EF43" s="71"/>
      <x:c r="EG43" s="71"/>
      <x:c r="EH43" s="71"/>
      <x:c r="EI43" s="71"/>
      <x:c r="EJ43" s="71"/>
      <x:c r="EK43" s="71"/>
      <x:c r="EL43" s="71"/>
      <x:c r="EM43" s="71"/>
    </x:row>
    <x:row r="44" ht="6" customHeight="1">
      <x:c r="A44" s="629"/>
      <x:c r="B44" s="630"/>
      <x:c r="C44" s="674"/>
      <x:c r="D44" s="673"/>
      <x:c r="E44" s="673"/>
      <x:c r="F44" s="673"/>
      <x:c r="G44" s="673"/>
      <x:c r="H44" s="615"/>
      <x:c r="I44" s="615"/>
      <x:c r="J44" s="615"/>
      <x:c r="K44" s="677"/>
      <x:c r="L44" s="677"/>
      <x:c r="M44" s="677"/>
      <x:c r="N44" s="677"/>
      <x:c r="O44" s="677"/>
      <x:c r="P44" s="615"/>
      <x:c r="Q44" s="615"/>
      <x:c r="R44" s="615"/>
      <x:c r="S44" s="754"/>
      <x:c r="T44" s="754"/>
      <x:c r="U44" s="754"/>
      <x:c r="V44" s="754"/>
      <x:c r="W44" s="754"/>
      <x:c r="X44" s="754"/>
      <x:c r="Y44" s="754"/>
      <x:c r="Z44" s="754"/>
      <x:c r="AA44" s="754"/>
      <x:c r="AB44" s="754"/>
      <x:c r="AC44" s="754"/>
      <x:c r="AD44" s="754"/>
      <x:c r="AE44" s="754"/>
      <x:c r="AF44" s="754"/>
      <x:c r="AG44" s="754"/>
      <x:c r="AH44" s="754"/>
      <x:c r="AI44" s="754"/>
      <x:c r="AJ44" s="754"/>
      <x:c r="AK44" s="754"/>
      <x:c r="AL44" s="754"/>
      <x:c r="AM44" s="754"/>
      <x:c r="AN44" s="754"/>
      <x:c r="AO44" s="754"/>
      <x:c r="AP44" s="754"/>
      <x:c r="AQ44" s="754"/>
      <x:c r="AR44" s="754"/>
      <x:c r="AS44" s="754"/>
      <x:c r="AT44" s="621"/>
      <x:c r="AU44" s="621"/>
      <x:c r="AV44" s="621"/>
      <x:c r="AW44" s="621"/>
      <x:c r="AX44" s="621"/>
      <x:c r="AY44" s="621"/>
      <x:c r="AZ44" s="623" t="s">
        <x:v>208</x:v>
      </x:c>
      <x:c r="BA44" s="623"/>
      <x:c r="BB44" s="624"/>
      <x:c r="BD44" s="450"/>
      <x:c r="BE44" s="287"/>
      <x:c r="BF44" s="287"/>
      <x:c r="BG44" s="287"/>
      <x:c r="BH44" s="287"/>
      <x:c r="BI44" s="287"/>
      <x:c r="BJ44" s="287"/>
      <x:c r="BK44" s="287"/>
      <x:c r="BL44" s="287"/>
      <x:c r="BM44" s="288"/>
      <x:c r="BN44" s="431"/>
      <x:c r="BO44" s="431"/>
      <x:c r="BP44" s="282"/>
      <x:c r="BQ44" s="283"/>
      <x:c r="BR44" s="450" t="s">
        <x:v>107</x:v>
      </x:c>
      <x:c r="BS44" s="287"/>
      <x:c r="BT44" s="287"/>
      <x:c r="BU44" s="287"/>
      <x:c r="BV44" s="287"/>
      <x:c r="BW44" s="287"/>
      <x:c r="BX44" s="287"/>
      <x:c r="BY44" s="287"/>
      <x:c r="BZ44" s="287"/>
      <x:c r="CA44" s="288"/>
      <x:c r="CB44" s="390"/>
      <x:c r="CC44" s="390"/>
      <x:c r="CD44" s="292"/>
      <x:c r="CE44" s="293"/>
      <x:c r="CF44" s="286" t="s">
        <x:v>94</x:v>
      </x:c>
      <x:c r="CG44" s="287"/>
      <x:c r="CH44" s="287"/>
      <x:c r="CI44" s="287"/>
      <x:c r="CJ44" s="287"/>
      <x:c r="CK44" s="287"/>
      <x:c r="CL44" s="287"/>
      <x:c r="CM44" s="287"/>
      <x:c r="CN44" s="287"/>
      <x:c r="CO44" s="288"/>
      <x:c r="CP44" s="548"/>
      <x:c r="CQ44" s="548"/>
      <x:c r="CR44" s="282"/>
      <x:c r="CS44" s="283"/>
      <x:c r="CT44" s="450"/>
      <x:c r="CU44" s="287"/>
      <x:c r="CV44" s="287"/>
      <x:c r="CW44" s="287"/>
      <x:c r="CX44" s="287"/>
      <x:c r="CY44" s="287"/>
      <x:c r="CZ44" s="287"/>
      <x:c r="DA44" s="287"/>
      <x:c r="DB44" s="287"/>
      <x:c r="DC44" s="288"/>
      <x:c r="DD44" s="284"/>
      <x:c r="DE44" s="284"/>
      <x:c r="DF44" s="604"/>
      <x:c r="DG44" s="605"/>
      <x:c r="DK44" s="71"/>
      <x:c r="DL44" s="71"/>
      <x:c r="DM44" s="71"/>
      <x:c r="DN44" s="71"/>
      <x:c r="DO44" s="71"/>
      <x:c r="DP44" s="71"/>
      <x:c r="DQ44" s="71"/>
      <x:c r="DR44" s="71"/>
      <x:c r="DS44" s="7"/>
      <x:c r="DT44" s="7"/>
      <x:c r="DU44" s="7"/>
      <x:c r="DV44" s="71"/>
      <x:c r="DW44" s="71"/>
      <x:c r="DX44" s="71"/>
      <x:c r="DY44" s="71"/>
      <x:c r="DZ44" s="71"/>
      <x:c r="EA44" s="71"/>
      <x:c r="EB44" s="71"/>
      <x:c r="EC44" s="71"/>
      <x:c r="ED44" s="7"/>
      <x:c r="EE44" s="7"/>
      <x:c r="EF44" s="71"/>
      <x:c r="EG44" s="71"/>
      <x:c r="EH44" s="71"/>
      <x:c r="EI44" s="71"/>
      <x:c r="EJ44" s="71"/>
      <x:c r="EK44" s="71"/>
      <x:c r="EL44" s="71"/>
      <x:c r="EM44" s="71"/>
    </x:row>
    <x:row r="45" ht="6" customHeight="1">
      <x:c r="A45" s="629"/>
      <x:c r="B45" s="630"/>
      <x:c r="C45" s="674"/>
      <x:c r="D45" s="673"/>
      <x:c r="E45" s="673"/>
      <x:c r="F45" s="673"/>
      <x:c r="G45" s="673"/>
      <x:c r="H45" s="616"/>
      <x:c r="I45" s="616"/>
      <x:c r="J45" s="616"/>
      <x:c r="K45" s="677"/>
      <x:c r="L45" s="677"/>
      <x:c r="M45" s="677"/>
      <x:c r="N45" s="677"/>
      <x:c r="O45" s="677"/>
      <x:c r="P45" s="616"/>
      <x:c r="Q45" s="616"/>
      <x:c r="R45" s="616"/>
      <x:c r="S45" s="755"/>
      <x:c r="T45" s="755"/>
      <x:c r="U45" s="755"/>
      <x:c r="V45" s="755"/>
      <x:c r="W45" s="755"/>
      <x:c r="X45" s="755"/>
      <x:c r="Y45" s="755"/>
      <x:c r="Z45" s="755"/>
      <x:c r="AA45" s="755"/>
      <x:c r="AB45" s="755"/>
      <x:c r="AC45" s="755"/>
      <x:c r="AD45" s="755"/>
      <x:c r="AE45" s="755"/>
      <x:c r="AF45" s="755"/>
      <x:c r="AG45" s="755"/>
      <x:c r="AH45" s="755"/>
      <x:c r="AI45" s="755"/>
      <x:c r="AJ45" s="755"/>
      <x:c r="AK45" s="755"/>
      <x:c r="AL45" s="755"/>
      <x:c r="AM45" s="755"/>
      <x:c r="AN45" s="755"/>
      <x:c r="AO45" s="755"/>
      <x:c r="AP45" s="755"/>
      <x:c r="AQ45" s="755"/>
      <x:c r="AR45" s="755"/>
      <x:c r="AS45" s="755"/>
      <x:c r="AT45" s="622"/>
      <x:c r="AU45" s="622"/>
      <x:c r="AV45" s="622"/>
      <x:c r="AW45" s="622"/>
      <x:c r="AX45" s="622"/>
      <x:c r="AY45" s="622"/>
      <x:c r="AZ45" s="625"/>
      <x:c r="BA45" s="625"/>
      <x:c r="BB45" s="626"/>
      <x:c r="BD45" s="289"/>
      <x:c r="BE45" s="290"/>
      <x:c r="BF45" s="290"/>
      <x:c r="BG45" s="290"/>
      <x:c r="BH45" s="290"/>
      <x:c r="BI45" s="290"/>
      <x:c r="BJ45" s="290"/>
      <x:c r="BK45" s="290"/>
      <x:c r="BL45" s="290"/>
      <x:c r="BM45" s="291"/>
      <x:c r="BN45" s="431"/>
      <x:c r="BO45" s="431"/>
      <x:c r="BP45" s="282"/>
      <x:c r="BQ45" s="283"/>
      <x:c r="BR45" s="289"/>
      <x:c r="BS45" s="290"/>
      <x:c r="BT45" s="290"/>
      <x:c r="BU45" s="290"/>
      <x:c r="BV45" s="290"/>
      <x:c r="BW45" s="290"/>
      <x:c r="BX45" s="290"/>
      <x:c r="BY45" s="290"/>
      <x:c r="BZ45" s="290"/>
      <x:c r="CA45" s="291"/>
      <x:c r="CB45" s="391"/>
      <x:c r="CC45" s="391"/>
      <x:c r="CD45" s="292"/>
      <x:c r="CE45" s="293"/>
      <x:c r="CF45" s="289"/>
      <x:c r="CG45" s="290"/>
      <x:c r="CH45" s="290"/>
      <x:c r="CI45" s="290"/>
      <x:c r="CJ45" s="290"/>
      <x:c r="CK45" s="290"/>
      <x:c r="CL45" s="290"/>
      <x:c r="CM45" s="290"/>
      <x:c r="CN45" s="290"/>
      <x:c r="CO45" s="291"/>
      <x:c r="CP45" s="431"/>
      <x:c r="CQ45" s="431"/>
      <x:c r="CR45" s="282"/>
      <x:c r="CS45" s="283"/>
      <x:c r="CT45" s="289"/>
      <x:c r="CU45" s="290"/>
      <x:c r="CV45" s="290"/>
      <x:c r="CW45" s="290"/>
      <x:c r="CX45" s="290"/>
      <x:c r="CY45" s="290"/>
      <x:c r="CZ45" s="290"/>
      <x:c r="DA45" s="290"/>
      <x:c r="DB45" s="290"/>
      <x:c r="DC45" s="291"/>
      <x:c r="DD45" s="285"/>
      <x:c r="DE45" s="285"/>
      <x:c r="DF45" s="604"/>
      <x:c r="DG45" s="605"/>
      <x:c r="DK45" s="71"/>
      <x:c r="DL45" s="71"/>
      <x:c r="DM45" s="71"/>
      <x:c r="DN45" s="71"/>
      <x:c r="DO45" s="71"/>
      <x:c r="DP45" s="71"/>
      <x:c r="DQ45" s="71"/>
      <x:c r="DR45" s="71"/>
      <x:c r="DS45" s="7"/>
      <x:c r="DT45" s="7"/>
      <x:c r="DU45" s="7"/>
      <x:c r="DV45" s="71"/>
      <x:c r="DW45" s="71"/>
      <x:c r="DX45" s="71"/>
      <x:c r="DY45" s="71"/>
      <x:c r="DZ45" s="71"/>
      <x:c r="EA45" s="73"/>
      <x:c r="EB45" s="73"/>
      <x:c r="EC45" s="73"/>
      <x:c r="ED45" s="7"/>
      <x:c r="EE45" s="7"/>
      <x:c r="EF45" s="71"/>
      <x:c r="EG45" s="71"/>
      <x:c r="EH45" s="71"/>
      <x:c r="EI45" s="71"/>
      <x:c r="EJ45" s="71"/>
      <x:c r="EK45" s="71"/>
      <x:c r="EL45" s="71"/>
      <x:c r="EM45" s="71"/>
    </x:row>
    <x:row r="46" ht="6" customHeight="1">
      <x:c r="A46" s="629"/>
      <x:c r="B46" s="630"/>
      <x:c r="C46" s="659"/>
      <x:c r="D46" s="660"/>
      <x:c r="E46" s="660"/>
      <x:c r="F46" s="660"/>
      <x:c r="G46" s="660"/>
      <x:c r="H46" s="660"/>
      <x:c r="I46" s="660"/>
      <x:c r="J46" s="660"/>
      <x:c r="K46" s="660"/>
      <x:c r="L46" s="660"/>
      <x:c r="M46" s="660"/>
      <x:c r="N46" s="660"/>
      <x:c r="O46" s="660"/>
      <x:c r="P46" s="660"/>
      <x:c r="Q46" s="660"/>
      <x:c r="R46" s="660"/>
      <x:c r="S46" s="660"/>
      <x:c r="T46" s="660"/>
      <x:c r="U46" s="660"/>
      <x:c r="V46" s="660"/>
      <x:c r="W46" s="660"/>
      <x:c r="X46" s="660"/>
      <x:c r="Y46" s="660"/>
      <x:c r="Z46" s="660"/>
      <x:c r="AA46" s="660"/>
      <x:c r="AB46" s="660"/>
      <x:c r="AC46" s="660"/>
      <x:c r="AD46" s="660"/>
      <x:c r="AE46" s="660"/>
      <x:c r="AF46" s="660"/>
      <x:c r="AG46" s="660"/>
      <x:c r="AH46" s="660"/>
      <x:c r="AI46" s="660"/>
      <x:c r="AJ46" s="660"/>
      <x:c r="AK46" s="661"/>
      <x:c r="AL46" s="665" t="s">
        <x:v>228</x:v>
      </x:c>
      <x:c r="AM46" s="666"/>
      <x:c r="AN46" s="666"/>
      <x:c r="AO46" s="666"/>
      <x:c r="AP46" s="666"/>
      <x:c r="AQ46" s="666"/>
      <x:c r="AR46" s="666"/>
      <x:c r="AS46" s="666"/>
      <x:c r="AT46" s="666"/>
      <x:c r="AU46" s="666"/>
      <x:c r="AV46" s="666"/>
      <x:c r="AW46" s="666"/>
      <x:c r="AX46" s="666"/>
      <x:c r="AY46" s="666"/>
      <x:c r="AZ46" s="666"/>
      <x:c r="BA46" s="666"/>
      <x:c r="BB46" s="667"/>
      <x:c r="BD46" s="450"/>
      <x:c r="BE46" s="287"/>
      <x:c r="BF46" s="287"/>
      <x:c r="BG46" s="287"/>
      <x:c r="BH46" s="287"/>
      <x:c r="BI46" s="287"/>
      <x:c r="BJ46" s="287"/>
      <x:c r="BK46" s="287"/>
      <x:c r="BL46" s="287"/>
      <x:c r="BM46" s="288"/>
      <x:c r="BN46" s="431"/>
      <x:c r="BO46" s="431"/>
      <x:c r="BP46" s="282"/>
      <x:c r="BQ46" s="283"/>
      <x:c r="BR46" s="450" t="s">
        <x:v>229</x:v>
      </x:c>
      <x:c r="BS46" s="287"/>
      <x:c r="BT46" s="287"/>
      <x:c r="BU46" s="287"/>
      <x:c r="BV46" s="287"/>
      <x:c r="BW46" s="287"/>
      <x:c r="BX46" s="287"/>
      <x:c r="BY46" s="287"/>
      <x:c r="BZ46" s="287"/>
      <x:c r="CA46" s="288"/>
      <x:c r="CB46" s="390"/>
      <x:c r="CC46" s="390"/>
      <x:c r="CD46" s="292"/>
      <x:c r="CE46" s="293"/>
      <x:c r="CF46" s="286" t="s">
        <x:v>230</x:v>
      </x:c>
      <x:c r="CG46" s="287"/>
      <x:c r="CH46" s="287"/>
      <x:c r="CI46" s="287"/>
      <x:c r="CJ46" s="287"/>
      <x:c r="CK46" s="287"/>
      <x:c r="CL46" s="287"/>
      <x:c r="CM46" s="287"/>
      <x:c r="CN46" s="287"/>
      <x:c r="CO46" s="288"/>
      <x:c r="CP46" s="284"/>
      <x:c r="CQ46" s="284"/>
      <x:c r="CR46" s="282"/>
      <x:c r="CS46" s="283"/>
      <x:c r="CT46" s="286"/>
      <x:c r="CU46" s="287"/>
      <x:c r="CV46" s="287"/>
      <x:c r="CW46" s="287"/>
      <x:c r="CX46" s="287"/>
      <x:c r="CY46" s="287"/>
      <x:c r="CZ46" s="287"/>
      <x:c r="DA46" s="287"/>
      <x:c r="DB46" s="287"/>
      <x:c r="DC46" s="288"/>
      <x:c r="DD46" s="284"/>
      <x:c r="DE46" s="284"/>
      <x:c r="DF46" s="604"/>
      <x:c r="DG46" s="605"/>
      <x:c r="DK46" s="71"/>
      <x:c r="DL46" s="71"/>
      <x:c r="DM46" s="71"/>
      <x:c r="DN46" s="71"/>
      <x:c r="DO46" s="71"/>
      <x:c r="DP46" s="71"/>
      <x:c r="DQ46" s="71"/>
      <x:c r="DR46" s="71"/>
      <x:c r="DS46" s="7"/>
      <x:c r="DT46" s="7"/>
      <x:c r="DU46" s="7"/>
      <x:c r="DV46" s="71"/>
      <x:c r="DW46" s="71"/>
      <x:c r="DX46" s="71"/>
      <x:c r="DY46" s="71"/>
      <x:c r="DZ46" s="71"/>
      <x:c r="EA46" s="73"/>
      <x:c r="EB46" s="73"/>
      <x:c r="EC46" s="73"/>
      <x:c r="ED46" s="7"/>
      <x:c r="EE46" s="7"/>
      <x:c r="EF46" s="71"/>
      <x:c r="EG46" s="71"/>
      <x:c r="EH46" s="71"/>
      <x:c r="EI46" s="71"/>
      <x:c r="EJ46" s="71"/>
      <x:c r="EK46" s="71"/>
      <x:c r="EL46" s="71"/>
      <x:c r="EM46" s="71"/>
    </x:row>
    <x:row r="47" ht="6" customHeight="1">
      <x:c r="A47" s="629"/>
      <x:c r="B47" s="630"/>
      <x:c r="C47" s="662"/>
      <x:c r="D47" s="663"/>
      <x:c r="E47" s="663"/>
      <x:c r="F47" s="663"/>
      <x:c r="G47" s="663"/>
      <x:c r="H47" s="663"/>
      <x:c r="I47" s="663"/>
      <x:c r="J47" s="663"/>
      <x:c r="K47" s="663"/>
      <x:c r="L47" s="663"/>
      <x:c r="M47" s="663"/>
      <x:c r="N47" s="663"/>
      <x:c r="O47" s="663"/>
      <x:c r="P47" s="663"/>
      <x:c r="Q47" s="663"/>
      <x:c r="R47" s="663"/>
      <x:c r="S47" s="663"/>
      <x:c r="T47" s="663"/>
      <x:c r="U47" s="663"/>
      <x:c r="V47" s="663"/>
      <x:c r="W47" s="663"/>
      <x:c r="X47" s="663"/>
      <x:c r="Y47" s="663"/>
      <x:c r="Z47" s="663"/>
      <x:c r="AA47" s="663"/>
      <x:c r="AB47" s="663"/>
      <x:c r="AC47" s="663"/>
      <x:c r="AD47" s="663"/>
      <x:c r="AE47" s="663"/>
      <x:c r="AF47" s="663"/>
      <x:c r="AG47" s="663"/>
      <x:c r="AH47" s="663"/>
      <x:c r="AI47" s="663"/>
      <x:c r="AJ47" s="663"/>
      <x:c r="AK47" s="664"/>
      <x:c r="AL47" s="668"/>
      <x:c r="AM47" s="669"/>
      <x:c r="AN47" s="669"/>
      <x:c r="AO47" s="669"/>
      <x:c r="AP47" s="669"/>
      <x:c r="AQ47" s="669"/>
      <x:c r="AR47" s="669"/>
      <x:c r="AS47" s="669"/>
      <x:c r="AT47" s="669"/>
      <x:c r="AU47" s="669"/>
      <x:c r="AV47" s="669"/>
      <x:c r="AW47" s="669"/>
      <x:c r="AX47" s="669"/>
      <x:c r="AY47" s="669"/>
      <x:c r="AZ47" s="669"/>
      <x:c r="BA47" s="669"/>
      <x:c r="BB47" s="670"/>
      <x:c r="BD47" s="289"/>
      <x:c r="BE47" s="290"/>
      <x:c r="BF47" s="290"/>
      <x:c r="BG47" s="290"/>
      <x:c r="BH47" s="290"/>
      <x:c r="BI47" s="290"/>
      <x:c r="BJ47" s="290"/>
      <x:c r="BK47" s="290"/>
      <x:c r="BL47" s="290"/>
      <x:c r="BM47" s="291"/>
      <x:c r="BN47" s="431"/>
      <x:c r="BO47" s="431"/>
      <x:c r="BP47" s="282"/>
      <x:c r="BQ47" s="283"/>
      <x:c r="BR47" s="289"/>
      <x:c r="BS47" s="290"/>
      <x:c r="BT47" s="290"/>
      <x:c r="BU47" s="290"/>
      <x:c r="BV47" s="290"/>
      <x:c r="BW47" s="290"/>
      <x:c r="BX47" s="290"/>
      <x:c r="BY47" s="290"/>
      <x:c r="BZ47" s="290"/>
      <x:c r="CA47" s="291"/>
      <x:c r="CB47" s="391"/>
      <x:c r="CC47" s="391"/>
      <x:c r="CD47" s="292"/>
      <x:c r="CE47" s="293"/>
      <x:c r="CF47" s="289"/>
      <x:c r="CG47" s="290"/>
      <x:c r="CH47" s="290"/>
      <x:c r="CI47" s="290"/>
      <x:c r="CJ47" s="290"/>
      <x:c r="CK47" s="290"/>
      <x:c r="CL47" s="290"/>
      <x:c r="CM47" s="290"/>
      <x:c r="CN47" s="290"/>
      <x:c r="CO47" s="291"/>
      <x:c r="CP47" s="285"/>
      <x:c r="CQ47" s="285"/>
      <x:c r="CR47" s="282"/>
      <x:c r="CS47" s="283"/>
      <x:c r="CT47" s="289"/>
      <x:c r="CU47" s="290"/>
      <x:c r="CV47" s="290"/>
      <x:c r="CW47" s="290"/>
      <x:c r="CX47" s="290"/>
      <x:c r="CY47" s="290"/>
      <x:c r="CZ47" s="290"/>
      <x:c r="DA47" s="290"/>
      <x:c r="DB47" s="290"/>
      <x:c r="DC47" s="291"/>
      <x:c r="DD47" s="285"/>
      <x:c r="DE47" s="285"/>
      <x:c r="DF47" s="604"/>
      <x:c r="DG47" s="605"/>
      <x:c r="DK47" s="71"/>
      <x:c r="DL47" s="71"/>
      <x:c r="DM47" s="71"/>
      <x:c r="DN47" s="71"/>
      <x:c r="DO47" s="71"/>
      <x:c r="DP47" s="71"/>
      <x:c r="DQ47" s="71"/>
      <x:c r="DR47" s="71"/>
      <x:c r="DS47" s="7"/>
      <x:c r="DT47" s="7"/>
      <x:c r="DU47" s="7"/>
      <x:c r="DV47" s="71"/>
      <x:c r="DW47" s="71"/>
      <x:c r="DX47" s="71"/>
      <x:c r="DY47" s="71"/>
      <x:c r="DZ47" s="71"/>
      <x:c r="EA47" s="71"/>
      <x:c r="EB47" s="71"/>
      <x:c r="EC47" s="71"/>
      <x:c r="ED47" s="7"/>
      <x:c r="EE47" s="7"/>
      <x:c r="EF47" s="71"/>
      <x:c r="EG47" s="71"/>
      <x:c r="EH47" s="71"/>
      <x:c r="EI47" s="71"/>
      <x:c r="EJ47" s="71"/>
      <x:c r="EK47" s="71"/>
      <x:c r="EL47" s="71"/>
      <x:c r="EM47" s="71"/>
    </x:row>
    <x:row r="48" ht="6" customHeight="1">
      <x:c r="A48" s="629"/>
      <x:c r="B48" s="630"/>
      <x:c r="C48" s="633"/>
      <x:c r="D48" s="634"/>
      <x:c r="E48" s="634"/>
      <x:c r="F48" s="634"/>
      <x:c r="G48" s="634"/>
      <x:c r="H48" s="634"/>
      <x:c r="I48" s="634"/>
      <x:c r="J48" s="634"/>
      <x:c r="K48" s="634"/>
      <x:c r="L48" s="634"/>
      <x:c r="M48" s="634"/>
      <x:c r="N48" s="634"/>
      <x:c r="O48" s="634"/>
      <x:c r="P48" s="634"/>
      <x:c r="Q48" s="634"/>
      <x:c r="R48" s="635"/>
      <x:c r="S48" s="641" t="s">
        <x:v>168</x:v>
      </x:c>
      <x:c r="T48" s="343"/>
      <x:c r="U48" s="644" t="s">
        <x:v>214</x:v>
      </x:c>
      <x:c r="V48" s="432"/>
      <x:c r="W48" s="432"/>
      <x:c r="X48" s="432"/>
      <x:c r="Y48" s="444"/>
      <x:c r="Z48" s="445"/>
      <x:c r="AA48" s="445"/>
      <x:c r="AB48" s="445"/>
      <x:c r="AC48" s="445"/>
      <x:c r="AD48" s="445"/>
      <x:c r="AE48" s="445"/>
      <x:c r="AF48" s="445"/>
      <x:c r="AG48" s="445"/>
      <x:c r="AH48" s="445"/>
      <x:c r="AI48" s="445"/>
      <x:c r="AJ48" s="445"/>
      <x:c r="AK48" s="446"/>
      <x:c r="AL48" s="744"/>
      <x:c r="AM48" s="745"/>
      <x:c r="AN48" s="745"/>
      <x:c r="AO48" s="745"/>
      <x:c r="AP48" s="745"/>
      <x:c r="AQ48" s="745"/>
      <x:c r="AR48" s="745"/>
      <x:c r="AS48" s="745"/>
      <x:c r="AT48" s="745"/>
      <x:c r="AU48" s="745"/>
      <x:c r="AV48" s="745"/>
      <x:c r="AW48" s="745"/>
      <x:c r="AX48" s="745"/>
      <x:c r="AY48" s="745"/>
      <x:c r="AZ48" s="745"/>
      <x:c r="BA48" s="745"/>
      <x:c r="BB48" s="746"/>
      <x:c r="BD48" s="450"/>
      <x:c r="BE48" s="287"/>
      <x:c r="BF48" s="287"/>
      <x:c r="BG48" s="287"/>
      <x:c r="BH48" s="287"/>
      <x:c r="BI48" s="287"/>
      <x:c r="BJ48" s="287"/>
      <x:c r="BK48" s="287"/>
      <x:c r="BL48" s="287"/>
      <x:c r="BM48" s="288"/>
      <x:c r="BN48" s="431"/>
      <x:c r="BO48" s="431"/>
      <x:c r="BP48" s="282"/>
      <x:c r="BQ48" s="283"/>
      <x:c r="BR48" s="450" t="s">
        <x:v>82</x:v>
      </x:c>
      <x:c r="BS48" s="287"/>
      <x:c r="BT48" s="287"/>
      <x:c r="BU48" s="287"/>
      <x:c r="BV48" s="287"/>
      <x:c r="BW48" s="287"/>
      <x:c r="BX48" s="287"/>
      <x:c r="BY48" s="287"/>
      <x:c r="BZ48" s="287"/>
      <x:c r="CA48" s="288"/>
      <x:c r="CB48" s="391"/>
      <x:c r="CC48" s="391"/>
      <x:c r="CD48" s="292"/>
      <x:c r="CE48" s="293"/>
      <x:c r="CF48" s="450"/>
      <x:c r="CG48" s="287"/>
      <x:c r="CH48" s="287"/>
      <x:c r="CI48" s="287"/>
      <x:c r="CJ48" s="287"/>
      <x:c r="CK48" s="287"/>
      <x:c r="CL48" s="287"/>
      <x:c r="CM48" s="287"/>
      <x:c r="CN48" s="287"/>
      <x:c r="CO48" s="288"/>
      <x:c r="CP48" s="285"/>
      <x:c r="CQ48" s="285"/>
      <x:c r="CR48" s="282"/>
      <x:c r="CS48" s="283"/>
      <x:c r="CT48" s="286"/>
      <x:c r="CU48" s="287"/>
      <x:c r="CV48" s="287"/>
      <x:c r="CW48" s="287"/>
      <x:c r="CX48" s="287"/>
      <x:c r="CY48" s="287"/>
      <x:c r="CZ48" s="287"/>
      <x:c r="DA48" s="287"/>
      <x:c r="DB48" s="287"/>
      <x:c r="DC48" s="288"/>
      <x:c r="DD48" s="284"/>
      <x:c r="DE48" s="284"/>
      <x:c r="DF48" s="604"/>
      <x:c r="DG48" s="605"/>
      <x:c r="DK48" s="71"/>
      <x:c r="DL48" s="71"/>
      <x:c r="DM48" s="71"/>
      <x:c r="DN48" s="71"/>
      <x:c r="DO48" s="71"/>
      <x:c r="DP48" s="71"/>
      <x:c r="DQ48" s="71"/>
      <x:c r="DR48" s="71"/>
      <x:c r="DS48" s="7"/>
      <x:c r="DT48" s="7"/>
      <x:c r="DU48" s="7"/>
      <x:c r="DV48" s="71"/>
      <x:c r="DW48" s="71"/>
      <x:c r="DX48" s="71"/>
      <x:c r="DY48" s="71"/>
      <x:c r="DZ48" s="71"/>
      <x:c r="EA48" s="71"/>
      <x:c r="EB48" s="71"/>
      <x:c r="EC48" s="71"/>
      <x:c r="ED48" s="7"/>
      <x:c r="EE48" s="7"/>
      <x:c r="EF48" s="71"/>
      <x:c r="EG48" s="71"/>
      <x:c r="EH48" s="71"/>
      <x:c r="EI48" s="71"/>
      <x:c r="EJ48" s="71"/>
      <x:c r="EK48" s="71"/>
      <x:c r="EL48" s="71"/>
      <x:c r="EM48" s="71"/>
    </x:row>
    <x:row r="49" ht="6" customHeight="1">
      <x:c r="A49" s="629"/>
      <x:c r="B49" s="630"/>
      <x:c r="C49" s="636"/>
      <x:c r="D49" s="637"/>
      <x:c r="E49" s="637"/>
      <x:c r="F49" s="637"/>
      <x:c r="G49" s="637"/>
      <x:c r="H49" s="637"/>
      <x:c r="I49" s="637"/>
      <x:c r="J49" s="637"/>
      <x:c r="K49" s="637"/>
      <x:c r="L49" s="637"/>
      <x:c r="M49" s="637"/>
      <x:c r="N49" s="637"/>
      <x:c r="O49" s="637"/>
      <x:c r="P49" s="637"/>
      <x:c r="Q49" s="637"/>
      <x:c r="R49" s="638"/>
      <x:c r="S49" s="642"/>
      <x:c r="T49" s="346"/>
      <x:c r="U49" s="432"/>
      <x:c r="V49" s="432"/>
      <x:c r="W49" s="432"/>
      <x:c r="X49" s="432"/>
      <x:c r="Y49" s="725"/>
      <x:c r="Z49" s="726"/>
      <x:c r="AA49" s="726"/>
      <x:c r="AB49" s="726"/>
      <x:c r="AC49" s="726"/>
      <x:c r="AD49" s="726"/>
      <x:c r="AE49" s="726"/>
      <x:c r="AF49" s="726"/>
      <x:c r="AG49" s="726"/>
      <x:c r="AH49" s="726"/>
      <x:c r="AI49" s="726"/>
      <x:c r="AJ49" s="726"/>
      <x:c r="AK49" s="727"/>
      <x:c r="AL49" s="747"/>
      <x:c r="AM49" s="748"/>
      <x:c r="AN49" s="748"/>
      <x:c r="AO49" s="748"/>
      <x:c r="AP49" s="748"/>
      <x:c r="AQ49" s="748"/>
      <x:c r="AR49" s="748"/>
      <x:c r="AS49" s="748"/>
      <x:c r="AT49" s="748"/>
      <x:c r="AU49" s="748"/>
      <x:c r="AV49" s="748"/>
      <x:c r="AW49" s="748"/>
      <x:c r="AX49" s="748"/>
      <x:c r="AY49" s="748"/>
      <x:c r="AZ49" s="748"/>
      <x:c r="BA49" s="748"/>
      <x:c r="BB49" s="749"/>
      <x:c r="BD49" s="289"/>
      <x:c r="BE49" s="290"/>
      <x:c r="BF49" s="290"/>
      <x:c r="BG49" s="290"/>
      <x:c r="BH49" s="290"/>
      <x:c r="BI49" s="290"/>
      <x:c r="BJ49" s="290"/>
      <x:c r="BK49" s="290"/>
      <x:c r="BL49" s="290"/>
      <x:c r="BM49" s="291"/>
      <x:c r="BN49" s="431"/>
      <x:c r="BO49" s="431"/>
      <x:c r="BP49" s="282"/>
      <x:c r="BQ49" s="283"/>
      <x:c r="BR49" s="289"/>
      <x:c r="BS49" s="290"/>
      <x:c r="BT49" s="290"/>
      <x:c r="BU49" s="290"/>
      <x:c r="BV49" s="290"/>
      <x:c r="BW49" s="290"/>
      <x:c r="BX49" s="290"/>
      <x:c r="BY49" s="290"/>
      <x:c r="BZ49" s="290"/>
      <x:c r="CA49" s="291"/>
      <x:c r="CB49" s="391"/>
      <x:c r="CC49" s="391"/>
      <x:c r="CD49" s="292"/>
      <x:c r="CE49" s="293"/>
      <x:c r="CF49" s="289"/>
      <x:c r="CG49" s="290"/>
      <x:c r="CH49" s="290"/>
      <x:c r="CI49" s="290"/>
      <x:c r="CJ49" s="290"/>
      <x:c r="CK49" s="290"/>
      <x:c r="CL49" s="290"/>
      <x:c r="CM49" s="290"/>
      <x:c r="CN49" s="290"/>
      <x:c r="CO49" s="291"/>
      <x:c r="CP49" s="285"/>
      <x:c r="CQ49" s="285"/>
      <x:c r="CR49" s="282"/>
      <x:c r="CS49" s="283"/>
      <x:c r="CT49" s="289"/>
      <x:c r="CU49" s="290"/>
      <x:c r="CV49" s="290"/>
      <x:c r="CW49" s="290"/>
      <x:c r="CX49" s="290"/>
      <x:c r="CY49" s="290"/>
      <x:c r="CZ49" s="290"/>
      <x:c r="DA49" s="290"/>
      <x:c r="DB49" s="290"/>
      <x:c r="DC49" s="291"/>
      <x:c r="DD49" s="285"/>
      <x:c r="DE49" s="285"/>
      <x:c r="DF49" s="604"/>
      <x:c r="DG49" s="605"/>
      <x:c r="DK49" s="71"/>
      <x:c r="DL49" s="71"/>
      <x:c r="DM49" s="71"/>
      <x:c r="DN49" s="71"/>
      <x:c r="DO49" s="71"/>
      <x:c r="DP49" s="71"/>
      <x:c r="DQ49" s="71"/>
      <x:c r="DR49" s="71"/>
      <x:c r="DS49" s="7"/>
      <x:c r="DT49" s="7"/>
      <x:c r="DU49" s="7"/>
      <x:c r="DV49" s="71"/>
      <x:c r="DW49" s="71"/>
      <x:c r="DX49" s="71"/>
      <x:c r="DY49" s="71"/>
      <x:c r="DZ49" s="71"/>
      <x:c r="EA49" s="71"/>
      <x:c r="EB49" s="71"/>
      <x:c r="EC49" s="71"/>
      <x:c r="ED49" s="7"/>
      <x:c r="EE49" s="7"/>
      <x:c r="EF49" s="71"/>
      <x:c r="EG49" s="71"/>
      <x:c r="EH49" s="71"/>
      <x:c r="EI49" s="71"/>
      <x:c r="EJ49" s="71"/>
      <x:c r="EK49" s="71"/>
      <x:c r="EL49" s="71"/>
      <x:c r="EM49" s="71"/>
    </x:row>
    <x:row r="50" ht="6" customHeight="1">
      <x:c r="A50" s="629"/>
      <x:c r="B50" s="630"/>
      <x:c r="C50" s="636"/>
      <x:c r="D50" s="637"/>
      <x:c r="E50" s="637"/>
      <x:c r="F50" s="637"/>
      <x:c r="G50" s="637"/>
      <x:c r="H50" s="637"/>
      <x:c r="I50" s="637"/>
      <x:c r="J50" s="637"/>
      <x:c r="K50" s="637"/>
      <x:c r="L50" s="637"/>
      <x:c r="M50" s="637"/>
      <x:c r="N50" s="637"/>
      <x:c r="O50" s="637"/>
      <x:c r="P50" s="637"/>
      <x:c r="Q50" s="637"/>
      <x:c r="R50" s="638"/>
      <x:c r="S50" s="642"/>
      <x:c r="T50" s="346"/>
      <x:c r="U50" s="432" t="s">
        <x:v>216</x:v>
      </x:c>
      <x:c r="V50" s="432"/>
      <x:c r="W50" s="432"/>
      <x:c r="X50" s="432"/>
      <x:c r="Y50" s="444"/>
      <x:c r="Z50" s="445"/>
      <x:c r="AA50" s="445"/>
      <x:c r="AB50" s="445"/>
      <x:c r="AC50" s="445"/>
      <x:c r="AD50" s="445"/>
      <x:c r="AE50" s="445"/>
      <x:c r="AF50" s="445"/>
      <x:c r="AG50" s="445"/>
      <x:c r="AH50" s="445"/>
      <x:c r="AI50" s="445"/>
      <x:c r="AJ50" s="445"/>
      <x:c r="AK50" s="446"/>
      <x:c r="AL50" s="747"/>
      <x:c r="AM50" s="748"/>
      <x:c r="AN50" s="748"/>
      <x:c r="AO50" s="748"/>
      <x:c r="AP50" s="748"/>
      <x:c r="AQ50" s="748"/>
      <x:c r="AR50" s="748"/>
      <x:c r="AS50" s="748"/>
      <x:c r="AT50" s="748"/>
      <x:c r="AU50" s="748"/>
      <x:c r="AV50" s="748"/>
      <x:c r="AW50" s="748"/>
      <x:c r="AX50" s="748"/>
      <x:c r="AY50" s="748"/>
      <x:c r="AZ50" s="748"/>
      <x:c r="BA50" s="748"/>
      <x:c r="BB50" s="749"/>
      <x:c r="BD50" s="450"/>
      <x:c r="BE50" s="287"/>
      <x:c r="BF50" s="287"/>
      <x:c r="BG50" s="287"/>
      <x:c r="BH50" s="287"/>
      <x:c r="BI50" s="287"/>
      <x:c r="BJ50" s="287"/>
      <x:c r="BK50" s="287"/>
      <x:c r="BL50" s="287"/>
      <x:c r="BM50" s="288"/>
      <x:c r="BN50" s="431"/>
      <x:c r="BO50" s="431"/>
      <x:c r="BP50" s="282"/>
      <x:c r="BQ50" s="283"/>
      <x:c r="BR50" s="450" t="s">
        <x:v>106</x:v>
      </x:c>
      <x:c r="BS50" s="287"/>
      <x:c r="BT50" s="287"/>
      <x:c r="BU50" s="287"/>
      <x:c r="BV50" s="287"/>
      <x:c r="BW50" s="287"/>
      <x:c r="BX50" s="287"/>
      <x:c r="BY50" s="287"/>
      <x:c r="BZ50" s="287"/>
      <x:c r="CA50" s="288"/>
      <x:c r="CB50" s="390"/>
      <x:c r="CC50" s="390"/>
      <x:c r="CD50" s="292"/>
      <x:c r="CE50" s="293"/>
      <x:c r="CF50" s="450"/>
      <x:c r="CG50" s="287"/>
      <x:c r="CH50" s="287"/>
      <x:c r="CI50" s="287"/>
      <x:c r="CJ50" s="287"/>
      <x:c r="CK50" s="287"/>
      <x:c r="CL50" s="287"/>
      <x:c r="CM50" s="287"/>
      <x:c r="CN50" s="287"/>
      <x:c r="CO50" s="288"/>
      <x:c r="CP50" s="284"/>
      <x:c r="CQ50" s="284"/>
      <x:c r="CR50" s="282"/>
      <x:c r="CS50" s="283"/>
      <x:c r="CT50" s="773" t="s">
        <x:v>9</x:v>
      </x:c>
      <x:c r="CU50" s="774"/>
      <x:c r="CV50" s="774"/>
      <x:c r="CW50" s="774"/>
      <x:c r="CX50" s="774"/>
      <x:c r="CY50" s="774"/>
      <x:c r="CZ50" s="774"/>
      <x:c r="DA50" s="774"/>
      <x:c r="DB50" s="774"/>
      <x:c r="DC50" s="775"/>
      <x:c r="DD50" s="729"/>
      <x:c r="DE50" s="729"/>
      <x:c r="DF50" s="604"/>
      <x:c r="DG50" s="605"/>
      <x:c r="DK50" s="71"/>
      <x:c r="DL50" s="71"/>
      <x:c r="DM50" s="71"/>
      <x:c r="DN50" s="71"/>
      <x:c r="DO50" s="71"/>
      <x:c r="DP50" s="71"/>
      <x:c r="DQ50" s="71"/>
      <x:c r="DR50" s="71"/>
      <x:c r="DS50" s="7"/>
      <x:c r="DT50" s="7"/>
      <x:c r="DU50" s="7"/>
      <x:c r="DV50" s="71"/>
      <x:c r="DW50" s="71"/>
      <x:c r="DX50" s="71"/>
      <x:c r="DY50" s="71"/>
      <x:c r="DZ50" s="71"/>
      <x:c r="EA50" s="71"/>
      <x:c r="EB50" s="71"/>
      <x:c r="EC50" s="71"/>
      <x:c r="ED50" s="7"/>
      <x:c r="EE50" s="7"/>
      <x:c r="EF50" s="71"/>
      <x:c r="EG50" s="71"/>
      <x:c r="EH50" s="71"/>
      <x:c r="EI50" s="71"/>
      <x:c r="EJ50" s="71"/>
      <x:c r="EK50" s="71"/>
      <x:c r="EL50" s="71"/>
      <x:c r="EM50" s="71"/>
    </x:row>
    <x:row r="51" ht="6" customHeight="1">
      <x:c r="A51" s="631"/>
      <x:c r="B51" s="632"/>
      <x:c r="C51" s="790"/>
      <x:c r="D51" s="791"/>
      <x:c r="E51" s="791"/>
      <x:c r="F51" s="791"/>
      <x:c r="G51" s="791"/>
      <x:c r="H51" s="791"/>
      <x:c r="I51" s="791"/>
      <x:c r="J51" s="791"/>
      <x:c r="K51" s="791"/>
      <x:c r="L51" s="791"/>
      <x:c r="M51" s="791"/>
      <x:c r="N51" s="791"/>
      <x:c r="O51" s="791"/>
      <x:c r="P51" s="791"/>
      <x:c r="Q51" s="791"/>
      <x:c r="R51" s="792"/>
      <x:c r="S51" s="495"/>
      <x:c r="T51" s="349"/>
      <x:c r="U51" s="443"/>
      <x:c r="V51" s="443"/>
      <x:c r="W51" s="443"/>
      <x:c r="X51" s="443"/>
      <x:c r="Y51" s="447"/>
      <x:c r="Z51" s="448"/>
      <x:c r="AA51" s="448"/>
      <x:c r="AB51" s="448"/>
      <x:c r="AC51" s="448"/>
      <x:c r="AD51" s="448"/>
      <x:c r="AE51" s="448"/>
      <x:c r="AF51" s="448"/>
      <x:c r="AG51" s="448"/>
      <x:c r="AH51" s="448"/>
      <x:c r="AI51" s="448"/>
      <x:c r="AJ51" s="448"/>
      <x:c r="AK51" s="449"/>
      <x:c r="AL51" s="750"/>
      <x:c r="AM51" s="751"/>
      <x:c r="AN51" s="751"/>
      <x:c r="AO51" s="751"/>
      <x:c r="AP51" s="751"/>
      <x:c r="AQ51" s="751"/>
      <x:c r="AR51" s="751"/>
      <x:c r="AS51" s="751"/>
      <x:c r="AT51" s="751"/>
      <x:c r="AU51" s="751"/>
      <x:c r="AV51" s="751"/>
      <x:c r="AW51" s="751"/>
      <x:c r="AX51" s="751"/>
      <x:c r="AY51" s="751"/>
      <x:c r="AZ51" s="751"/>
      <x:c r="BA51" s="751"/>
      <x:c r="BB51" s="752"/>
      <x:c r="BD51" s="741"/>
      <x:c r="BE51" s="742"/>
      <x:c r="BF51" s="742"/>
      <x:c r="BG51" s="742"/>
      <x:c r="BH51" s="742"/>
      <x:c r="BI51" s="742"/>
      <x:c r="BJ51" s="742"/>
      <x:c r="BK51" s="742"/>
      <x:c r="BL51" s="742"/>
      <x:c r="BM51" s="743"/>
      <x:c r="BN51" s="451"/>
      <x:c r="BO51" s="451"/>
      <x:c r="BP51" s="452"/>
      <x:c r="BQ51" s="453"/>
      <x:c r="BR51" s="741"/>
      <x:c r="BS51" s="742"/>
      <x:c r="BT51" s="742"/>
      <x:c r="BU51" s="742"/>
      <x:c r="BV51" s="742"/>
      <x:c r="BW51" s="742"/>
      <x:c r="BX51" s="742"/>
      <x:c r="BY51" s="742"/>
      <x:c r="BZ51" s="742"/>
      <x:c r="CA51" s="743"/>
      <x:c r="CB51" s="767"/>
      <x:c r="CC51" s="767"/>
      <x:c r="CD51" s="779"/>
      <x:c r="CE51" s="780"/>
      <x:c r="CF51" s="741"/>
      <x:c r="CG51" s="742"/>
      <x:c r="CH51" s="742"/>
      <x:c r="CI51" s="742"/>
      <x:c r="CJ51" s="742"/>
      <x:c r="CK51" s="742"/>
      <x:c r="CL51" s="742"/>
      <x:c r="CM51" s="742"/>
      <x:c r="CN51" s="742"/>
      <x:c r="CO51" s="743"/>
      <x:c r="CP51" s="766"/>
      <x:c r="CQ51" s="766"/>
      <x:c r="CR51" s="452"/>
      <x:c r="CS51" s="453"/>
      <x:c r="CT51" s="776"/>
      <x:c r="CU51" s="777"/>
      <x:c r="CV51" s="777"/>
      <x:c r="CW51" s="777"/>
      <x:c r="CX51" s="777"/>
      <x:c r="CY51" s="777"/>
      <x:c r="CZ51" s="777"/>
      <x:c r="DA51" s="777"/>
      <x:c r="DB51" s="777"/>
      <x:c r="DC51" s="778"/>
      <x:c r="DD51" s="772"/>
      <x:c r="DE51" s="772"/>
      <x:c r="DF51" s="764"/>
      <x:c r="DG51" s="765"/>
      <x:c r="DK51" s="78"/>
      <x:c r="DL51" s="79"/>
      <x:c r="DM51" s="79"/>
      <x:c r="DN51" s="79"/>
      <x:c r="DO51" s="79"/>
      <x:c r="DP51" s="79"/>
      <x:c r="DQ51" s="79"/>
      <x:c r="DR51" s="79"/>
      <x:c r="DS51" s="7"/>
      <x:c r="DT51" s="7"/>
      <x:c r="DU51" s="7"/>
      <x:c r="DV51" s="71"/>
      <x:c r="DW51" s="71"/>
      <x:c r="DX51" s="71"/>
      <x:c r="DY51" s="71"/>
      <x:c r="DZ51" s="71"/>
      <x:c r="EA51" s="71"/>
      <x:c r="EB51" s="71"/>
      <x:c r="EC51" s="71"/>
      <x:c r="ED51" s="7"/>
      <x:c r="EE51" s="7"/>
      <x:c r="EF51" s="76"/>
      <x:c r="EG51" s="77"/>
      <x:c r="EH51" s="77"/>
      <x:c r="EI51" s="77"/>
      <x:c r="EJ51" s="77"/>
      <x:c r="EK51" s="77"/>
      <x:c r="EL51" s="77"/>
      <x:c r="EM51" s="77"/>
    </x:row>
    <x:row r="52" ht="6" customHeight="1">
      <x:c r="AV52" s="6" t="n">
        <x:f>IF(AO52&gt;=1,(AO52*AB52*5500),(AB52*34500))</x:f>
        <x:v>0</x:v>
      </x:c>
      <x:c r="BA52" s="7"/>
      <x:c r="BB52" s="18"/>
      <x:c r="BD52" s="92"/>
      <x:c r="BE52" s="92"/>
      <x:c r="BF52" s="92"/>
      <x:c r="BG52" s="92"/>
      <x:c r="BH52" s="92"/>
      <x:c r="BI52" s="92"/>
      <x:c r="BJ52" s="92"/>
      <x:c r="BK52" s="92"/>
      <x:c r="BL52" s="92"/>
      <x:c r="BM52" s="92"/>
      <x:c r="BN52" s="96"/>
      <x:c r="BO52" s="96"/>
      <x:c r="BP52" s="91"/>
      <x:c r="BQ52" s="91"/>
      <x:c r="BR52" s="92"/>
      <x:c r="BS52" s="92"/>
      <x:c r="BT52" s="92"/>
      <x:c r="BU52" s="92"/>
      <x:c r="BV52" s="92"/>
      <x:c r="BW52" s="92"/>
      <x:c r="BX52" s="92"/>
      <x:c r="BY52" s="92"/>
      <x:c r="BZ52" s="92"/>
      <x:c r="CA52" s="92"/>
      <x:c r="CB52" s="97"/>
      <x:c r="CC52" s="97"/>
      <x:c r="CD52" s="93"/>
      <x:c r="CE52" s="93"/>
      <x:c r="CF52" s="92"/>
      <x:c r="CG52" s="92"/>
      <x:c r="CH52" s="92"/>
      <x:c r="CI52" s="92"/>
      <x:c r="CJ52" s="92"/>
      <x:c r="CK52" s="92"/>
      <x:c r="CL52" s="92"/>
      <x:c r="CM52" s="92"/>
      <x:c r="CN52" s="92"/>
      <x:c r="CO52" s="92"/>
      <x:c r="CP52" s="98"/>
      <x:c r="CQ52" s="98"/>
      <x:c r="CR52" s="91"/>
      <x:c r="CS52" s="91"/>
      <x:c r="CT52" s="99"/>
      <x:c r="CU52" s="99"/>
      <x:c r="CV52" s="99"/>
      <x:c r="CW52" s="99"/>
      <x:c r="CX52" s="99"/>
      <x:c r="CY52" s="99"/>
      <x:c r="CZ52" s="99"/>
      <x:c r="DA52" s="99"/>
      <x:c r="DB52" s="99"/>
      <x:c r="DC52" s="99"/>
      <x:c r="DD52" s="100"/>
      <x:c r="DE52" s="100"/>
      <x:c r="DF52" s="90"/>
      <x:c r="DG52" s="90"/>
      <x:c r="DK52" s="79"/>
      <x:c r="DL52" s="79"/>
      <x:c r="DM52" s="79"/>
      <x:c r="DN52" s="79"/>
      <x:c r="DO52" s="79"/>
      <x:c r="DP52" s="79"/>
      <x:c r="DQ52" s="79"/>
      <x:c r="DR52" s="79"/>
      <x:c r="DS52" s="7"/>
      <x:c r="DT52" s="7"/>
      <x:c r="DU52" s="7"/>
      <x:c r="DV52" s="71"/>
      <x:c r="DW52" s="71"/>
      <x:c r="DX52" s="71"/>
      <x:c r="DY52" s="71"/>
      <x:c r="DZ52" s="71"/>
      <x:c r="EA52" s="71"/>
      <x:c r="EB52" s="71"/>
      <x:c r="EC52" s="71"/>
      <x:c r="ED52" s="7"/>
      <x:c r="EE52" s="7"/>
      <x:c r="EF52" s="77"/>
      <x:c r="EG52" s="77"/>
      <x:c r="EH52" s="77"/>
      <x:c r="EI52" s="77"/>
      <x:c r="EJ52" s="77"/>
      <x:c r="EK52" s="77"/>
      <x:c r="EL52" s="77"/>
      <x:c r="EM52" s="77"/>
    </x:row>
    <x:row r="53" ht="6" customHeight="1">
      <x:c r="A53" s="392" t="s">
        <x:v>231</x:v>
      </x:c>
      <x:c r="B53" s="393"/>
      <x:c r="C53" s="393"/>
      <x:c r="D53" s="393"/>
      <x:c r="E53" s="393"/>
      <x:c r="F53" s="393"/>
      <x:c r="G53" s="393"/>
      <x:c r="H53" s="393"/>
      <x:c r="I53" s="393"/>
      <x:c r="J53" s="393"/>
      <x:c r="K53" s="393"/>
      <x:c r="L53" s="393"/>
      <x:c r="M53" s="393"/>
      <x:c r="N53" s="393"/>
      <x:c r="O53" s="393"/>
      <x:c r="P53" s="393"/>
      <x:c r="Q53" s="394"/>
      <x:c r="S53" s="784" t="s">
        <x:v>232</x:v>
      </x:c>
      <x:c r="T53" s="785"/>
      <x:c r="U53" s="422">
        <x:v>2</x:v>
      </x:c>
      <x:c r="V53" s="423"/>
      <x:c r="W53" s="423"/>
      <x:c r="X53" s="423"/>
      <x:c r="Y53" s="423" t="s">
        <x:v>233</x:v>
      </x:c>
      <x:c r="Z53" s="423"/>
      <x:c r="AA53" s="423"/>
      <x:c r="AB53" s="423"/>
      <x:c r="AC53" s="423"/>
      <x:c r="AD53" s="423"/>
      <x:c r="AE53" s="423"/>
      <x:c r="AF53" s="423" t="s">
        <x:v>234</x:v>
      </x:c>
      <x:c r="AG53" s="423"/>
      <x:c r="AH53" s="423"/>
      <x:c r="AI53" s="423"/>
      <x:c r="AJ53" s="423"/>
      <x:c r="AK53" s="423"/>
      <x:c r="AL53" s="423" t="s">
        <x:v>235</x:v>
      </x:c>
      <x:c r="AM53" s="423"/>
      <x:c r="AN53" s="423"/>
      <x:c r="AO53" s="423"/>
      <x:c r="AP53" s="423"/>
      <x:c r="AQ53" s="423"/>
      <x:c r="AR53" s="423"/>
      <x:c r="AS53" s="756" t="s">
        <x:v>236</x:v>
      </x:c>
      <x:c r="AT53" s="756"/>
      <x:c r="AU53" s="757"/>
      <x:c r="AV53" s="759" t="e">
        <x:f>IF(AH53&gt;=1,INDEX(長距離料金表!$C$3:$F$1902,MATCH(AH53,長距離料金表!$B$3:$B$1902,0),MATCH(U53,長距離料金表!$C$2:$F$2,0))*見積書!AB53,IF(AO53&gt;=1,(AO53*AB53*5500),(AB53*34500)))</x:f>
      </x:c>
      <x:c r="AW53" s="759"/>
      <x:c r="AX53" s="759"/>
      <x:c r="AY53" s="759"/>
      <x:c r="AZ53" s="759"/>
      <x:c r="BA53" s="759"/>
      <x:c r="BB53" s="760"/>
      <x:c r="DK53" s="71"/>
      <x:c r="DL53" s="71"/>
      <x:c r="DM53" s="71"/>
      <x:c r="DN53" s="71"/>
      <x:c r="DO53" s="71"/>
      <x:c r="DP53" s="71"/>
      <x:c r="DQ53" s="71"/>
      <x:c r="DR53" s="71"/>
      <x:c r="DS53" s="7"/>
      <x:c r="DT53" s="7"/>
      <x:c r="DU53" s="7"/>
      <x:c r="DV53" s="71"/>
      <x:c r="DW53" s="71"/>
      <x:c r="DX53" s="71"/>
      <x:c r="DY53" s="71"/>
      <x:c r="DZ53" s="71"/>
      <x:c r="EA53" s="71"/>
      <x:c r="EB53" s="71"/>
      <x:c r="EC53" s="71"/>
      <x:c r="ED53" s="7"/>
      <x:c r="EE53" s="7"/>
      <x:c r="EF53" s="71"/>
      <x:c r="EG53" s="71"/>
      <x:c r="EH53" s="71"/>
      <x:c r="EI53" s="71"/>
      <x:c r="EJ53" s="71"/>
      <x:c r="EK53" s="71"/>
      <x:c r="EL53" s="71"/>
      <x:c r="EM53" s="71"/>
    </x:row>
    <x:row r="54" ht="6" customHeight="1">
      <x:c r="A54" s="781"/>
      <x:c r="B54" s="782"/>
      <x:c r="C54" s="782"/>
      <x:c r="D54" s="782"/>
      <x:c r="E54" s="782"/>
      <x:c r="F54" s="782"/>
      <x:c r="G54" s="782"/>
      <x:c r="H54" s="782"/>
      <x:c r="I54" s="782"/>
      <x:c r="J54" s="782"/>
      <x:c r="K54" s="782"/>
      <x:c r="L54" s="782"/>
      <x:c r="M54" s="782"/>
      <x:c r="N54" s="782"/>
      <x:c r="O54" s="782"/>
      <x:c r="P54" s="782"/>
      <x:c r="Q54" s="783"/>
      <x:c r="S54" s="786"/>
      <x:c r="T54" s="787"/>
      <x:c r="U54" s="771"/>
      <x:c r="V54" s="763"/>
      <x:c r="W54" s="763"/>
      <x:c r="X54" s="763"/>
      <x:c r="Y54" s="763"/>
      <x:c r="Z54" s="763"/>
      <x:c r="AA54" s="763"/>
      <x:c r="AB54" s="763"/>
      <x:c r="AC54" s="763"/>
      <x:c r="AD54" s="763"/>
      <x:c r="AE54" s="763"/>
      <x:c r="AF54" s="763"/>
      <x:c r="AG54" s="763"/>
      <x:c r="AH54" s="429"/>
      <x:c r="AI54" s="429"/>
      <x:c r="AJ54" s="429"/>
      <x:c r="AK54" s="429"/>
      <x:c r="AL54" s="763"/>
      <x:c r="AM54" s="763"/>
      <x:c r="AN54" s="763"/>
      <x:c r="AO54" s="763"/>
      <x:c r="AP54" s="763"/>
      <x:c r="AQ54" s="763"/>
      <x:c r="AR54" s="763"/>
      <x:c r="AS54" s="669"/>
      <x:c r="AT54" s="669"/>
      <x:c r="AU54" s="758"/>
      <x:c r="AV54" s="761"/>
      <x:c r="AW54" s="761"/>
      <x:c r="AX54" s="761"/>
      <x:c r="AY54" s="761"/>
      <x:c r="AZ54" s="761"/>
      <x:c r="BA54" s="761"/>
      <x:c r="BB54" s="762"/>
      <x:c r="BD54" s="263" t="s">
        <x:v>237</x:v>
      </x:c>
      <x:c r="BE54" s="264"/>
      <x:c r="BF54" s="264"/>
      <x:c r="BG54" s="264"/>
      <x:c r="BH54" s="264"/>
      <x:c r="BI54" s="264"/>
      <x:c r="BJ54" s="264"/>
      <x:c r="BK54" s="264"/>
      <x:c r="BL54" s="264"/>
      <x:c r="BM54" s="264"/>
      <x:c r="BN54" s="264"/>
      <x:c r="BO54" s="264"/>
      <x:c r="BP54" s="264"/>
      <x:c r="BQ54" s="264"/>
      <x:c r="BR54" s="264"/>
      <x:c r="BS54" s="264"/>
      <x:c r="BT54" s="264"/>
      <x:c r="BU54" s="264"/>
      <x:c r="BV54" s="264"/>
      <x:c r="BW54" s="264"/>
      <x:c r="BX54" s="264"/>
      <x:c r="BY54" s="264"/>
      <x:c r="BZ54" s="264"/>
      <x:c r="CA54" s="264"/>
      <x:c r="CB54" s="264"/>
      <x:c r="CC54" s="264"/>
      <x:c r="CD54" s="264"/>
      <x:c r="CE54" s="265"/>
      <x:c r="CG54" s="815"/>
      <x:c r="CH54" s="375" t="s">
        <x:v>238</x:v>
      </x:c>
      <x:c r="CI54" s="375"/>
      <x:c r="CJ54" s="375"/>
      <x:c r="CK54" s="375"/>
      <x:c r="CL54" s="375"/>
      <x:c r="CM54" s="375"/>
      <x:c r="CN54" s="375"/>
      <x:c r="CO54" s="375"/>
      <x:c r="CP54" s="103"/>
      <x:c r="CQ54" s="103"/>
      <x:c r="CR54" s="103"/>
      <x:c r="CS54" s="103"/>
      <x:c r="CT54" s="103"/>
      <x:c r="CU54" s="103"/>
      <x:c r="CV54" s="103"/>
      <x:c r="CW54" s="103"/>
      <x:c r="CX54" s="103"/>
      <x:c r="CY54" s="103"/>
      <x:c r="CZ54" s="103"/>
      <x:c r="DA54" s="103"/>
      <x:c r="DB54" s="103"/>
      <x:c r="DC54" s="103"/>
      <x:c r="DD54" s="103"/>
      <x:c r="DE54" s="103"/>
      <x:c r="DF54" s="103"/>
      <x:c r="DG54" s="933"/>
      <x:c r="DK54" s="71"/>
      <x:c r="DL54" s="71"/>
      <x:c r="DM54" s="71"/>
      <x:c r="DN54" s="71"/>
      <x:c r="DO54" s="71"/>
      <x:c r="DP54" s="71"/>
      <x:c r="DQ54" s="71"/>
      <x:c r="DR54" s="71"/>
      <x:c r="DS54" s="7"/>
      <x:c r="DT54" s="7"/>
      <x:c r="DU54" s="7"/>
      <x:c r="DV54" s="71"/>
      <x:c r="DW54" s="71"/>
      <x:c r="DX54" s="71"/>
      <x:c r="DY54" s="71"/>
      <x:c r="DZ54" s="71"/>
      <x:c r="EA54" s="71"/>
      <x:c r="EB54" s="71"/>
      <x:c r="EC54" s="71"/>
      <x:c r="ED54" s="7"/>
      <x:c r="EE54" s="7"/>
      <x:c r="EF54" s="71"/>
      <x:c r="EG54" s="71"/>
      <x:c r="EH54" s="71"/>
      <x:c r="EI54" s="71"/>
      <x:c r="EJ54" s="71"/>
      <x:c r="EK54" s="71"/>
      <x:c r="EL54" s="71"/>
      <x:c r="EM54" s="71"/>
    </x:row>
    <x:row r="55" ht="6" customHeight="1">
      <x:c r="A55" s="950" t="s">
        <x:v>4</x:v>
      </x:c>
      <x:c r="B55" s="951"/>
      <x:c r="C55" s="951"/>
      <x:c r="D55" s="951"/>
      <x:c r="E55" s="951"/>
      <x:c r="F55" s="952"/>
      <x:c r="G55" s="768" t="s">
        <x:v>239</x:v>
      </x:c>
      <x:c r="H55" s="768"/>
      <x:c r="I55" s="768"/>
      <x:c r="J55" s="768"/>
      <x:c r="K55" s="768"/>
      <x:c r="L55" s="769"/>
      <x:c r="M55" s="769"/>
      <x:c r="N55" s="769"/>
      <x:c r="O55" s="769"/>
      <x:c r="P55" s="769"/>
      <x:c r="Q55" s="770"/>
      <x:c r="S55" s="786"/>
      <x:c r="T55" s="787"/>
      <x:c r="U55" s="422">
        <x:v>3</x:v>
      </x:c>
      <x:c r="V55" s="423"/>
      <x:c r="W55" s="423"/>
      <x:c r="X55" s="423"/>
      <x:c r="Y55" s="423" t="s">
        <x:v>233</x:v>
      </x:c>
      <x:c r="Z55" s="423"/>
      <x:c r="AA55" s="423"/>
      <x:c r="AB55" s="423"/>
      <x:c r="AC55" s="423"/>
      <x:c r="AD55" s="423"/>
      <x:c r="AE55" s="423"/>
      <x:c r="AF55" s="423" t="s">
        <x:v>234</x:v>
      </x:c>
      <x:c r="AG55" s="423"/>
      <x:c r="AH55" s="423"/>
      <x:c r="AI55" s="423"/>
      <x:c r="AJ55" s="423"/>
      <x:c r="AK55" s="423"/>
      <x:c r="AL55" s="423" t="s">
        <x:v>235</x:v>
      </x:c>
      <x:c r="AM55" s="423"/>
      <x:c r="AN55" s="423"/>
      <x:c r="AO55" s="423"/>
      <x:c r="AP55" s="423"/>
      <x:c r="AQ55" s="423"/>
      <x:c r="AR55" s="423"/>
      <x:c r="AS55" s="756" t="s">
        <x:v>236</x:v>
      </x:c>
      <x:c r="AT55" s="756"/>
      <x:c r="AU55" s="757"/>
      <x:c r="AV55" s="759" t="e">
        <x:f>IF(AH55&gt;=1,INDEX(長距離料金表!$C$3:$F$1902,MATCH(AH55,長距離料金表!$B$3:$B$1902,0),MATCH(U55,長距離料金表!$C$2:$F$2,0))*見積書!AB55,IF(AO55&gt;=1,(AO55*AB55*5500),(AB55*36500)))</x:f>
      </x:c>
      <x:c r="AW55" s="759"/>
      <x:c r="AX55" s="759"/>
      <x:c r="AY55" s="759"/>
      <x:c r="AZ55" s="759"/>
      <x:c r="BA55" s="759"/>
      <x:c r="BB55" s="760"/>
      <x:c r="BD55" s="407"/>
      <x:c r="BE55" s="408"/>
      <x:c r="BF55" s="408"/>
      <x:c r="BG55" s="408"/>
      <x:c r="BH55" s="408"/>
      <x:c r="BI55" s="408"/>
      <x:c r="BJ55" s="408"/>
      <x:c r="BK55" s="408"/>
      <x:c r="BL55" s="408"/>
      <x:c r="BM55" s="408"/>
      <x:c r="BN55" s="408"/>
      <x:c r="BO55" s="408"/>
      <x:c r="BP55" s="408"/>
      <x:c r="BQ55" s="408"/>
      <x:c r="BR55" s="408"/>
      <x:c r="BS55" s="408"/>
      <x:c r="BT55" s="408"/>
      <x:c r="BU55" s="408"/>
      <x:c r="BV55" s="408"/>
      <x:c r="BW55" s="408"/>
      <x:c r="BX55" s="408"/>
      <x:c r="BY55" s="408"/>
      <x:c r="BZ55" s="408"/>
      <x:c r="CA55" s="408"/>
      <x:c r="CB55" s="408"/>
      <x:c r="CC55" s="408"/>
      <x:c r="CD55" s="408"/>
      <x:c r="CE55" s="814"/>
      <x:c r="CG55" s="816"/>
      <x:c r="CH55" s="377"/>
      <x:c r="CI55" s="377"/>
      <x:c r="CJ55" s="377"/>
      <x:c r="CK55" s="377"/>
      <x:c r="CL55" s="377"/>
      <x:c r="CM55" s="377"/>
      <x:c r="CN55" s="377"/>
      <x:c r="CO55" s="377"/>
      <x:c r="CP55" s="1042"/>
      <x:c r="CQ55" s="1042"/>
      <x:c r="CR55" s="1042"/>
      <x:c r="CS55" s="1042"/>
      <x:c r="CT55" s="1042"/>
      <x:c r="CU55" s="1042"/>
      <x:c r="CV55" s="1042"/>
      <x:c r="CW55" s="1042"/>
      <x:c r="CX55" s="1042"/>
      <x:c r="CY55" s="1042"/>
      <x:c r="CZ55" s="1042"/>
      <x:c r="DA55" s="1042"/>
      <x:c r="DB55" s="1042"/>
      <x:c r="DC55" s="1042"/>
      <x:c r="DD55" s="1042"/>
      <x:c r="DE55" s="1042"/>
      <x:c r="DF55" s="1042"/>
      <x:c r="DG55" s="934"/>
      <x:c r="DK55" s="7"/>
      <x:c r="DL55" s="7"/>
      <x:c r="DM55" s="7"/>
      <x:c r="DN55" s="7"/>
      <x:c r="DO55" s="7"/>
      <x:c r="DP55" s="7"/>
      <x:c r="DQ55" s="7"/>
      <x:c r="DR55" s="7"/>
      <x:c r="DS55" s="7"/>
      <x:c r="DT55" s="7"/>
      <x:c r="DU55" s="7"/>
      <x:c r="DV55" s="7"/>
      <x:c r="DW55" s="7"/>
      <x:c r="DX55" s="7"/>
      <x:c r="DY55" s="7"/>
      <x:c r="DZ55" s="7"/>
      <x:c r="EA55" s="7"/>
      <x:c r="EB55" s="7"/>
      <x:c r="EC55" s="7"/>
      <x:c r="ED55" s="7"/>
      <x:c r="EE55" s="7"/>
      <x:c r="EF55" s="71"/>
      <x:c r="EG55" s="71"/>
      <x:c r="EH55" s="71"/>
      <x:c r="EI55" s="71"/>
      <x:c r="EJ55" s="71"/>
      <x:c r="EK55" s="71"/>
      <x:c r="EL55" s="71"/>
      <x:c r="EM55" s="71"/>
    </x:row>
    <x:row r="56" ht="6" customHeight="1">
      <x:c r="A56" s="781"/>
      <x:c r="B56" s="782"/>
      <x:c r="C56" s="782"/>
      <x:c r="D56" s="782"/>
      <x:c r="E56" s="782"/>
      <x:c r="F56" s="843"/>
      <x:c r="G56" s="768"/>
      <x:c r="H56" s="768"/>
      <x:c r="I56" s="768"/>
      <x:c r="J56" s="768"/>
      <x:c r="K56" s="768"/>
      <x:c r="L56" s="769"/>
      <x:c r="M56" s="769"/>
      <x:c r="N56" s="769"/>
      <x:c r="O56" s="769"/>
      <x:c r="P56" s="769"/>
      <x:c r="Q56" s="770"/>
      <x:c r="S56" s="786"/>
      <x:c r="T56" s="787"/>
      <x:c r="U56" s="771"/>
      <x:c r="V56" s="763"/>
      <x:c r="W56" s="763"/>
      <x:c r="X56" s="763"/>
      <x:c r="Y56" s="763"/>
      <x:c r="Z56" s="763"/>
      <x:c r="AA56" s="763"/>
      <x:c r="AB56" s="763"/>
      <x:c r="AC56" s="763"/>
      <x:c r="AD56" s="763"/>
      <x:c r="AE56" s="763"/>
      <x:c r="AF56" s="763"/>
      <x:c r="AG56" s="763"/>
      <x:c r="AH56" s="763"/>
      <x:c r="AI56" s="763"/>
      <x:c r="AJ56" s="763"/>
      <x:c r="AK56" s="763"/>
      <x:c r="AL56" s="763"/>
      <x:c r="AM56" s="763"/>
      <x:c r="AN56" s="763"/>
      <x:c r="AO56" s="763"/>
      <x:c r="AP56" s="763"/>
      <x:c r="AQ56" s="763"/>
      <x:c r="AR56" s="763"/>
      <x:c r="AS56" s="669"/>
      <x:c r="AT56" s="669"/>
      <x:c r="AU56" s="758"/>
      <x:c r="AV56" s="761"/>
      <x:c r="AW56" s="761"/>
      <x:c r="AX56" s="761"/>
      <x:c r="AY56" s="761"/>
      <x:c r="AZ56" s="761"/>
      <x:c r="BA56" s="761"/>
      <x:c r="BB56" s="762"/>
      <x:c r="BD56" s="266"/>
      <x:c r="BE56" s="267"/>
      <x:c r="BF56" s="267"/>
      <x:c r="BG56" s="267"/>
      <x:c r="BH56" s="267"/>
      <x:c r="BI56" s="267"/>
      <x:c r="BJ56" s="267"/>
      <x:c r="BK56" s="267"/>
      <x:c r="BL56" s="267"/>
      <x:c r="BM56" s="267"/>
      <x:c r="BN56" s="267"/>
      <x:c r="BO56" s="267"/>
      <x:c r="BP56" s="267"/>
      <x:c r="BQ56" s="267"/>
      <x:c r="BR56" s="267"/>
      <x:c r="BS56" s="267"/>
      <x:c r="BT56" s="267"/>
      <x:c r="BU56" s="267"/>
      <x:c r="BV56" s="267"/>
      <x:c r="BW56" s="267"/>
      <x:c r="BX56" s="267"/>
      <x:c r="BY56" s="267"/>
      <x:c r="BZ56" s="267"/>
      <x:c r="CA56" s="267"/>
      <x:c r="CB56" s="267"/>
      <x:c r="CC56" s="267"/>
      <x:c r="CD56" s="267"/>
      <x:c r="CE56" s="268"/>
      <x:c r="CG56" s="816"/>
      <x:c r="CH56" s="377"/>
      <x:c r="CI56" s="377"/>
      <x:c r="CJ56" s="377"/>
      <x:c r="CK56" s="377"/>
      <x:c r="CL56" s="377"/>
      <x:c r="CM56" s="377"/>
      <x:c r="CN56" s="377"/>
      <x:c r="CO56" s="377"/>
      <x:c r="CP56" s="1042"/>
      <x:c r="CQ56" s="1042"/>
      <x:c r="CR56" s="1042"/>
      <x:c r="CS56" s="1042"/>
      <x:c r="CT56" s="1042"/>
      <x:c r="CU56" s="1042"/>
      <x:c r="CV56" s="1042"/>
      <x:c r="CW56" s="1042"/>
      <x:c r="CX56" s="1042"/>
      <x:c r="CY56" s="1042"/>
      <x:c r="CZ56" s="1042"/>
      <x:c r="DA56" s="1042"/>
      <x:c r="DB56" s="1042"/>
      <x:c r="DC56" s="1042"/>
      <x:c r="DD56" s="1042"/>
      <x:c r="DE56" s="1042"/>
      <x:c r="DF56" s="1042"/>
      <x:c r="DG56" s="934"/>
      <x:c r="DK56" s="7"/>
      <x:c r="DL56" s="7"/>
      <x:c r="DM56" s="7"/>
      <x:c r="DN56" s="7"/>
      <x:c r="DO56" s="7"/>
      <x:c r="DP56" s="7"/>
      <x:c r="DQ56" s="7"/>
      <x:c r="DR56" s="7"/>
      <x:c r="DS56" s="7"/>
      <x:c r="DT56" s="7"/>
      <x:c r="DU56" s="7"/>
      <x:c r="DV56" s="7"/>
      <x:c r="DW56" s="7"/>
      <x:c r="DX56" s="7"/>
      <x:c r="DY56" s="7"/>
      <x:c r="DZ56" s="7"/>
      <x:c r="EA56" s="7"/>
      <x:c r="EB56" s="7"/>
      <x:c r="EC56" s="7"/>
      <x:c r="ED56" s="7"/>
      <x:c r="EE56" s="7"/>
      <x:c r="EF56" s="71"/>
      <x:c r="EG56" s="71"/>
      <x:c r="EH56" s="71"/>
      <x:c r="EI56" s="71"/>
      <x:c r="EJ56" s="71"/>
      <x:c r="EK56" s="71"/>
      <x:c r="EL56" s="71"/>
      <x:c r="EM56" s="71"/>
    </x:row>
    <x:row r="57" ht="6" customHeight="1">
      <x:c r="A57" s="793" t="s">
        <x:v>152</x:v>
      </x:c>
      <x:c r="B57" s="794"/>
      <x:c r="C57" s="794"/>
      <x:c r="D57" s="794"/>
      <x:c r="E57" s="794"/>
      <x:c r="F57" s="795"/>
      <x:c r="G57" s="799"/>
      <x:c r="H57" s="799"/>
      <x:c r="I57" s="799"/>
      <x:c r="J57" s="799"/>
      <x:c r="K57" s="799"/>
      <x:c r="L57" s="800" t="s">
        <x:v>240</x:v>
      </x:c>
      <x:c r="M57" s="801"/>
      <x:c r="N57" s="801"/>
      <x:c r="O57" s="801"/>
      <x:c r="P57" s="801"/>
      <x:c r="Q57" s="802"/>
      <x:c r="S57" s="786"/>
      <x:c r="T57" s="787"/>
      <x:c r="U57" s="422">
        <x:v>4</x:v>
      </x:c>
      <x:c r="V57" s="423"/>
      <x:c r="W57" s="423"/>
      <x:c r="X57" s="423"/>
      <x:c r="Y57" s="423" t="s">
        <x:v>233</x:v>
      </x:c>
      <x:c r="Z57" s="423"/>
      <x:c r="AA57" s="423"/>
      <x:c r="AB57" s="423"/>
      <x:c r="AC57" s="423"/>
      <x:c r="AD57" s="423"/>
      <x:c r="AE57" s="423"/>
      <x:c r="AF57" s="423" t="s">
        <x:v>234</x:v>
      </x:c>
      <x:c r="AG57" s="423"/>
      <x:c r="AH57" s="423"/>
      <x:c r="AI57" s="423"/>
      <x:c r="AJ57" s="423"/>
      <x:c r="AK57" s="423"/>
      <x:c r="AL57" s="423" t="s">
        <x:v>235</x:v>
      </x:c>
      <x:c r="AM57" s="423"/>
      <x:c r="AN57" s="423"/>
      <x:c r="AO57" s="423"/>
      <x:c r="AP57" s="423"/>
      <x:c r="AQ57" s="423"/>
      <x:c r="AR57" s="423"/>
      <x:c r="AS57" s="756" t="s">
        <x:v>236</x:v>
      </x:c>
      <x:c r="AT57" s="756"/>
      <x:c r="AU57" s="757"/>
      <x:c r="AV57" s="759" t="e">
        <x:f>IF(AH57&gt;=1,INDEX(長距離料金表!$C$3:$F$1902,MATCH(AH57,長距離料金表!$B$3:$B$1902,0),MATCH(U57,長距離料金表!$C$2:$F$2,0))*見積書!AB57,IF(AO57&gt;=1,(AO57*AB57*5500),(AB57*40500)))</x:f>
      </x:c>
      <x:c r="AW57" s="759"/>
      <x:c r="AX57" s="759"/>
      <x:c r="AY57" s="759"/>
      <x:c r="AZ57" s="759"/>
      <x:c r="BA57" s="759"/>
      <x:c r="BB57" s="760"/>
      <x:c r="BD57" s="810" t="s">
        <x:v>241</x:v>
      </x:c>
      <x:c r="BE57" s="811"/>
      <x:c r="BF57" s="811"/>
      <x:c r="BG57" s="811"/>
      <x:c r="BH57" s="811"/>
      <x:c r="BI57" s="811"/>
      <x:c r="BJ57" s="811"/>
      <x:c r="BK57" s="811"/>
      <x:c r="BL57" s="811"/>
      <x:c r="BM57" s="811"/>
      <x:c r="BN57" s="811"/>
      <x:c r="BO57" s="811"/>
      <x:c r="BP57" s="811"/>
      <x:c r="BQ57" s="811"/>
      <x:c r="BR57" s="811"/>
      <x:c r="BS57" s="811"/>
      <x:c r="BT57" s="811"/>
      <x:c r="BU57" s="811"/>
      <x:c r="BV57" s="805"/>
      <x:c r="BW57" s="806"/>
      <x:c r="BX57" s="806"/>
      <x:c r="BY57" s="806"/>
      <x:c r="BZ57" s="806"/>
      <x:c r="CA57" s="806"/>
      <x:c r="CB57" s="806"/>
      <x:c r="CC57" s="806"/>
      <x:c r="CD57" s="806"/>
      <x:c r="CE57" s="808"/>
      <x:c r="CG57" s="816"/>
      <x:c r="CH57" s="377"/>
      <x:c r="CI57" s="377"/>
      <x:c r="CJ57" s="377"/>
      <x:c r="CK57" s="377"/>
      <x:c r="CL57" s="377"/>
      <x:c r="CM57" s="377"/>
      <x:c r="CN57" s="377"/>
      <x:c r="CO57" s="377"/>
      <x:c r="CP57" s="1042"/>
      <x:c r="CQ57" s="1042"/>
      <x:c r="CR57" s="1042"/>
      <x:c r="CS57" s="1042"/>
      <x:c r="CT57" s="1042"/>
      <x:c r="CU57" s="1042"/>
      <x:c r="CV57" s="1042"/>
      <x:c r="CW57" s="1042"/>
      <x:c r="CX57" s="1042"/>
      <x:c r="CY57" s="1042"/>
      <x:c r="CZ57" s="1042"/>
      <x:c r="DA57" s="1042"/>
      <x:c r="DB57" s="1042"/>
      <x:c r="DC57" s="1042"/>
      <x:c r="DD57" s="1042"/>
      <x:c r="DE57" s="1042"/>
      <x:c r="DF57" s="1042"/>
      <x:c r="DG57" s="934"/>
    </x:row>
    <x:row r="58" ht="6" customHeight="1">
      <x:c r="A58" s="796"/>
      <x:c r="B58" s="797"/>
      <x:c r="C58" s="797"/>
      <x:c r="D58" s="797"/>
      <x:c r="E58" s="797"/>
      <x:c r="F58" s="798"/>
      <x:c r="G58" s="799"/>
      <x:c r="H58" s="799"/>
      <x:c r="I58" s="799"/>
      <x:c r="J58" s="799"/>
      <x:c r="K58" s="799"/>
      <x:c r="L58" s="801"/>
      <x:c r="M58" s="801"/>
      <x:c r="N58" s="801"/>
      <x:c r="O58" s="801"/>
      <x:c r="P58" s="801"/>
      <x:c r="Q58" s="802"/>
      <x:c r="S58" s="786"/>
      <x:c r="T58" s="787"/>
      <x:c r="U58" s="771"/>
      <x:c r="V58" s="763"/>
      <x:c r="W58" s="763"/>
      <x:c r="X58" s="763"/>
      <x:c r="Y58" s="763"/>
      <x:c r="Z58" s="763"/>
      <x:c r="AA58" s="763"/>
      <x:c r="AB58" s="763"/>
      <x:c r="AC58" s="763"/>
      <x:c r="AD58" s="763"/>
      <x:c r="AE58" s="763"/>
      <x:c r="AF58" s="763"/>
      <x:c r="AG58" s="763"/>
      <x:c r="AH58" s="763"/>
      <x:c r="AI58" s="763"/>
      <x:c r="AJ58" s="763"/>
      <x:c r="AK58" s="763"/>
      <x:c r="AL58" s="763"/>
      <x:c r="AM58" s="763"/>
      <x:c r="AN58" s="763"/>
      <x:c r="AO58" s="763"/>
      <x:c r="AP58" s="763"/>
      <x:c r="AQ58" s="763"/>
      <x:c r="AR58" s="763"/>
      <x:c r="AS58" s="669"/>
      <x:c r="AT58" s="669"/>
      <x:c r="AU58" s="758"/>
      <x:c r="AV58" s="761"/>
      <x:c r="AW58" s="761"/>
      <x:c r="AX58" s="761"/>
      <x:c r="AY58" s="761"/>
      <x:c r="AZ58" s="761"/>
      <x:c r="BA58" s="761"/>
      <x:c r="BB58" s="762"/>
      <x:c r="BD58" s="812"/>
      <x:c r="BE58" s="813"/>
      <x:c r="BF58" s="813"/>
      <x:c r="BG58" s="813"/>
      <x:c r="BH58" s="813"/>
      <x:c r="BI58" s="813"/>
      <x:c r="BJ58" s="813"/>
      <x:c r="BK58" s="813"/>
      <x:c r="BL58" s="813"/>
      <x:c r="BM58" s="813"/>
      <x:c r="BN58" s="813"/>
      <x:c r="BO58" s="813"/>
      <x:c r="BP58" s="813"/>
      <x:c r="BQ58" s="813"/>
      <x:c r="BR58" s="813"/>
      <x:c r="BS58" s="813"/>
      <x:c r="BT58" s="813"/>
      <x:c r="BU58" s="813"/>
      <x:c r="BV58" s="807"/>
      <x:c r="BW58" s="807"/>
      <x:c r="BX58" s="807"/>
      <x:c r="BY58" s="807"/>
      <x:c r="BZ58" s="807"/>
      <x:c r="CA58" s="807"/>
      <x:c r="CB58" s="807"/>
      <x:c r="CC58" s="807"/>
      <x:c r="CD58" s="807"/>
      <x:c r="CE58" s="809"/>
      <x:c r="CG58" s="816"/>
      <x:c r="CH58" s="377"/>
      <x:c r="CI58" s="377"/>
      <x:c r="CJ58" s="377"/>
      <x:c r="CK58" s="377"/>
      <x:c r="CL58" s="377"/>
      <x:c r="CM58" s="377"/>
      <x:c r="CN58" s="377"/>
      <x:c r="CO58" s="377"/>
      <x:c r="CP58" s="377"/>
      <x:c r="CQ58" s="377"/>
      <x:c r="CR58" s="377"/>
      <x:c r="CS58" s="377"/>
      <x:c r="CT58" s="377"/>
      <x:c r="CU58" s="377"/>
      <x:c r="CV58" s="377"/>
      <x:c r="CW58" s="377"/>
      <x:c r="CX58" s="377"/>
      <x:c r="CY58" s="377"/>
      <x:c r="CZ58" s="377"/>
      <x:c r="DA58" s="377"/>
      <x:c r="DB58" s="377"/>
      <x:c r="DC58" s="377"/>
      <x:c r="DD58" s="377"/>
      <x:c r="DE58" s="377"/>
      <x:c r="DF58" s="377"/>
      <x:c r="DG58" s="934"/>
      <x:c r="DN58" s="9"/>
      <x:c r="DO58" s="9"/>
      <x:c r="DP58" s="9"/>
      <x:c r="DQ58" s="9"/>
      <x:c r="DR58" s="9"/>
      <x:c r="DS58" s="9"/>
      <x:c r="DT58" s="9"/>
      <x:c r="DU58" s="9"/>
      <x:c r="DV58" s="9"/>
      <x:c r="DW58" s="9"/>
      <x:c r="DX58" s="9"/>
      <x:c r="DY58" s="9"/>
      <x:c r="DZ58" s="9"/>
      <x:c r="EA58" s="9"/>
      <x:c r="EB58" s="9"/>
      <x:c r="EC58" s="9"/>
      <x:c r="ED58" s="9"/>
      <x:c r="EE58" s="9"/>
      <x:c r="EF58" s="9"/>
      <x:c r="EG58" s="9"/>
      <x:c r="EH58" s="9"/>
      <x:c r="EI58" s="9"/>
      <x:c r="EJ58" s="9"/>
      <x:c r="EK58" s="9"/>
      <x:c r="EL58" s="9"/>
      <x:c r="EM58" s="9"/>
    </x:row>
    <x:row r="59" ht="6" customHeight="1">
      <x:c r="A59" s="793" t="s">
        <x:v>153</x:v>
      </x:c>
      <x:c r="B59" s="794"/>
      <x:c r="C59" s="794"/>
      <x:c r="D59" s="794"/>
      <x:c r="E59" s="794"/>
      <x:c r="F59" s="795"/>
      <x:c r="G59" s="799"/>
      <x:c r="H59" s="799"/>
      <x:c r="I59" s="799"/>
      <x:c r="J59" s="799"/>
      <x:c r="K59" s="799"/>
      <x:c r="L59" s="800" t="s">
        <x:v>240</x:v>
      </x:c>
      <x:c r="M59" s="801"/>
      <x:c r="N59" s="801"/>
      <x:c r="O59" s="801"/>
      <x:c r="P59" s="801"/>
      <x:c r="Q59" s="802"/>
      <x:c r="S59" s="786"/>
      <x:c r="T59" s="787"/>
      <x:c r="U59" s="422">
        <x:v>1</x:v>
      </x:c>
      <x:c r="V59" s="423"/>
      <x:c r="W59" s="423"/>
      <x:c r="X59" s="423"/>
      <x:c r="Y59" s="423" t="s">
        <x:v>233</x:v>
      </x:c>
      <x:c r="Z59" s="423"/>
      <x:c r="AA59" s="423"/>
      <x:c r="AB59" s="423"/>
      <x:c r="AC59" s="423"/>
      <x:c r="AD59" s="423"/>
      <x:c r="AE59" s="423"/>
      <x:c r="AF59" s="423" t="s">
        <x:v>234</x:v>
      </x:c>
      <x:c r="AG59" s="423"/>
      <x:c r="AH59" s="423"/>
      <x:c r="AI59" s="423"/>
      <x:c r="AJ59" s="423"/>
      <x:c r="AK59" s="423"/>
      <x:c r="AL59" s="423" t="s">
        <x:v>235</x:v>
      </x:c>
      <x:c r="AM59" s="423"/>
      <x:c r="AN59" s="423"/>
      <x:c r="AO59" s="423"/>
      <x:c r="AP59" s="423"/>
      <x:c r="AQ59" s="423"/>
      <x:c r="AR59" s="423"/>
      <x:c r="AS59" s="756" t="s">
        <x:v>236</x:v>
      </x:c>
      <x:c r="AT59" s="756"/>
      <x:c r="AU59" s="757"/>
      <x:c r="AV59" s="759" t="e">
        <x:f>IF(AH59&gt;=1,INDEX(長距離料金表!$C$3:$F$1902,MATCH(AH59,長距離料金表!$B$3:$B$1902,0),MATCH(U59,長距離料金表!$C$2:$F$2,0))*見積書!AB59,IF(AO59&gt;=1,(AO59*AB59*5500),(AB59*31000)))</x:f>
      </x:c>
      <x:c r="AW59" s="759"/>
      <x:c r="AX59" s="759"/>
      <x:c r="AY59" s="759"/>
      <x:c r="AZ59" s="759"/>
      <x:c r="BA59" s="759"/>
      <x:c r="BB59" s="760"/>
      <x:c r="BD59" s="812" t="s">
        <x:v>242</x:v>
      </x:c>
      <x:c r="BE59" s="813"/>
      <x:c r="BF59" s="813"/>
      <x:c r="BG59" s="813"/>
      <x:c r="BH59" s="813"/>
      <x:c r="BI59" s="813"/>
      <x:c r="BJ59" s="813"/>
      <x:c r="BK59" s="813"/>
      <x:c r="BL59" s="813"/>
      <x:c r="BM59" s="813"/>
      <x:c r="BN59" s="813"/>
      <x:c r="BO59" s="813"/>
      <x:c r="BP59" s="813"/>
      <x:c r="BQ59" s="813"/>
      <x:c r="BR59" s="813"/>
      <x:c r="BS59" s="813"/>
      <x:c r="BT59" s="813"/>
      <x:c r="BU59" s="813"/>
      <x:c r="BV59" s="805"/>
      <x:c r="BW59" s="806"/>
      <x:c r="BX59" s="806"/>
      <x:c r="BY59" s="806"/>
      <x:c r="BZ59" s="806"/>
      <x:c r="CA59" s="806"/>
      <x:c r="CB59" s="806"/>
      <x:c r="CC59" s="806"/>
      <x:c r="CD59" s="806"/>
      <x:c r="CE59" s="808"/>
      <x:c r="CG59" s="816"/>
      <x:c r="CH59" s="377"/>
      <x:c r="CI59" s="377"/>
      <x:c r="CJ59" s="377"/>
      <x:c r="CK59" s="377"/>
      <x:c r="CL59" s="377"/>
      <x:c r="CM59" s="377"/>
      <x:c r="CN59" s="377"/>
      <x:c r="CO59" s="377"/>
      <x:c r="CP59" s="377"/>
      <x:c r="CQ59" s="377"/>
      <x:c r="CR59" s="377"/>
      <x:c r="CS59" s="377"/>
      <x:c r="CT59" s="377"/>
      <x:c r="CU59" s="377"/>
      <x:c r="CV59" s="377"/>
      <x:c r="CW59" s="377"/>
      <x:c r="CX59" s="377"/>
      <x:c r="CY59" s="377"/>
      <x:c r="CZ59" s="377"/>
      <x:c r="DA59" s="377"/>
      <x:c r="DB59" s="377"/>
      <x:c r="DC59" s="377"/>
      <x:c r="DD59" s="377"/>
      <x:c r="DE59" s="377"/>
      <x:c r="DF59" s="377"/>
      <x:c r="DG59" s="934"/>
      <x:c r="DN59" s="9"/>
      <x:c r="DO59" s="9"/>
      <x:c r="DP59" s="9"/>
      <x:c r="DQ59" s="9"/>
      <x:c r="DR59" s="9"/>
      <x:c r="DS59" s="9"/>
      <x:c r="DT59" s="9"/>
      <x:c r="DU59" s="9"/>
      <x:c r="DV59" s="9"/>
      <x:c r="DW59" s="9"/>
      <x:c r="DX59" s="9"/>
      <x:c r="DY59" s="9"/>
      <x:c r="DZ59" s="9"/>
      <x:c r="EA59" s="9"/>
      <x:c r="EB59" s="9"/>
      <x:c r="EC59" s="9"/>
      <x:c r="ED59" s="9"/>
      <x:c r="EE59" s="9"/>
      <x:c r="EF59" s="9"/>
      <x:c r="EG59" s="9"/>
      <x:c r="EH59" s="9"/>
      <x:c r="EI59" s="9"/>
      <x:c r="EJ59" s="9"/>
      <x:c r="EK59" s="9"/>
      <x:c r="EL59" s="9"/>
      <x:c r="EM59" s="9"/>
    </x:row>
    <x:row r="60" ht="6" customHeight="1">
      <x:c r="A60" s="796"/>
      <x:c r="B60" s="797"/>
      <x:c r="C60" s="797"/>
      <x:c r="D60" s="797"/>
      <x:c r="E60" s="797"/>
      <x:c r="F60" s="798"/>
      <x:c r="G60" s="799"/>
      <x:c r="H60" s="799"/>
      <x:c r="I60" s="799"/>
      <x:c r="J60" s="799"/>
      <x:c r="K60" s="799"/>
      <x:c r="L60" s="801"/>
      <x:c r="M60" s="801"/>
      <x:c r="N60" s="801"/>
      <x:c r="O60" s="801"/>
      <x:c r="P60" s="801"/>
      <x:c r="Q60" s="802"/>
      <x:c r="S60" s="788"/>
      <x:c r="T60" s="789"/>
      <x:c r="U60" s="428"/>
      <x:c r="V60" s="429"/>
      <x:c r="W60" s="429"/>
      <x:c r="X60" s="429"/>
      <x:c r="Y60" s="429"/>
      <x:c r="Z60" s="429"/>
      <x:c r="AA60" s="429"/>
      <x:c r="AB60" s="429"/>
      <x:c r="AC60" s="429"/>
      <x:c r="AD60" s="429"/>
      <x:c r="AE60" s="429"/>
      <x:c r="AF60" s="429"/>
      <x:c r="AG60" s="429"/>
      <x:c r="AH60" s="429"/>
      <x:c r="AI60" s="429"/>
      <x:c r="AJ60" s="429"/>
      <x:c r="AK60" s="429"/>
      <x:c r="AL60" s="429"/>
      <x:c r="AM60" s="429"/>
      <x:c r="AN60" s="429"/>
      <x:c r="AO60" s="429"/>
      <x:c r="AP60" s="429"/>
      <x:c r="AQ60" s="429"/>
      <x:c r="AR60" s="429"/>
      <x:c r="AS60" s="803"/>
      <x:c r="AT60" s="803"/>
      <x:c r="AU60" s="804"/>
      <x:c r="AV60" s="761"/>
      <x:c r="AW60" s="761"/>
      <x:c r="AX60" s="761"/>
      <x:c r="AY60" s="761"/>
      <x:c r="AZ60" s="761"/>
      <x:c r="BA60" s="761"/>
      <x:c r="BB60" s="762"/>
      <x:c r="BD60" s="812"/>
      <x:c r="BE60" s="813"/>
      <x:c r="BF60" s="813"/>
      <x:c r="BG60" s="813"/>
      <x:c r="BH60" s="813"/>
      <x:c r="BI60" s="813"/>
      <x:c r="BJ60" s="813"/>
      <x:c r="BK60" s="813"/>
      <x:c r="BL60" s="813"/>
      <x:c r="BM60" s="813"/>
      <x:c r="BN60" s="813"/>
      <x:c r="BO60" s="813"/>
      <x:c r="BP60" s="813"/>
      <x:c r="BQ60" s="813"/>
      <x:c r="BR60" s="813"/>
      <x:c r="BS60" s="813"/>
      <x:c r="BT60" s="813"/>
      <x:c r="BU60" s="813"/>
      <x:c r="BV60" s="807"/>
      <x:c r="BW60" s="807"/>
      <x:c r="BX60" s="807"/>
      <x:c r="BY60" s="807"/>
      <x:c r="BZ60" s="807"/>
      <x:c r="CA60" s="807"/>
      <x:c r="CB60" s="807"/>
      <x:c r="CC60" s="807"/>
      <x:c r="CD60" s="807"/>
      <x:c r="CE60" s="809"/>
      <x:c r="CG60" s="816"/>
      <x:c r="CH60" s="379"/>
      <x:c r="CI60" s="379"/>
      <x:c r="CJ60" s="379"/>
      <x:c r="CK60" s="379"/>
      <x:c r="CL60" s="379"/>
      <x:c r="CM60" s="379"/>
      <x:c r="CN60" s="379"/>
      <x:c r="CO60" s="379"/>
      <x:c r="CP60" s="379"/>
      <x:c r="CQ60" s="379"/>
      <x:c r="CR60" s="379"/>
      <x:c r="CS60" s="379"/>
      <x:c r="CT60" s="379"/>
      <x:c r="CU60" s="379"/>
      <x:c r="CV60" s="379"/>
      <x:c r="CW60" s="379"/>
      <x:c r="CX60" s="379"/>
      <x:c r="CY60" s="379"/>
      <x:c r="CZ60" s="379"/>
      <x:c r="DA60" s="379"/>
      <x:c r="DB60" s="379"/>
      <x:c r="DC60" s="379"/>
      <x:c r="DD60" s="379"/>
      <x:c r="DE60" s="379"/>
      <x:c r="DF60" s="379"/>
      <x:c r="DG60" s="934"/>
      <x:c r="DN60" s="9"/>
      <x:c r="DO60" s="9"/>
      <x:c r="DP60" s="9"/>
      <x:c r="DQ60" s="9"/>
      <x:c r="DR60" s="9"/>
      <x:c r="DS60" s="9"/>
      <x:c r="DT60" s="9"/>
      <x:c r="DU60" s="9"/>
      <x:c r="DV60" s="9"/>
      <x:c r="DW60" s="9"/>
      <x:c r="DX60" s="9"/>
      <x:c r="DY60" s="9"/>
      <x:c r="DZ60" s="9"/>
      <x:c r="EA60" s="9"/>
      <x:c r="EB60" s="9"/>
      <x:c r="EC60" s="9"/>
      <x:c r="ED60" s="9"/>
      <x:c r="EE60" s="9"/>
      <x:c r="EF60" s="9"/>
      <x:c r="EG60" s="9"/>
      <x:c r="EH60" s="9"/>
      <x:c r="EI60" s="9"/>
      <x:c r="EJ60" s="9"/>
      <x:c r="EK60" s="9"/>
      <x:c r="EL60" s="9"/>
      <x:c r="EM60" s="9"/>
    </x:row>
    <x:row r="61" ht="6" customHeight="1">
      <x:c r="A61" s="818" t="s">
        <x:v>243</x:v>
      </x:c>
      <x:c r="B61" s="819"/>
      <x:c r="C61" s="819"/>
      <x:c r="D61" s="819"/>
      <x:c r="E61" s="819"/>
      <x:c r="F61" s="820"/>
      <x:c r="G61" s="799"/>
      <x:c r="H61" s="799"/>
      <x:c r="I61" s="799"/>
      <x:c r="J61" s="799"/>
      <x:c r="K61" s="799"/>
      <x:c r="L61" s="800" t="s">
        <x:v>240</x:v>
      </x:c>
      <x:c r="M61" s="801"/>
      <x:c r="N61" s="801"/>
      <x:c r="O61" s="801"/>
      <x:c r="P61" s="801"/>
      <x:c r="Q61" s="802"/>
      <x:c r="S61" s="786" t="s">
        <x:v>244</x:v>
      </x:c>
      <x:c r="T61" s="787"/>
      <x:c r="U61" s="824" t="s">
        <x:v>245</x:v>
      </x:c>
      <x:c r="V61" s="825"/>
      <x:c r="W61" s="825"/>
      <x:c r="X61" s="825"/>
      <x:c r="Y61" s="825"/>
      <x:c r="Z61" s="826"/>
      <x:c r="AA61" s="422" t="s">
        <x:v>246</x:v>
      </x:c>
      <x:c r="AB61" s="423"/>
      <x:c r="AC61" s="423"/>
      <x:c r="AD61" s="423"/>
      <x:c r="AE61" s="423"/>
      <x:c r="AF61" s="423"/>
      <x:c r="AG61" s="423"/>
      <x:c r="AH61" s="423"/>
      <x:c r="AI61" s="423"/>
      <x:c r="AJ61" s="423"/>
      <x:c r="AK61" s="423"/>
      <x:c r="AL61" s="423" t="s">
        <x:v>247</x:v>
      </x:c>
      <x:c r="AM61" s="423"/>
      <x:c r="AN61" s="423"/>
      <x:c r="AO61" s="423"/>
      <x:c r="AP61" s="423"/>
      <x:c r="AQ61" s="423"/>
      <x:c r="AR61" s="423"/>
      <x:c r="AS61" s="756" t="s">
        <x:v>236</x:v>
      </x:c>
      <x:c r="AT61" s="756"/>
      <x:c r="AU61" s="757"/>
      <x:c r="AV61" s="759" t="n">
        <x:f>IF(AO61&gt;=1,(AO61*AG61*3250),(AG61*20000))</x:f>
        <x:v>0</x:v>
      </x:c>
      <x:c r="AW61" s="759"/>
      <x:c r="AX61" s="759"/>
      <x:c r="AY61" s="759"/>
      <x:c r="AZ61" s="759"/>
      <x:c r="BA61" s="759"/>
      <x:c r="BB61" s="760"/>
      <x:c r="BD61" s="812" t="s">
        <x:v>248</x:v>
      </x:c>
      <x:c r="BE61" s="813"/>
      <x:c r="BF61" s="813"/>
      <x:c r="BG61" s="813"/>
      <x:c r="BH61" s="813"/>
      <x:c r="BI61" s="813"/>
      <x:c r="BJ61" s="813"/>
      <x:c r="BK61" s="813"/>
      <x:c r="BL61" s="813"/>
      <x:c r="BM61" s="813"/>
      <x:c r="BN61" s="813"/>
      <x:c r="BO61" s="813"/>
      <x:c r="BP61" s="813"/>
      <x:c r="BQ61" s="813"/>
      <x:c r="BR61" s="813"/>
      <x:c r="BS61" s="813"/>
      <x:c r="BT61" s="813"/>
      <x:c r="BU61" s="813"/>
      <x:c r="BV61" s="805"/>
      <x:c r="BW61" s="806"/>
      <x:c r="BX61" s="806"/>
      <x:c r="BY61" s="806"/>
      <x:c r="BZ61" s="806"/>
      <x:c r="CA61" s="806"/>
      <x:c r="CB61" s="806"/>
      <x:c r="CC61" s="806"/>
      <x:c r="CD61" s="806"/>
      <x:c r="CE61" s="808"/>
      <x:c r="CG61" s="816"/>
      <x:c r="CH61" s="1041"/>
      <x:c r="CI61" s="1041"/>
      <x:c r="CJ61" s="1041"/>
      <x:c r="CK61" s="1041"/>
      <x:c r="CL61" s="1041"/>
      <x:c r="CM61" s="1041"/>
      <x:c r="CN61" s="1041"/>
      <x:c r="CO61" s="1041"/>
      <x:c r="CP61" s="1041"/>
      <x:c r="CQ61" s="1041"/>
      <x:c r="CR61" s="1041"/>
      <x:c r="CS61" s="1041"/>
      <x:c r="CT61" s="1041"/>
      <x:c r="CU61" s="1041"/>
      <x:c r="CV61" s="1041"/>
      <x:c r="CW61" s="1041"/>
      <x:c r="CX61" s="1041"/>
      <x:c r="CY61" s="1041"/>
      <x:c r="CZ61" s="1041"/>
      <x:c r="DA61" s="1041"/>
      <x:c r="DB61" s="1041"/>
      <x:c r="DC61" s="1041"/>
      <x:c r="DD61" s="1041"/>
      <x:c r="DE61" s="1041"/>
      <x:c r="DF61" s="1041"/>
      <x:c r="DG61" s="934"/>
      <x:c r="DN61" s="9"/>
      <x:c r="DO61" s="9"/>
      <x:c r="DP61" s="9"/>
      <x:c r="DQ61" s="9"/>
      <x:c r="DR61" s="9"/>
      <x:c r="DS61" s="9"/>
      <x:c r="DT61" s="9"/>
      <x:c r="DU61" s="9"/>
      <x:c r="DV61" s="9"/>
      <x:c r="DW61" s="9"/>
      <x:c r="DX61" s="9"/>
      <x:c r="DY61" s="9"/>
      <x:c r="DZ61" s="9"/>
      <x:c r="EA61" s="9"/>
      <x:c r="EB61" s="9"/>
      <x:c r="EC61" s="9"/>
      <x:c r="ED61" s="9"/>
      <x:c r="EE61" s="9"/>
      <x:c r="EF61" s="9"/>
      <x:c r="EG61" s="9"/>
      <x:c r="EH61" s="9"/>
      <x:c r="EI61" s="9"/>
      <x:c r="EJ61" s="9"/>
      <x:c r="EK61" s="9"/>
      <x:c r="EL61" s="9"/>
      <x:c r="EM61" s="9"/>
    </x:row>
    <x:row r="62" ht="6" customHeight="1">
      <x:c r="A62" s="821"/>
      <x:c r="B62" s="822"/>
      <x:c r="C62" s="822"/>
      <x:c r="D62" s="822"/>
      <x:c r="E62" s="822"/>
      <x:c r="F62" s="823"/>
      <x:c r="G62" s="799"/>
      <x:c r="H62" s="799"/>
      <x:c r="I62" s="799"/>
      <x:c r="J62" s="799"/>
      <x:c r="K62" s="799"/>
      <x:c r="L62" s="801"/>
      <x:c r="M62" s="801"/>
      <x:c r="N62" s="801"/>
      <x:c r="O62" s="801"/>
      <x:c r="P62" s="801"/>
      <x:c r="Q62" s="802"/>
      <x:c r="S62" s="786"/>
      <x:c r="T62" s="787"/>
      <x:c r="U62" s="827"/>
      <x:c r="V62" s="353"/>
      <x:c r="W62" s="353"/>
      <x:c r="X62" s="353"/>
      <x:c r="Y62" s="353"/>
      <x:c r="Z62" s="355"/>
      <x:c r="AA62" s="428"/>
      <x:c r="AB62" s="429"/>
      <x:c r="AC62" s="429"/>
      <x:c r="AD62" s="429"/>
      <x:c r="AE62" s="429"/>
      <x:c r="AF62" s="429"/>
      <x:c r="AG62" s="429"/>
      <x:c r="AH62" s="429"/>
      <x:c r="AI62" s="429"/>
      <x:c r="AJ62" s="429"/>
      <x:c r="AK62" s="429"/>
      <x:c r="AL62" s="429"/>
      <x:c r="AM62" s="429"/>
      <x:c r="AN62" s="429"/>
      <x:c r="AO62" s="429"/>
      <x:c r="AP62" s="429"/>
      <x:c r="AQ62" s="429"/>
      <x:c r="AR62" s="429"/>
      <x:c r="AS62" s="803"/>
      <x:c r="AT62" s="803"/>
      <x:c r="AU62" s="804"/>
      <x:c r="AV62" s="761"/>
      <x:c r="AW62" s="761"/>
      <x:c r="AX62" s="761"/>
      <x:c r="AY62" s="761"/>
      <x:c r="AZ62" s="761"/>
      <x:c r="BA62" s="761"/>
      <x:c r="BB62" s="762"/>
      <x:c r="BD62" s="812"/>
      <x:c r="BE62" s="813"/>
      <x:c r="BF62" s="813"/>
      <x:c r="BG62" s="813"/>
      <x:c r="BH62" s="813"/>
      <x:c r="BI62" s="813"/>
      <x:c r="BJ62" s="813"/>
      <x:c r="BK62" s="813"/>
      <x:c r="BL62" s="813"/>
      <x:c r="BM62" s="813"/>
      <x:c r="BN62" s="813"/>
      <x:c r="BO62" s="813"/>
      <x:c r="BP62" s="813"/>
      <x:c r="BQ62" s="813"/>
      <x:c r="BR62" s="813"/>
      <x:c r="BS62" s="813"/>
      <x:c r="BT62" s="813"/>
      <x:c r="BU62" s="813"/>
      <x:c r="BV62" s="807"/>
      <x:c r="BW62" s="807"/>
      <x:c r="BX62" s="807"/>
      <x:c r="BY62" s="807"/>
      <x:c r="BZ62" s="807"/>
      <x:c r="CA62" s="807"/>
      <x:c r="CB62" s="807"/>
      <x:c r="CC62" s="807"/>
      <x:c r="CD62" s="807"/>
      <x:c r="CE62" s="809"/>
      <x:c r="CG62" s="816"/>
      <x:c r="CH62" s="377"/>
      <x:c r="CI62" s="377"/>
      <x:c r="CJ62" s="377"/>
      <x:c r="CK62" s="377"/>
      <x:c r="CL62" s="377"/>
      <x:c r="CM62" s="377"/>
      <x:c r="CN62" s="377"/>
      <x:c r="CO62" s="377"/>
      <x:c r="CP62" s="377"/>
      <x:c r="CQ62" s="377"/>
      <x:c r="CR62" s="377"/>
      <x:c r="CS62" s="377"/>
      <x:c r="CT62" s="377"/>
      <x:c r="CU62" s="377"/>
      <x:c r="CV62" s="377"/>
      <x:c r="CW62" s="377"/>
      <x:c r="CX62" s="377"/>
      <x:c r="CY62" s="377"/>
      <x:c r="CZ62" s="377"/>
      <x:c r="DA62" s="377"/>
      <x:c r="DB62" s="377"/>
      <x:c r="DC62" s="377"/>
      <x:c r="DD62" s="377"/>
      <x:c r="DE62" s="377"/>
      <x:c r="DF62" s="377"/>
      <x:c r="DG62" s="934"/>
      <x:c r="DN62" s="9"/>
      <x:c r="DO62" s="9"/>
      <x:c r="DP62" s="9"/>
      <x:c r="DQ62" s="9"/>
      <x:c r="DR62" s="9"/>
      <x:c r="DS62" s="9"/>
      <x:c r="DT62" s="9"/>
      <x:c r="DU62" s="9"/>
      <x:c r="DV62" s="9"/>
      <x:c r="DW62" s="9"/>
      <x:c r="DX62" s="9"/>
      <x:c r="DY62" s="9"/>
      <x:c r="DZ62" s="9"/>
      <x:c r="EA62" s="9"/>
      <x:c r="EB62" s="9"/>
      <x:c r="EC62" s="9"/>
      <x:c r="ED62" s="9"/>
      <x:c r="EE62" s="9"/>
      <x:c r="EF62" s="9"/>
      <x:c r="EG62" s="9"/>
      <x:c r="EH62" s="9"/>
      <x:c r="EI62" s="9"/>
      <x:c r="EJ62" s="9"/>
      <x:c r="EK62" s="9"/>
      <x:c r="EL62" s="9"/>
      <x:c r="EM62" s="9"/>
    </x:row>
    <x:row r="63" ht="6" customHeight="1">
      <x:c r="A63" s="818" t="s">
        <x:v>249</x:v>
      </x:c>
      <x:c r="B63" s="819"/>
      <x:c r="C63" s="819"/>
      <x:c r="D63" s="819"/>
      <x:c r="E63" s="819"/>
      <x:c r="F63" s="820"/>
      <x:c r="G63" s="799"/>
      <x:c r="H63" s="799"/>
      <x:c r="I63" s="799"/>
      <x:c r="J63" s="799"/>
      <x:c r="K63" s="799"/>
      <x:c r="L63" s="800" t="s">
        <x:v>240</x:v>
      </x:c>
      <x:c r="M63" s="801"/>
      <x:c r="N63" s="801"/>
      <x:c r="O63" s="801"/>
      <x:c r="P63" s="801"/>
      <x:c r="Q63" s="802"/>
      <x:c r="S63" s="786"/>
      <x:c r="T63" s="787"/>
      <x:c r="U63" s="827"/>
      <x:c r="V63" s="353"/>
      <x:c r="W63" s="353"/>
      <x:c r="X63" s="353"/>
      <x:c r="Y63" s="353"/>
      <x:c r="Z63" s="355"/>
      <x:c r="AA63" s="422" t="s">
        <x:v>250</x:v>
      </x:c>
      <x:c r="AB63" s="423"/>
      <x:c r="AC63" s="423"/>
      <x:c r="AD63" s="423"/>
      <x:c r="AE63" s="423"/>
      <x:c r="AF63" s="423"/>
      <x:c r="AG63" s="423"/>
      <x:c r="AH63" s="423"/>
      <x:c r="AI63" s="423"/>
      <x:c r="AJ63" s="423"/>
      <x:c r="AK63" s="423"/>
      <x:c r="AL63" s="423" t="s">
        <x:v>247</x:v>
      </x:c>
      <x:c r="AM63" s="423"/>
      <x:c r="AN63" s="423"/>
      <x:c r="AO63" s="423"/>
      <x:c r="AP63" s="423"/>
      <x:c r="AQ63" s="423"/>
      <x:c r="AR63" s="423"/>
      <x:c r="AS63" s="756" t="s">
        <x:v>236</x:v>
      </x:c>
      <x:c r="AT63" s="756"/>
      <x:c r="AU63" s="757"/>
      <x:c r="AV63" s="759" t="n">
        <x:f>IF(AO63&gt;=1,(AO63*AG63*3250),(AG63*20000))</x:f>
        <x:v>0</x:v>
      </x:c>
      <x:c r="AW63" s="759"/>
      <x:c r="AX63" s="759"/>
      <x:c r="AY63" s="759"/>
      <x:c r="AZ63" s="759"/>
      <x:c r="BA63" s="759"/>
      <x:c r="BB63" s="760"/>
      <x:c r="BD63" s="812" t="s">
        <x:v>251</x:v>
      </x:c>
      <x:c r="BE63" s="813"/>
      <x:c r="BF63" s="813"/>
      <x:c r="BG63" s="813"/>
      <x:c r="BH63" s="813"/>
      <x:c r="BI63" s="813"/>
      <x:c r="BJ63" s="813"/>
      <x:c r="BK63" s="813"/>
      <x:c r="BL63" s="813"/>
      <x:c r="BM63" s="813"/>
      <x:c r="BN63" s="813"/>
      <x:c r="BO63" s="813"/>
      <x:c r="BP63" s="813"/>
      <x:c r="BQ63" s="813"/>
      <x:c r="BR63" s="813"/>
      <x:c r="BS63" s="813"/>
      <x:c r="BT63" s="813"/>
      <x:c r="BU63" s="813"/>
      <x:c r="BV63" s="805"/>
      <x:c r="BW63" s="806"/>
      <x:c r="BX63" s="806"/>
      <x:c r="BY63" s="806"/>
      <x:c r="BZ63" s="806"/>
      <x:c r="CA63" s="806"/>
      <x:c r="CB63" s="806"/>
      <x:c r="CC63" s="806"/>
      <x:c r="CD63" s="806"/>
      <x:c r="CE63" s="808"/>
      <x:c r="CG63" s="816"/>
      <x:c r="CH63" s="379"/>
      <x:c r="CI63" s="379"/>
      <x:c r="CJ63" s="379"/>
      <x:c r="CK63" s="379"/>
      <x:c r="CL63" s="379"/>
      <x:c r="CM63" s="379"/>
      <x:c r="CN63" s="379"/>
      <x:c r="CO63" s="379"/>
      <x:c r="CP63" s="379"/>
      <x:c r="CQ63" s="379"/>
      <x:c r="CR63" s="379"/>
      <x:c r="CS63" s="379"/>
      <x:c r="CT63" s="379"/>
      <x:c r="CU63" s="379"/>
      <x:c r="CV63" s="379"/>
      <x:c r="CW63" s="379"/>
      <x:c r="CX63" s="379"/>
      <x:c r="CY63" s="379"/>
      <x:c r="CZ63" s="379"/>
      <x:c r="DA63" s="379"/>
      <x:c r="DB63" s="379"/>
      <x:c r="DC63" s="379"/>
      <x:c r="DD63" s="379"/>
      <x:c r="DE63" s="379"/>
      <x:c r="DF63" s="379"/>
      <x:c r="DG63" s="934"/>
      <x:c r="DN63" s="9"/>
      <x:c r="DO63" s="9"/>
      <x:c r="DP63" s="9"/>
      <x:c r="DQ63" s="9"/>
      <x:c r="DR63" s="9"/>
      <x:c r="DS63" s="9"/>
      <x:c r="DT63" s="9"/>
      <x:c r="DU63" s="9"/>
      <x:c r="DV63" s="9"/>
      <x:c r="DW63" s="9"/>
      <x:c r="DX63" s="9"/>
      <x:c r="DY63" s="9"/>
      <x:c r="DZ63" s="9"/>
      <x:c r="EA63" s="9"/>
      <x:c r="EB63" s="9"/>
      <x:c r="EC63" s="9"/>
      <x:c r="ED63" s="9"/>
      <x:c r="EE63" s="9"/>
      <x:c r="EF63" s="9"/>
      <x:c r="EG63" s="9"/>
      <x:c r="EH63" s="9"/>
      <x:c r="EI63" s="9"/>
      <x:c r="EJ63" s="9"/>
      <x:c r="EK63" s="9"/>
      <x:c r="EL63" s="9"/>
      <x:c r="EM63" s="9"/>
    </x:row>
    <x:row r="64" ht="6" customHeight="1">
      <x:c r="A64" s="821"/>
      <x:c r="B64" s="822"/>
      <x:c r="C64" s="822"/>
      <x:c r="D64" s="822"/>
      <x:c r="E64" s="822"/>
      <x:c r="F64" s="823"/>
      <x:c r="G64" s="799"/>
      <x:c r="H64" s="799"/>
      <x:c r="I64" s="799"/>
      <x:c r="J64" s="799"/>
      <x:c r="K64" s="799"/>
      <x:c r="L64" s="801"/>
      <x:c r="M64" s="801"/>
      <x:c r="N64" s="801"/>
      <x:c r="O64" s="801"/>
      <x:c r="P64" s="801"/>
      <x:c r="Q64" s="802"/>
      <x:c r="S64" s="786"/>
      <x:c r="T64" s="787"/>
      <x:c r="U64" s="828"/>
      <x:c r="V64" s="829"/>
      <x:c r="W64" s="829"/>
      <x:c r="X64" s="829"/>
      <x:c r="Y64" s="829"/>
      <x:c r="Z64" s="830"/>
      <x:c r="AA64" s="428"/>
      <x:c r="AB64" s="429"/>
      <x:c r="AC64" s="429"/>
      <x:c r="AD64" s="429"/>
      <x:c r="AE64" s="429"/>
      <x:c r="AF64" s="429"/>
      <x:c r="AG64" s="429"/>
      <x:c r="AH64" s="429"/>
      <x:c r="AI64" s="429"/>
      <x:c r="AJ64" s="429"/>
      <x:c r="AK64" s="429"/>
      <x:c r="AL64" s="429"/>
      <x:c r="AM64" s="429"/>
      <x:c r="AN64" s="429"/>
      <x:c r="AO64" s="429"/>
      <x:c r="AP64" s="429"/>
      <x:c r="AQ64" s="429"/>
      <x:c r="AR64" s="429"/>
      <x:c r="AS64" s="803"/>
      <x:c r="AT64" s="803"/>
      <x:c r="AU64" s="804"/>
      <x:c r="AV64" s="761"/>
      <x:c r="AW64" s="761"/>
      <x:c r="AX64" s="761"/>
      <x:c r="AY64" s="761"/>
      <x:c r="AZ64" s="761"/>
      <x:c r="BA64" s="761"/>
      <x:c r="BB64" s="762"/>
      <x:c r="BD64" s="812"/>
      <x:c r="BE64" s="813"/>
      <x:c r="BF64" s="813"/>
      <x:c r="BG64" s="813"/>
      <x:c r="BH64" s="813"/>
      <x:c r="BI64" s="813"/>
      <x:c r="BJ64" s="813"/>
      <x:c r="BK64" s="813"/>
      <x:c r="BL64" s="813"/>
      <x:c r="BM64" s="813"/>
      <x:c r="BN64" s="813"/>
      <x:c r="BO64" s="813"/>
      <x:c r="BP64" s="813"/>
      <x:c r="BQ64" s="813"/>
      <x:c r="BR64" s="813"/>
      <x:c r="BS64" s="813"/>
      <x:c r="BT64" s="813"/>
      <x:c r="BU64" s="813"/>
      <x:c r="BV64" s="807"/>
      <x:c r="BW64" s="807"/>
      <x:c r="BX64" s="807"/>
      <x:c r="BY64" s="807"/>
      <x:c r="BZ64" s="807"/>
      <x:c r="CA64" s="807"/>
      <x:c r="CB64" s="807"/>
      <x:c r="CC64" s="807"/>
      <x:c r="CD64" s="807"/>
      <x:c r="CE64" s="809"/>
      <x:c r="CG64" s="816"/>
      <x:c r="CH64" s="1041"/>
      <x:c r="CI64" s="1041"/>
      <x:c r="CJ64" s="1041"/>
      <x:c r="CK64" s="1041"/>
      <x:c r="CL64" s="1041"/>
      <x:c r="CM64" s="1041"/>
      <x:c r="CN64" s="1041"/>
      <x:c r="CO64" s="1041"/>
      <x:c r="CP64" s="1041"/>
      <x:c r="CQ64" s="1041"/>
      <x:c r="CR64" s="1041"/>
      <x:c r="CS64" s="1041"/>
      <x:c r="CT64" s="1041"/>
      <x:c r="CU64" s="1041"/>
      <x:c r="CV64" s="1041"/>
      <x:c r="CW64" s="1041"/>
      <x:c r="CX64" s="1041"/>
      <x:c r="CY64" s="1041"/>
      <x:c r="CZ64" s="1041"/>
      <x:c r="DA64" s="1041"/>
      <x:c r="DB64" s="1041"/>
      <x:c r="DC64" s="1041"/>
      <x:c r="DD64" s="1041"/>
      <x:c r="DE64" s="1041"/>
      <x:c r="DF64" s="1041"/>
      <x:c r="DG64" s="934"/>
      <x:c r="DN64" s="33"/>
      <x:c r="DO64" s="9"/>
      <x:c r="DP64" s="9"/>
      <x:c r="DQ64" s="9"/>
      <x:c r="DR64" s="9"/>
      <x:c r="DS64" s="9"/>
      <x:c r="DT64" s="9"/>
      <x:c r="DU64" s="9"/>
      <x:c r="DV64" s="9"/>
      <x:c r="DW64" s="9"/>
      <x:c r="DX64" s="9"/>
      <x:c r="DY64" s="9"/>
      <x:c r="DZ64" s="9"/>
      <x:c r="EA64" s="9"/>
      <x:c r="EB64" s="9"/>
      <x:c r="EC64" s="9"/>
      <x:c r="ED64" s="9"/>
      <x:c r="EE64" s="9"/>
      <x:c r="EF64" s="9"/>
      <x:c r="EG64" s="9"/>
      <x:c r="EH64" s="9"/>
      <x:c r="EI64" s="9"/>
      <x:c r="EJ64" s="9"/>
      <x:c r="EK64" s="9"/>
      <x:c r="EL64" s="9"/>
      <x:c r="EM64" s="9"/>
    </x:row>
    <x:row r="65" ht="6" customHeight="1">
      <x:c r="A65" s="793"/>
      <x:c r="B65" s="794"/>
      <x:c r="C65" s="794"/>
      <x:c r="D65" s="794"/>
      <x:c r="E65" s="794"/>
      <x:c r="F65" s="795"/>
      <x:c r="G65" s="799"/>
      <x:c r="H65" s="799"/>
      <x:c r="I65" s="799"/>
      <x:c r="J65" s="799"/>
      <x:c r="K65" s="799"/>
      <x:c r="L65" s="800"/>
      <x:c r="M65" s="801"/>
      <x:c r="N65" s="801"/>
      <x:c r="O65" s="801"/>
      <x:c r="P65" s="801"/>
      <x:c r="Q65" s="802"/>
      <x:c r="S65" s="786"/>
      <x:c r="T65" s="787"/>
      <x:c r="U65" s="824" t="s">
        <x:v>252</x:v>
      </x:c>
      <x:c r="V65" s="825"/>
      <x:c r="W65" s="825"/>
      <x:c r="X65" s="825"/>
      <x:c r="Y65" s="825"/>
      <x:c r="Z65" s="826"/>
      <x:c r="AA65" s="422" t="s">
        <x:v>253</x:v>
      </x:c>
      <x:c r="AB65" s="423"/>
      <x:c r="AC65" s="423"/>
      <x:c r="AD65" s="423"/>
      <x:c r="AE65" s="423"/>
      <x:c r="AF65" s="423"/>
      <x:c r="AG65" s="423"/>
      <x:c r="AH65" s="423"/>
      <x:c r="AI65" s="423"/>
      <x:c r="AJ65" s="423"/>
      <x:c r="AK65" s="423"/>
      <x:c r="AL65" s="423" t="s">
        <x:v>247</x:v>
      </x:c>
      <x:c r="AM65" s="423"/>
      <x:c r="AN65" s="423"/>
      <x:c r="AO65" s="423"/>
      <x:c r="AP65" s="423"/>
      <x:c r="AQ65" s="423"/>
      <x:c r="AR65" s="423"/>
      <x:c r="AS65" s="756" t="s">
        <x:v>236</x:v>
      </x:c>
      <x:c r="AT65" s="756"/>
      <x:c r="AU65" s="757"/>
      <x:c r="AV65" s="759" t="n">
        <x:f>IF(AO65&gt;=1,(AO65*AG65*3250),(AG65*25000))</x:f>
        <x:v>0</x:v>
      </x:c>
      <x:c r="AW65" s="759"/>
      <x:c r="AX65" s="759"/>
      <x:c r="AY65" s="759"/>
      <x:c r="AZ65" s="759"/>
      <x:c r="BA65" s="759"/>
      <x:c r="BB65" s="760"/>
      <x:c r="BD65" s="812" t="s">
        <x:v>254</x:v>
      </x:c>
      <x:c r="BE65" s="813"/>
      <x:c r="BF65" s="813"/>
      <x:c r="BG65" s="813"/>
      <x:c r="BH65" s="813"/>
      <x:c r="BI65" s="813"/>
      <x:c r="BJ65" s="813"/>
      <x:c r="BK65" s="813"/>
      <x:c r="BL65" s="813"/>
      <x:c r="BM65" s="813"/>
      <x:c r="BN65" s="813"/>
      <x:c r="BO65" s="813"/>
      <x:c r="BP65" s="813"/>
      <x:c r="BQ65" s="813"/>
      <x:c r="BR65" s="813"/>
      <x:c r="BS65" s="813"/>
      <x:c r="BT65" s="813"/>
      <x:c r="BU65" s="813"/>
      <x:c r="BV65" s="805"/>
      <x:c r="BW65" s="806"/>
      <x:c r="BX65" s="806"/>
      <x:c r="BY65" s="806"/>
      <x:c r="BZ65" s="806"/>
      <x:c r="CA65" s="806"/>
      <x:c r="CB65" s="806"/>
      <x:c r="CC65" s="806"/>
      <x:c r="CD65" s="806"/>
      <x:c r="CE65" s="808"/>
      <x:c r="CG65" s="816"/>
      <x:c r="CH65" s="377"/>
      <x:c r="CI65" s="377"/>
      <x:c r="CJ65" s="377"/>
      <x:c r="CK65" s="377"/>
      <x:c r="CL65" s="377"/>
      <x:c r="CM65" s="377"/>
      <x:c r="CN65" s="377"/>
      <x:c r="CO65" s="377"/>
      <x:c r="CP65" s="377"/>
      <x:c r="CQ65" s="377"/>
      <x:c r="CR65" s="377"/>
      <x:c r="CS65" s="377"/>
      <x:c r="CT65" s="377"/>
      <x:c r="CU65" s="377"/>
      <x:c r="CV65" s="377"/>
      <x:c r="CW65" s="377"/>
      <x:c r="CX65" s="377"/>
      <x:c r="CY65" s="377"/>
      <x:c r="CZ65" s="377"/>
      <x:c r="DA65" s="377"/>
      <x:c r="DB65" s="377"/>
      <x:c r="DC65" s="377"/>
      <x:c r="DD65" s="377"/>
      <x:c r="DE65" s="377"/>
      <x:c r="DF65" s="377"/>
      <x:c r="DG65" s="934"/>
      <x:c r="DN65" s="9"/>
      <x:c r="DO65" s="9"/>
      <x:c r="DP65" s="9"/>
      <x:c r="DQ65" s="9"/>
      <x:c r="DR65" s="9"/>
      <x:c r="DS65" s="9"/>
      <x:c r="DT65" s="9"/>
      <x:c r="DU65" s="9"/>
      <x:c r="DV65" s="9"/>
      <x:c r="DW65" s="9"/>
      <x:c r="DX65" s="9"/>
      <x:c r="DY65" s="9"/>
      <x:c r="DZ65" s="9"/>
      <x:c r="EA65" s="9"/>
      <x:c r="EB65" s="9"/>
      <x:c r="EC65" s="9"/>
      <x:c r="ED65" s="9"/>
      <x:c r="EE65" s="9"/>
      <x:c r="EF65" s="9"/>
      <x:c r="EG65" s="9"/>
      <x:c r="EH65" s="9"/>
      <x:c r="EI65" s="9"/>
      <x:c r="EJ65" s="9"/>
      <x:c r="EK65" s="9"/>
      <x:c r="EL65" s="9"/>
      <x:c r="EM65" s="9"/>
    </x:row>
    <x:row r="66" ht="6" customHeight="1">
      <x:c r="A66" s="796"/>
      <x:c r="B66" s="797"/>
      <x:c r="C66" s="797"/>
      <x:c r="D66" s="797"/>
      <x:c r="E66" s="797"/>
      <x:c r="F66" s="798"/>
      <x:c r="G66" s="799"/>
      <x:c r="H66" s="799"/>
      <x:c r="I66" s="799"/>
      <x:c r="J66" s="799"/>
      <x:c r="K66" s="799"/>
      <x:c r="L66" s="801"/>
      <x:c r="M66" s="801"/>
      <x:c r="N66" s="801"/>
      <x:c r="O66" s="801"/>
      <x:c r="P66" s="801"/>
      <x:c r="Q66" s="802"/>
      <x:c r="S66" s="786"/>
      <x:c r="T66" s="787"/>
      <x:c r="U66" s="827"/>
      <x:c r="V66" s="353"/>
      <x:c r="W66" s="353"/>
      <x:c r="X66" s="353"/>
      <x:c r="Y66" s="353"/>
      <x:c r="Z66" s="355"/>
      <x:c r="AA66" s="428"/>
      <x:c r="AB66" s="429"/>
      <x:c r="AC66" s="429"/>
      <x:c r="AD66" s="429"/>
      <x:c r="AE66" s="429"/>
      <x:c r="AF66" s="429"/>
      <x:c r="AG66" s="429"/>
      <x:c r="AH66" s="429"/>
      <x:c r="AI66" s="429"/>
      <x:c r="AJ66" s="429"/>
      <x:c r="AK66" s="429"/>
      <x:c r="AL66" s="429"/>
      <x:c r="AM66" s="429"/>
      <x:c r="AN66" s="429"/>
      <x:c r="AO66" s="429"/>
      <x:c r="AP66" s="429"/>
      <x:c r="AQ66" s="429"/>
      <x:c r="AR66" s="429"/>
      <x:c r="AS66" s="803"/>
      <x:c r="AT66" s="803"/>
      <x:c r="AU66" s="804"/>
      <x:c r="AV66" s="761"/>
      <x:c r="AW66" s="761"/>
      <x:c r="AX66" s="761"/>
      <x:c r="AY66" s="761"/>
      <x:c r="AZ66" s="761"/>
      <x:c r="BA66" s="761"/>
      <x:c r="BB66" s="762"/>
      <x:c r="BD66" s="812"/>
      <x:c r="BE66" s="813"/>
      <x:c r="BF66" s="813"/>
      <x:c r="BG66" s="813"/>
      <x:c r="BH66" s="813"/>
      <x:c r="BI66" s="813"/>
      <x:c r="BJ66" s="813"/>
      <x:c r="BK66" s="813"/>
      <x:c r="BL66" s="813"/>
      <x:c r="BM66" s="813"/>
      <x:c r="BN66" s="813"/>
      <x:c r="BO66" s="813"/>
      <x:c r="BP66" s="813"/>
      <x:c r="BQ66" s="813"/>
      <x:c r="BR66" s="813"/>
      <x:c r="BS66" s="813"/>
      <x:c r="BT66" s="813"/>
      <x:c r="BU66" s="813"/>
      <x:c r="BV66" s="807"/>
      <x:c r="BW66" s="807"/>
      <x:c r="BX66" s="807"/>
      <x:c r="BY66" s="807"/>
      <x:c r="BZ66" s="807"/>
      <x:c r="CA66" s="807"/>
      <x:c r="CB66" s="807"/>
      <x:c r="CC66" s="807"/>
      <x:c r="CD66" s="807"/>
      <x:c r="CE66" s="809"/>
      <x:c r="CG66" s="816"/>
      <x:c r="CH66" s="379"/>
      <x:c r="CI66" s="379"/>
      <x:c r="CJ66" s="379"/>
      <x:c r="CK66" s="379"/>
      <x:c r="CL66" s="379"/>
      <x:c r="CM66" s="379"/>
      <x:c r="CN66" s="379"/>
      <x:c r="CO66" s="379"/>
      <x:c r="CP66" s="379"/>
      <x:c r="CQ66" s="379"/>
      <x:c r="CR66" s="379"/>
      <x:c r="CS66" s="379"/>
      <x:c r="CT66" s="379"/>
      <x:c r="CU66" s="379"/>
      <x:c r="CV66" s="379"/>
      <x:c r="CW66" s="379"/>
      <x:c r="CX66" s="379"/>
      <x:c r="CY66" s="379"/>
      <x:c r="CZ66" s="379"/>
      <x:c r="DA66" s="379"/>
      <x:c r="DB66" s="379"/>
      <x:c r="DC66" s="379"/>
      <x:c r="DD66" s="379"/>
      <x:c r="DE66" s="379"/>
      <x:c r="DF66" s="379"/>
      <x:c r="DG66" s="934"/>
      <x:c r="DN66" s="9"/>
      <x:c r="DO66" s="9"/>
      <x:c r="DP66" s="9"/>
      <x:c r="DQ66" s="9"/>
      <x:c r="DR66" s="9"/>
      <x:c r="DS66" s="9"/>
      <x:c r="DT66" s="9"/>
      <x:c r="DU66" s="9"/>
      <x:c r="DV66" s="9"/>
      <x:c r="DW66" s="9"/>
      <x:c r="DX66" s="9"/>
      <x:c r="DY66" s="9"/>
      <x:c r="DZ66" s="9"/>
      <x:c r="EA66" s="9"/>
      <x:c r="EB66" s="9"/>
      <x:c r="EC66" s="9"/>
      <x:c r="ED66" s="9"/>
      <x:c r="EE66" s="9"/>
      <x:c r="EF66" s="9"/>
      <x:c r="EG66" s="9"/>
      <x:c r="EH66" s="9"/>
      <x:c r="EI66" s="9"/>
      <x:c r="EJ66" s="9"/>
      <x:c r="EK66" s="9"/>
      <x:c r="EL66" s="9"/>
      <x:c r="EM66" s="9"/>
    </x:row>
    <x:row r="67" ht="6" customHeight="1">
      <x:c r="A67" s="793"/>
      <x:c r="B67" s="794"/>
      <x:c r="C67" s="794"/>
      <x:c r="D67" s="794"/>
      <x:c r="E67" s="794"/>
      <x:c r="F67" s="795"/>
      <x:c r="G67" s="799"/>
      <x:c r="H67" s="799"/>
      <x:c r="I67" s="799"/>
      <x:c r="J67" s="799"/>
      <x:c r="K67" s="799"/>
      <x:c r="L67" s="800"/>
      <x:c r="M67" s="801"/>
      <x:c r="N67" s="801"/>
      <x:c r="O67" s="801"/>
      <x:c r="P67" s="801"/>
      <x:c r="Q67" s="802"/>
      <x:c r="S67" s="786"/>
      <x:c r="T67" s="787"/>
      <x:c r="U67" s="827"/>
      <x:c r="V67" s="353"/>
      <x:c r="W67" s="353"/>
      <x:c r="X67" s="353"/>
      <x:c r="Y67" s="353"/>
      <x:c r="Z67" s="355"/>
      <x:c r="AA67" s="422" t="s">
        <x:v>255</x:v>
      </x:c>
      <x:c r="AB67" s="423"/>
      <x:c r="AC67" s="423"/>
      <x:c r="AD67" s="423"/>
      <x:c r="AE67" s="423"/>
      <x:c r="AF67" s="423"/>
      <x:c r="AG67" s="423"/>
      <x:c r="AH67" s="423"/>
      <x:c r="AI67" s="423"/>
      <x:c r="AJ67" s="423"/>
      <x:c r="AK67" s="423"/>
      <x:c r="AL67" s="423" t="s">
        <x:v>247</x:v>
      </x:c>
      <x:c r="AM67" s="423"/>
      <x:c r="AN67" s="423"/>
      <x:c r="AO67" s="423"/>
      <x:c r="AP67" s="423"/>
      <x:c r="AQ67" s="423"/>
      <x:c r="AR67" s="423"/>
      <x:c r="AS67" s="756" t="s">
        <x:v>236</x:v>
      </x:c>
      <x:c r="AT67" s="756"/>
      <x:c r="AU67" s="757"/>
      <x:c r="AV67" s="759" t="n">
        <x:f>IF(AO67&gt;=1,(AO67*AG67*3250),(AG67*25000))</x:f>
        <x:v>0</x:v>
      </x:c>
      <x:c r="AW67" s="759"/>
      <x:c r="AX67" s="759"/>
      <x:c r="AY67" s="759"/>
      <x:c r="AZ67" s="759"/>
      <x:c r="BA67" s="759"/>
      <x:c r="BB67" s="760"/>
      <x:c r="BD67" s="812" t="s">
        <x:v>256</x:v>
      </x:c>
      <x:c r="BE67" s="813"/>
      <x:c r="BF67" s="813"/>
      <x:c r="BG67" s="813"/>
      <x:c r="BH67" s="813"/>
      <x:c r="BI67" s="813"/>
      <x:c r="BJ67" s="813"/>
      <x:c r="BK67" s="813"/>
      <x:c r="BL67" s="813"/>
      <x:c r="BM67" s="813"/>
      <x:c r="BN67" s="813"/>
      <x:c r="BO67" s="813"/>
      <x:c r="BP67" s="813"/>
      <x:c r="BQ67" s="813"/>
      <x:c r="BR67" s="813"/>
      <x:c r="BS67" s="813"/>
      <x:c r="BT67" s="813"/>
      <x:c r="BU67" s="813"/>
      <x:c r="BV67" s="805"/>
      <x:c r="BW67" s="806"/>
      <x:c r="BX67" s="806"/>
      <x:c r="BY67" s="806"/>
      <x:c r="BZ67" s="806"/>
      <x:c r="CA67" s="806"/>
      <x:c r="CB67" s="806"/>
      <x:c r="CC67" s="806"/>
      <x:c r="CD67" s="806"/>
      <x:c r="CE67" s="808"/>
      <x:c r="CG67" s="816"/>
      <x:c r="CH67" s="930"/>
      <x:c r="CI67" s="930"/>
      <x:c r="CJ67" s="930"/>
      <x:c r="CK67" s="930"/>
      <x:c r="CL67" s="930"/>
      <x:c r="CM67" s="930"/>
      <x:c r="CN67" s="930"/>
      <x:c r="CO67" s="930"/>
      <x:c r="CP67" s="930"/>
      <x:c r="CQ67" s="930"/>
      <x:c r="CR67" s="930"/>
      <x:c r="CS67" s="930"/>
      <x:c r="CT67" s="930"/>
      <x:c r="CU67" s="930"/>
      <x:c r="CV67" s="930"/>
      <x:c r="CW67" s="930"/>
      <x:c r="CX67" s="930"/>
      <x:c r="CY67" s="930"/>
      <x:c r="CZ67" s="930"/>
      <x:c r="DA67" s="930"/>
      <x:c r="DB67" s="930"/>
      <x:c r="DC67" s="930"/>
      <x:c r="DD67" s="930"/>
      <x:c r="DE67" s="930"/>
      <x:c r="DF67" s="930"/>
      <x:c r="DG67" s="934"/>
      <x:c r="DN67" s="9"/>
      <x:c r="DO67" s="9"/>
      <x:c r="DP67" s="9"/>
      <x:c r="DQ67" s="9"/>
      <x:c r="DR67" s="9"/>
      <x:c r="DS67" s="9"/>
      <x:c r="DT67" s="9"/>
      <x:c r="DU67" s="9"/>
      <x:c r="DV67" s="9"/>
      <x:c r="DW67" s="9"/>
      <x:c r="DX67" s="9"/>
      <x:c r="DY67" s="9"/>
      <x:c r="DZ67" s="9"/>
      <x:c r="EA67" s="9"/>
      <x:c r="EB67" s="9"/>
      <x:c r="EC67" s="9"/>
      <x:c r="ED67" s="9"/>
      <x:c r="EE67" s="9"/>
      <x:c r="EF67" s="9"/>
      <x:c r="EG67" s="9"/>
      <x:c r="EH67" s="9"/>
      <x:c r="EI67" s="9"/>
      <x:c r="EJ67" s="9"/>
      <x:c r="EK67" s="9"/>
      <x:c r="EL67" s="9"/>
      <x:c r="EM67" s="9"/>
    </x:row>
    <x:row r="68" ht="6" customHeight="1">
      <x:c r="A68" s="796"/>
      <x:c r="B68" s="797"/>
      <x:c r="C68" s="797"/>
      <x:c r="D68" s="797"/>
      <x:c r="E68" s="797"/>
      <x:c r="F68" s="798"/>
      <x:c r="G68" s="799"/>
      <x:c r="H68" s="799"/>
      <x:c r="I68" s="799"/>
      <x:c r="J68" s="799"/>
      <x:c r="K68" s="799"/>
      <x:c r="L68" s="801"/>
      <x:c r="M68" s="801"/>
      <x:c r="N68" s="801"/>
      <x:c r="O68" s="801"/>
      <x:c r="P68" s="801"/>
      <x:c r="Q68" s="802"/>
      <x:c r="S68" s="786"/>
      <x:c r="T68" s="787"/>
      <x:c r="U68" s="828"/>
      <x:c r="V68" s="829"/>
      <x:c r="W68" s="829"/>
      <x:c r="X68" s="829"/>
      <x:c r="Y68" s="829"/>
      <x:c r="Z68" s="830"/>
      <x:c r="AA68" s="428"/>
      <x:c r="AB68" s="429"/>
      <x:c r="AC68" s="429"/>
      <x:c r="AD68" s="429"/>
      <x:c r="AE68" s="429"/>
      <x:c r="AF68" s="429"/>
      <x:c r="AG68" s="429"/>
      <x:c r="AH68" s="429"/>
      <x:c r="AI68" s="429"/>
      <x:c r="AJ68" s="429"/>
      <x:c r="AK68" s="429"/>
      <x:c r="AL68" s="429"/>
      <x:c r="AM68" s="429"/>
      <x:c r="AN68" s="429"/>
      <x:c r="AO68" s="429"/>
      <x:c r="AP68" s="429"/>
      <x:c r="AQ68" s="429"/>
      <x:c r="AR68" s="429"/>
      <x:c r="AS68" s="803"/>
      <x:c r="AT68" s="803"/>
      <x:c r="AU68" s="804"/>
      <x:c r="AV68" s="761"/>
      <x:c r="AW68" s="761"/>
      <x:c r="AX68" s="761"/>
      <x:c r="AY68" s="761"/>
      <x:c r="AZ68" s="761"/>
      <x:c r="BA68" s="761"/>
      <x:c r="BB68" s="762"/>
      <x:c r="BD68" s="812"/>
      <x:c r="BE68" s="813"/>
      <x:c r="BF68" s="813"/>
      <x:c r="BG68" s="813"/>
      <x:c r="BH68" s="813"/>
      <x:c r="BI68" s="813"/>
      <x:c r="BJ68" s="813"/>
      <x:c r="BK68" s="813"/>
      <x:c r="BL68" s="813"/>
      <x:c r="BM68" s="813"/>
      <x:c r="BN68" s="813"/>
      <x:c r="BO68" s="813"/>
      <x:c r="BP68" s="813"/>
      <x:c r="BQ68" s="813"/>
      <x:c r="BR68" s="813"/>
      <x:c r="BS68" s="813"/>
      <x:c r="BT68" s="813"/>
      <x:c r="BU68" s="813"/>
      <x:c r="BV68" s="807"/>
      <x:c r="BW68" s="807"/>
      <x:c r="BX68" s="807"/>
      <x:c r="BY68" s="807"/>
      <x:c r="BZ68" s="807"/>
      <x:c r="CA68" s="807"/>
      <x:c r="CB68" s="807"/>
      <x:c r="CC68" s="807"/>
      <x:c r="CD68" s="807"/>
      <x:c r="CE68" s="809"/>
      <x:c r="CG68" s="816"/>
      <x:c r="CH68" s="931"/>
      <x:c r="CI68" s="931"/>
      <x:c r="CJ68" s="931"/>
      <x:c r="CK68" s="931"/>
      <x:c r="CL68" s="931"/>
      <x:c r="CM68" s="931"/>
      <x:c r="CN68" s="931"/>
      <x:c r="CO68" s="931"/>
      <x:c r="CP68" s="931"/>
      <x:c r="CQ68" s="931"/>
      <x:c r="CR68" s="931"/>
      <x:c r="CS68" s="931"/>
      <x:c r="CT68" s="931"/>
      <x:c r="CU68" s="931"/>
      <x:c r="CV68" s="931"/>
      <x:c r="CW68" s="931"/>
      <x:c r="CX68" s="931"/>
      <x:c r="CY68" s="931"/>
      <x:c r="CZ68" s="931"/>
      <x:c r="DA68" s="931"/>
      <x:c r="DB68" s="931"/>
      <x:c r="DC68" s="931"/>
      <x:c r="DD68" s="931"/>
      <x:c r="DE68" s="931"/>
      <x:c r="DF68" s="931"/>
      <x:c r="DG68" s="934"/>
      <x:c r="DN68" s="31"/>
      <x:c r="DO68" s="9"/>
      <x:c r="DP68" s="9"/>
      <x:c r="DQ68" s="9"/>
      <x:c r="DR68" s="9"/>
      <x:c r="DS68" s="9"/>
      <x:c r="DT68" s="9"/>
      <x:c r="DU68" s="9"/>
      <x:c r="DV68" s="9"/>
      <x:c r="DW68" s="9"/>
      <x:c r="DX68" s="9"/>
      <x:c r="DY68" s="9"/>
      <x:c r="DZ68" s="9"/>
      <x:c r="EA68" s="9"/>
      <x:c r="EB68" s="9"/>
      <x:c r="EC68" s="9"/>
      <x:c r="ED68" s="9"/>
      <x:c r="EE68" s="9"/>
      <x:c r="EF68" s="9"/>
      <x:c r="EG68" s="9"/>
      <x:c r="EH68" s="9"/>
      <x:c r="EI68" s="9"/>
      <x:c r="EJ68" s="9"/>
      <x:c r="EK68" s="9"/>
      <x:c r="EL68" s="9"/>
      <x:c r="EM68" s="9"/>
    </x:row>
    <x:row r="69" ht="6" customHeight="1">
      <x:c r="A69" s="793"/>
      <x:c r="B69" s="794"/>
      <x:c r="C69" s="794"/>
      <x:c r="D69" s="794"/>
      <x:c r="E69" s="794"/>
      <x:c r="F69" s="795"/>
      <x:c r="G69" s="799"/>
      <x:c r="H69" s="799"/>
      <x:c r="I69" s="799"/>
      <x:c r="J69" s="799"/>
      <x:c r="K69" s="799"/>
      <x:c r="L69" s="847"/>
      <x:c r="M69" s="847"/>
      <x:c r="N69" s="847"/>
      <x:c r="O69" s="847"/>
      <x:c r="P69" s="847"/>
      <x:c r="Q69" s="848"/>
      <x:c r="S69" s="786"/>
      <x:c r="T69" s="787"/>
      <x:c r="U69" s="784" t="s">
        <x:v>257</x:v>
      </x:c>
      <x:c r="V69" s="849"/>
      <x:c r="W69" s="849"/>
      <x:c r="X69" s="849"/>
      <x:c r="Y69" s="849"/>
      <x:c r="Z69" s="849"/>
      <x:c r="AA69" s="849"/>
      <x:c r="AB69" s="849"/>
      <x:c r="AC69" s="849"/>
      <x:c r="AD69" s="849"/>
      <x:c r="AE69" s="849"/>
      <x:c r="AF69" s="849"/>
      <x:c r="AG69" s="849"/>
      <x:c r="AH69" s="849"/>
      <x:c r="AI69" s="849"/>
      <x:c r="AJ69" s="849"/>
      <x:c r="AK69" s="849"/>
      <x:c r="AL69" s="849"/>
      <x:c r="AM69" s="849"/>
      <x:c r="AN69" s="849"/>
      <x:c r="AO69" s="849"/>
      <x:c r="AP69" s="849"/>
      <x:c r="AQ69" s="849"/>
      <x:c r="AR69" s="849"/>
      <x:c r="AS69" s="849"/>
      <x:c r="AT69" s="849"/>
      <x:c r="AU69" s="850"/>
      <x:c r="AV69" s="759" t="e">
        <x:f>SUM(AV53:BB68)</x:f>
      </x:c>
      <x:c r="AW69" s="759"/>
      <x:c r="AX69" s="759"/>
      <x:c r="AY69" s="759"/>
      <x:c r="AZ69" s="759"/>
      <x:c r="BA69" s="759"/>
      <x:c r="BB69" s="760"/>
      <x:c r="BD69" s="812" t="s">
        <x:v>258</x:v>
      </x:c>
      <x:c r="BE69" s="813"/>
      <x:c r="BF69" s="813"/>
      <x:c r="BG69" s="813"/>
      <x:c r="BH69" s="813"/>
      <x:c r="BI69" s="813"/>
      <x:c r="BJ69" s="813"/>
      <x:c r="BK69" s="813"/>
      <x:c r="BL69" s="813"/>
      <x:c r="BM69" s="813"/>
      <x:c r="BN69" s="813"/>
      <x:c r="BO69" s="813"/>
      <x:c r="BP69" s="813"/>
      <x:c r="BQ69" s="813"/>
      <x:c r="BR69" s="813"/>
      <x:c r="BS69" s="813"/>
      <x:c r="BT69" s="813"/>
      <x:c r="BU69" s="813"/>
      <x:c r="BV69" s="805"/>
      <x:c r="BW69" s="806"/>
      <x:c r="BX69" s="806"/>
      <x:c r="BY69" s="806"/>
      <x:c r="BZ69" s="806"/>
      <x:c r="CA69" s="806"/>
      <x:c r="CB69" s="806"/>
      <x:c r="CC69" s="806"/>
      <x:c r="CD69" s="806"/>
      <x:c r="CE69" s="808"/>
      <x:c r="CG69" s="816"/>
      <x:c r="CH69" s="931"/>
      <x:c r="CI69" s="931"/>
      <x:c r="CJ69" s="931"/>
      <x:c r="CK69" s="931"/>
      <x:c r="CL69" s="931"/>
      <x:c r="CM69" s="931"/>
      <x:c r="CN69" s="931"/>
      <x:c r="CO69" s="931"/>
      <x:c r="CP69" s="931"/>
      <x:c r="CQ69" s="931"/>
      <x:c r="CR69" s="931"/>
      <x:c r="CS69" s="931"/>
      <x:c r="CT69" s="931"/>
      <x:c r="CU69" s="931"/>
      <x:c r="CV69" s="931"/>
      <x:c r="CW69" s="931"/>
      <x:c r="CX69" s="931"/>
      <x:c r="CY69" s="931"/>
      <x:c r="CZ69" s="931"/>
      <x:c r="DA69" s="931"/>
      <x:c r="DB69" s="931"/>
      <x:c r="DC69" s="931"/>
      <x:c r="DD69" s="931"/>
      <x:c r="DE69" s="931"/>
      <x:c r="DF69" s="931"/>
      <x:c r="DG69" s="934"/>
      <x:c r="DN69" s="9"/>
      <x:c r="DO69" s="9"/>
      <x:c r="DP69" s="9"/>
      <x:c r="DQ69" s="9"/>
      <x:c r="DR69" s="9"/>
      <x:c r="DS69" s="9"/>
      <x:c r="DT69" s="9"/>
      <x:c r="DU69" s="9"/>
      <x:c r="DV69" s="9"/>
      <x:c r="DW69" s="9"/>
      <x:c r="DX69" s="9"/>
      <x:c r="DY69" s="9"/>
      <x:c r="DZ69" s="9"/>
      <x:c r="EA69" s="9"/>
      <x:c r="EB69" s="9"/>
      <x:c r="EC69" s="9"/>
      <x:c r="ED69" s="9"/>
      <x:c r="EE69" s="9"/>
      <x:c r="EF69" s="9"/>
      <x:c r="EG69" s="9"/>
      <x:c r="EH69" s="9"/>
      <x:c r="EI69" s="9"/>
      <x:c r="EJ69" s="9"/>
      <x:c r="EK69" s="9"/>
      <x:c r="EL69" s="9"/>
      <x:c r="EM69" s="9"/>
    </x:row>
    <x:row r="70" ht="6" customHeight="1">
      <x:c r="A70" s="796"/>
      <x:c r="B70" s="797"/>
      <x:c r="C70" s="797"/>
      <x:c r="D70" s="797"/>
      <x:c r="E70" s="797"/>
      <x:c r="F70" s="798"/>
      <x:c r="G70" s="799"/>
      <x:c r="H70" s="799"/>
      <x:c r="I70" s="799"/>
      <x:c r="J70" s="799"/>
      <x:c r="K70" s="799"/>
      <x:c r="L70" s="847"/>
      <x:c r="M70" s="847"/>
      <x:c r="N70" s="847"/>
      <x:c r="O70" s="847"/>
      <x:c r="P70" s="847"/>
      <x:c r="Q70" s="848"/>
      <x:c r="S70" s="788"/>
      <x:c r="T70" s="789"/>
      <x:c r="U70" s="788"/>
      <x:c r="V70" s="851"/>
      <x:c r="W70" s="851"/>
      <x:c r="X70" s="851"/>
      <x:c r="Y70" s="851"/>
      <x:c r="Z70" s="851"/>
      <x:c r="AA70" s="851"/>
      <x:c r="AB70" s="851"/>
      <x:c r="AC70" s="851"/>
      <x:c r="AD70" s="851"/>
      <x:c r="AE70" s="851"/>
      <x:c r="AF70" s="851"/>
      <x:c r="AG70" s="851"/>
      <x:c r="AH70" s="851"/>
      <x:c r="AI70" s="851"/>
      <x:c r="AJ70" s="851"/>
      <x:c r="AK70" s="851"/>
      <x:c r="AL70" s="851"/>
      <x:c r="AM70" s="851"/>
      <x:c r="AN70" s="851"/>
      <x:c r="AO70" s="851"/>
      <x:c r="AP70" s="851"/>
      <x:c r="AQ70" s="851"/>
      <x:c r="AR70" s="851"/>
      <x:c r="AS70" s="851"/>
      <x:c r="AT70" s="851"/>
      <x:c r="AU70" s="852"/>
      <x:c r="AV70" s="761"/>
      <x:c r="AW70" s="761"/>
      <x:c r="AX70" s="761"/>
      <x:c r="AY70" s="761"/>
      <x:c r="AZ70" s="761"/>
      <x:c r="BA70" s="761"/>
      <x:c r="BB70" s="762"/>
      <x:c r="BD70" s="812"/>
      <x:c r="BE70" s="813"/>
      <x:c r="BF70" s="813"/>
      <x:c r="BG70" s="813"/>
      <x:c r="BH70" s="813"/>
      <x:c r="BI70" s="813"/>
      <x:c r="BJ70" s="813"/>
      <x:c r="BK70" s="813"/>
      <x:c r="BL70" s="813"/>
      <x:c r="BM70" s="813"/>
      <x:c r="BN70" s="813"/>
      <x:c r="BO70" s="813"/>
      <x:c r="BP70" s="813"/>
      <x:c r="BQ70" s="813"/>
      <x:c r="BR70" s="813"/>
      <x:c r="BS70" s="813"/>
      <x:c r="BT70" s="813"/>
      <x:c r="BU70" s="813"/>
      <x:c r="BV70" s="807"/>
      <x:c r="BW70" s="807"/>
      <x:c r="BX70" s="807"/>
      <x:c r="BY70" s="807"/>
      <x:c r="BZ70" s="807"/>
      <x:c r="CA70" s="807"/>
      <x:c r="CB70" s="807"/>
      <x:c r="CC70" s="807"/>
      <x:c r="CD70" s="807"/>
      <x:c r="CE70" s="809"/>
      <x:c r="CG70" s="816"/>
      <x:c r="CH70" s="931"/>
      <x:c r="CI70" s="931"/>
      <x:c r="CJ70" s="931"/>
      <x:c r="CK70" s="931"/>
      <x:c r="CL70" s="931"/>
      <x:c r="CM70" s="931"/>
      <x:c r="CN70" s="931"/>
      <x:c r="CO70" s="931"/>
      <x:c r="CP70" s="931"/>
      <x:c r="CQ70" s="931"/>
      <x:c r="CR70" s="931"/>
      <x:c r="CS70" s="931"/>
      <x:c r="CT70" s="931"/>
      <x:c r="CU70" s="931"/>
      <x:c r="CV70" s="931"/>
      <x:c r="CW70" s="931"/>
      <x:c r="CX70" s="931"/>
      <x:c r="CY70" s="931"/>
      <x:c r="CZ70" s="931"/>
      <x:c r="DA70" s="931"/>
      <x:c r="DB70" s="931"/>
      <x:c r="DC70" s="931"/>
      <x:c r="DD70" s="931"/>
      <x:c r="DE70" s="931"/>
      <x:c r="DF70" s="931"/>
      <x:c r="DG70" s="934"/>
      <x:c r="DN70" s="9"/>
      <x:c r="DO70" s="9"/>
      <x:c r="DP70" s="9"/>
      <x:c r="DQ70" s="9"/>
      <x:c r="DR70" s="9"/>
      <x:c r="DS70" s="9"/>
      <x:c r="DT70" s="9"/>
      <x:c r="DU70" s="9"/>
      <x:c r="DV70" s="9"/>
      <x:c r="DW70" s="9"/>
      <x:c r="DX70" s="9"/>
      <x:c r="DY70" s="9"/>
      <x:c r="DZ70" s="9"/>
      <x:c r="EA70" s="9"/>
      <x:c r="EB70" s="9"/>
      <x:c r="EC70" s="9"/>
      <x:c r="ED70" s="9"/>
      <x:c r="EE70" s="9"/>
      <x:c r="EF70" s="9"/>
      <x:c r="EG70" s="9"/>
      <x:c r="EH70" s="9"/>
      <x:c r="EI70" s="9"/>
      <x:c r="EJ70" s="9"/>
      <x:c r="EK70" s="9"/>
      <x:c r="EL70" s="9"/>
      <x:c r="EM70" s="9"/>
    </x:row>
    <x:row r="71" ht="6" customHeight="1">
      <x:c r="A71" s="1111"/>
      <x:c r="B71" s="1112"/>
      <x:c r="C71" s="1112"/>
      <x:c r="D71" s="1112"/>
      <x:c r="E71" s="1112"/>
      <x:c r="F71" s="1113"/>
      <x:c r="G71" s="1117"/>
      <x:c r="H71" s="1118"/>
      <x:c r="I71" s="1118"/>
      <x:c r="J71" s="1118"/>
      <x:c r="K71" s="1119"/>
      <x:c r="L71" s="1123"/>
      <x:c r="M71" s="1112"/>
      <x:c r="N71" s="1112"/>
      <x:c r="O71" s="1112"/>
      <x:c r="P71" s="1112"/>
      <x:c r="Q71" s="1124"/>
      <x:c r="BD71" s="812" t="s">
        <x:v>259</x:v>
      </x:c>
      <x:c r="BE71" s="813"/>
      <x:c r="BF71" s="813"/>
      <x:c r="BG71" s="813"/>
      <x:c r="BH71" s="813"/>
      <x:c r="BI71" s="813"/>
      <x:c r="BJ71" s="813"/>
      <x:c r="BK71" s="813"/>
      <x:c r="BL71" s="813"/>
      <x:c r="BM71" s="813"/>
      <x:c r="BN71" s="813"/>
      <x:c r="BO71" s="813"/>
      <x:c r="BP71" s="813"/>
      <x:c r="BQ71" s="813"/>
      <x:c r="BR71" s="813"/>
      <x:c r="BS71" s="813"/>
      <x:c r="BT71" s="813"/>
      <x:c r="BU71" s="813"/>
      <x:c r="BV71" s="805"/>
      <x:c r="BW71" s="806"/>
      <x:c r="BX71" s="806"/>
      <x:c r="BY71" s="806"/>
      <x:c r="BZ71" s="806"/>
      <x:c r="CA71" s="806"/>
      <x:c r="CB71" s="806"/>
      <x:c r="CC71" s="806"/>
      <x:c r="CD71" s="806"/>
      <x:c r="CE71" s="808"/>
      <x:c r="CG71" s="816"/>
      <x:c r="CH71" s="931"/>
      <x:c r="CI71" s="931"/>
      <x:c r="CJ71" s="931"/>
      <x:c r="CK71" s="931"/>
      <x:c r="CL71" s="931"/>
      <x:c r="CM71" s="931"/>
      <x:c r="CN71" s="931"/>
      <x:c r="CO71" s="931"/>
      <x:c r="CP71" s="931"/>
      <x:c r="CQ71" s="931"/>
      <x:c r="CR71" s="931"/>
      <x:c r="CS71" s="931"/>
      <x:c r="CT71" s="931"/>
      <x:c r="CU71" s="931"/>
      <x:c r="CV71" s="931"/>
      <x:c r="CW71" s="931"/>
      <x:c r="CX71" s="931"/>
      <x:c r="CY71" s="931"/>
      <x:c r="CZ71" s="931"/>
      <x:c r="DA71" s="931"/>
      <x:c r="DB71" s="931"/>
      <x:c r="DC71" s="931"/>
      <x:c r="DD71" s="931"/>
      <x:c r="DE71" s="931"/>
      <x:c r="DF71" s="931"/>
      <x:c r="DG71" s="934"/>
      <x:c r="DN71" s="9"/>
      <x:c r="DO71" s="9"/>
      <x:c r="DP71" s="9"/>
      <x:c r="DQ71" s="9"/>
      <x:c r="DR71" s="9"/>
      <x:c r="DS71" s="9"/>
      <x:c r="DT71" s="9"/>
      <x:c r="DU71" s="9"/>
      <x:c r="DV71" s="9"/>
      <x:c r="DW71" s="9"/>
      <x:c r="DX71" s="9"/>
      <x:c r="DY71" s="9"/>
      <x:c r="DZ71" s="9"/>
      <x:c r="EA71" s="9"/>
      <x:c r="EB71" s="9"/>
      <x:c r="EC71" s="9"/>
      <x:c r="ED71" s="9"/>
      <x:c r="EE71" s="9"/>
      <x:c r="EF71" s="9"/>
      <x:c r="EG71" s="9"/>
      <x:c r="EH71" s="9"/>
      <x:c r="EI71" s="9"/>
      <x:c r="EJ71" s="9"/>
      <x:c r="EK71" s="9"/>
      <x:c r="EL71" s="9"/>
      <x:c r="EM71" s="9"/>
    </x:row>
    <x:row r="72" ht="6" customHeight="1">
      <x:c r="A72" s="1114"/>
      <x:c r="B72" s="1115"/>
      <x:c r="C72" s="1115"/>
      <x:c r="D72" s="1115"/>
      <x:c r="E72" s="1115"/>
      <x:c r="F72" s="1116"/>
      <x:c r="G72" s="1120"/>
      <x:c r="H72" s="1121"/>
      <x:c r="I72" s="1121"/>
      <x:c r="J72" s="1121"/>
      <x:c r="K72" s="1122"/>
      <x:c r="L72" s="1125"/>
      <x:c r="M72" s="1126"/>
      <x:c r="N72" s="1126"/>
      <x:c r="O72" s="1126"/>
      <x:c r="P72" s="1126"/>
      <x:c r="Q72" s="1127"/>
      <x:c r="S72" s="903" t="s">
        <x:v>260</x:v>
      </x:c>
      <x:c r="T72" s="904"/>
      <x:c r="U72" s="904"/>
      <x:c r="V72" s="904"/>
      <x:c r="W72" s="904"/>
      <x:c r="X72" s="904"/>
      <x:c r="Y72" s="905"/>
      <x:c r="Z72" s="422" t="s">
        <x:v>261</x:v>
      </x:c>
      <x:c r="AA72" s="423"/>
      <x:c r="AB72" s="423"/>
      <x:c r="AC72" s="909"/>
      <x:c r="AD72" s="911"/>
      <x:c r="AE72" s="912"/>
      <x:c r="AF72" s="912"/>
      <x:c r="AG72" s="912"/>
      <x:c r="AH72" s="913"/>
      <x:c r="AI72" s="854" t="e">
        <x:f>IFERROR(VLOOKUP(AD72,種別!B2:C89,2,),"")</x:f>
      </x:c>
      <x:c r="AJ72" s="854"/>
      <x:c r="AK72" s="854"/>
      <x:c r="AL72" s="854"/>
      <x:c r="AM72" s="854"/>
      <x:c r="AN72" s="855"/>
      <x:c r="AO72" s="855"/>
      <x:c r="AP72" s="855"/>
      <x:c r="AQ72" s="855"/>
      <x:c r="AR72" s="891" t="n">
        <x:f t="shared" ref="AR72" si="0">IF(AND(($H$19&gt;=DATEVALUE("2025/3/15")),($H$19&lt;=DATEVALUE("2025/4/6"))),0.1,0.2)</x:f>
        <x:v>0.2</x:v>
      </x:c>
      <x:c r="AS72" s="892"/>
      <x:c r="AT72" s="892"/>
      <x:c r="AU72" s="893"/>
      <x:c r="AV72" s="897" t="e">
        <x:f>AV69*-AR72</x:f>
      </x:c>
      <x:c r="AW72" s="898"/>
      <x:c r="AX72" s="898"/>
      <x:c r="AY72" s="898"/>
      <x:c r="AZ72" s="898"/>
      <x:c r="BA72" s="898"/>
      <x:c r="BB72" s="899"/>
      <x:c r="BD72" s="812"/>
      <x:c r="BE72" s="813"/>
      <x:c r="BF72" s="813"/>
      <x:c r="BG72" s="813"/>
      <x:c r="BH72" s="813"/>
      <x:c r="BI72" s="813"/>
      <x:c r="BJ72" s="813"/>
      <x:c r="BK72" s="813"/>
      <x:c r="BL72" s="813"/>
      <x:c r="BM72" s="813"/>
      <x:c r="BN72" s="813"/>
      <x:c r="BO72" s="813"/>
      <x:c r="BP72" s="813"/>
      <x:c r="BQ72" s="813"/>
      <x:c r="BR72" s="813"/>
      <x:c r="BS72" s="813"/>
      <x:c r="BT72" s="813"/>
      <x:c r="BU72" s="813"/>
      <x:c r="BV72" s="807"/>
      <x:c r="BW72" s="807"/>
      <x:c r="BX72" s="807"/>
      <x:c r="BY72" s="807"/>
      <x:c r="BZ72" s="807"/>
      <x:c r="CA72" s="807"/>
      <x:c r="CB72" s="807"/>
      <x:c r="CC72" s="807"/>
      <x:c r="CD72" s="807"/>
      <x:c r="CE72" s="809"/>
      <x:c r="CG72" s="816"/>
      <x:c r="CH72" s="931"/>
      <x:c r="CI72" s="931"/>
      <x:c r="CJ72" s="931"/>
      <x:c r="CK72" s="931"/>
      <x:c r="CL72" s="931"/>
      <x:c r="CM72" s="931"/>
      <x:c r="CN72" s="931"/>
      <x:c r="CO72" s="931"/>
      <x:c r="CP72" s="931"/>
      <x:c r="CQ72" s="931"/>
      <x:c r="CR72" s="931"/>
      <x:c r="CS72" s="931"/>
      <x:c r="CT72" s="931"/>
      <x:c r="CU72" s="931"/>
      <x:c r="CV72" s="931"/>
      <x:c r="CW72" s="931"/>
      <x:c r="CX72" s="931"/>
      <x:c r="CY72" s="931"/>
      <x:c r="CZ72" s="931"/>
      <x:c r="DA72" s="931"/>
      <x:c r="DB72" s="931"/>
      <x:c r="DC72" s="931"/>
      <x:c r="DD72" s="931"/>
      <x:c r="DE72" s="931"/>
      <x:c r="DF72" s="931"/>
      <x:c r="DG72" s="934"/>
      <x:c r="DN72" s="31"/>
      <x:c r="DO72" s="9"/>
      <x:c r="DP72" s="9"/>
      <x:c r="DQ72" s="9"/>
      <x:c r="DR72" s="9"/>
      <x:c r="DS72" s="9"/>
      <x:c r="DT72" s="9"/>
      <x:c r="DU72" s="9"/>
      <x:c r="DV72" s="9"/>
      <x:c r="DW72" s="9"/>
      <x:c r="DX72" s="9"/>
      <x:c r="DY72" s="9"/>
      <x:c r="DZ72" s="9"/>
      <x:c r="EA72" s="9"/>
      <x:c r="EB72" s="9"/>
      <x:c r="EC72" s="9"/>
      <x:c r="ED72" s="9"/>
      <x:c r="EE72" s="9"/>
      <x:c r="EF72" s="9"/>
      <x:c r="EG72" s="9"/>
      <x:c r="EH72" s="9"/>
      <x:c r="EI72" s="9"/>
      <x:c r="EJ72" s="9"/>
      <x:c r="EK72" s="9"/>
      <x:c r="EL72" s="9"/>
      <x:c r="EM72" s="9"/>
    </x:row>
    <x:row r="73" ht="6" customHeight="1">
      <x:c r="A73" s="84"/>
      <x:c r="B73" s="84"/>
      <x:c r="C73" s="84"/>
      <x:c r="D73" s="84"/>
      <x:c r="E73" s="84"/>
      <x:c r="F73" s="85"/>
      <x:c r="G73" s="86"/>
      <x:c r="H73" s="87"/>
      <x:c r="I73" s="87"/>
      <x:c r="J73" s="87"/>
      <x:c r="K73" s="88"/>
      <x:c r="L73" s="89"/>
      <x:c r="M73" s="84"/>
      <x:c r="N73" s="84"/>
      <x:c r="O73" s="84"/>
      <x:c r="P73" s="84"/>
      <x:c r="Q73" s="84"/>
      <x:c r="S73" s="906"/>
      <x:c r="T73" s="907"/>
      <x:c r="U73" s="907"/>
      <x:c r="V73" s="907"/>
      <x:c r="W73" s="907"/>
      <x:c r="X73" s="907"/>
      <x:c r="Y73" s="908"/>
      <x:c r="Z73" s="771"/>
      <x:c r="AA73" s="763"/>
      <x:c r="AB73" s="763"/>
      <x:c r="AC73" s="910"/>
      <x:c r="AD73" s="736"/>
      <x:c r="AE73" s="737"/>
      <x:c r="AF73" s="737"/>
      <x:c r="AG73" s="737"/>
      <x:c r="AH73" s="914"/>
      <x:c r="AI73" s="856"/>
      <x:c r="AJ73" s="856"/>
      <x:c r="AK73" s="856"/>
      <x:c r="AL73" s="856"/>
      <x:c r="AM73" s="856"/>
      <x:c r="AN73" s="857"/>
      <x:c r="AO73" s="857"/>
      <x:c r="AP73" s="857"/>
      <x:c r="AQ73" s="857"/>
      <x:c r="AR73" s="894"/>
      <x:c r="AS73" s="895"/>
      <x:c r="AT73" s="895"/>
      <x:c r="AU73" s="896"/>
      <x:c r="AV73" s="900"/>
      <x:c r="AW73" s="901"/>
      <x:c r="AX73" s="901"/>
      <x:c r="AY73" s="901"/>
      <x:c r="AZ73" s="901"/>
      <x:c r="BA73" s="901"/>
      <x:c r="BB73" s="902"/>
      <x:c r="BD73" s="812" t="s">
        <x:v>262</x:v>
      </x:c>
      <x:c r="BE73" s="813"/>
      <x:c r="BF73" s="813"/>
      <x:c r="BG73" s="813"/>
      <x:c r="BH73" s="813"/>
      <x:c r="BI73" s="813"/>
      <x:c r="BJ73" s="813"/>
      <x:c r="BK73" s="813"/>
      <x:c r="BL73" s="813"/>
      <x:c r="BM73" s="813"/>
      <x:c r="BN73" s="813"/>
      <x:c r="BO73" s="813"/>
      <x:c r="BP73" s="813"/>
      <x:c r="BQ73" s="813"/>
      <x:c r="BR73" s="813"/>
      <x:c r="BS73" s="813"/>
      <x:c r="BT73" s="813"/>
      <x:c r="BU73" s="813"/>
      <x:c r="BV73" s="805"/>
      <x:c r="BW73" s="806"/>
      <x:c r="BX73" s="806"/>
      <x:c r="BY73" s="806"/>
      <x:c r="BZ73" s="806"/>
      <x:c r="CA73" s="806"/>
      <x:c r="CB73" s="806"/>
      <x:c r="CC73" s="806"/>
      <x:c r="CD73" s="806"/>
      <x:c r="CE73" s="808"/>
      <x:c r="CG73" s="816"/>
      <x:c r="CH73" s="931"/>
      <x:c r="CI73" s="931"/>
      <x:c r="CJ73" s="931"/>
      <x:c r="CK73" s="931"/>
      <x:c r="CL73" s="931"/>
      <x:c r="CM73" s="931"/>
      <x:c r="CN73" s="931"/>
      <x:c r="CO73" s="931"/>
      <x:c r="CP73" s="931"/>
      <x:c r="CQ73" s="931"/>
      <x:c r="CR73" s="931"/>
      <x:c r="CS73" s="931"/>
      <x:c r="CT73" s="931"/>
      <x:c r="CU73" s="931"/>
      <x:c r="CV73" s="931"/>
      <x:c r="CW73" s="931"/>
      <x:c r="CX73" s="931"/>
      <x:c r="CY73" s="931"/>
      <x:c r="CZ73" s="931"/>
      <x:c r="DA73" s="931"/>
      <x:c r="DB73" s="931"/>
      <x:c r="DC73" s="931"/>
      <x:c r="DD73" s="931"/>
      <x:c r="DE73" s="931"/>
      <x:c r="DF73" s="931"/>
      <x:c r="DG73" s="934"/>
      <x:c r="DN73" s="9"/>
      <x:c r="DO73" s="9"/>
      <x:c r="DP73" s="9"/>
      <x:c r="DQ73" s="9"/>
      <x:c r="DR73" s="9"/>
      <x:c r="DS73" s="9"/>
      <x:c r="DT73" s="9"/>
      <x:c r="DU73" s="9"/>
      <x:c r="DV73" s="9"/>
      <x:c r="DW73" s="9"/>
      <x:c r="DX73" s="9"/>
      <x:c r="DY73" s="9"/>
      <x:c r="DZ73" s="9"/>
      <x:c r="EA73" s="9"/>
      <x:c r="EB73" s="9"/>
      <x:c r="EC73" s="9"/>
      <x:c r="ED73" s="9"/>
      <x:c r="EE73" s="9"/>
      <x:c r="EF73" s="9"/>
      <x:c r="EG73" s="9"/>
      <x:c r="EH73" s="9"/>
      <x:c r="EI73" s="9"/>
      <x:c r="EJ73" s="9"/>
      <x:c r="EK73" s="9"/>
      <x:c r="EL73" s="9"/>
      <x:c r="EM73" s="9"/>
    </x:row>
    <x:row r="74" ht="6" customHeight="1">
      <x:c r="A74" s="392" t="s">
        <x:v>4</x:v>
      </x:c>
      <x:c r="B74" s="393"/>
      <x:c r="C74" s="393"/>
      <x:c r="D74" s="393"/>
      <x:c r="E74" s="393"/>
      <x:c r="F74" s="853"/>
      <x:c r="G74" s="839" t="s">
        <x:v>263</x:v>
      </x:c>
      <x:c r="H74" s="840"/>
      <x:c r="I74" s="841"/>
      <x:c r="J74" s="839" t="s">
        <x:v>239</x:v>
      </x:c>
      <x:c r="K74" s="841"/>
      <x:c r="L74" s="844" t="s">
        <x:v>264</x:v>
      </x:c>
      <x:c r="M74" s="844"/>
      <x:c r="N74" s="844"/>
      <x:c r="O74" s="844"/>
      <x:c r="P74" s="844"/>
      <x:c r="Q74" s="845"/>
      <x:c r="S74" s="879" t="s">
        <x:v>265</x:v>
      </x:c>
      <x:c r="T74" s="880"/>
      <x:c r="U74" s="880"/>
      <x:c r="V74" s="880"/>
      <x:c r="W74" s="880"/>
      <x:c r="X74" s="880"/>
      <x:c r="Y74" s="880"/>
      <x:c r="Z74" s="880"/>
      <x:c r="AA74" s="880"/>
      <x:c r="AB74" s="880"/>
      <x:c r="AC74" s="880"/>
      <x:c r="AD74" s="880"/>
      <x:c r="AE74" s="880"/>
      <x:c r="AF74" s="880"/>
      <x:c r="AG74" s="880"/>
      <x:c r="AH74" s="880"/>
      <x:c r="AI74" s="880"/>
      <x:c r="AJ74" s="880"/>
      <x:c r="AK74" s="880"/>
      <x:c r="AL74" s="880"/>
      <x:c r="AM74" s="880"/>
      <x:c r="AN74" s="880"/>
      <x:c r="AO74" s="880"/>
      <x:c r="AP74" s="880"/>
      <x:c r="AQ74" s="880"/>
      <x:c r="AR74" s="880"/>
      <x:c r="AS74" s="880"/>
      <x:c r="AT74" s="880"/>
      <x:c r="AU74" s="881"/>
      <x:c r="AV74" s="885" t="e">
        <x:f>AV69+AV72</x:f>
      </x:c>
      <x:c r="AW74" s="886"/>
      <x:c r="AX74" s="886"/>
      <x:c r="AY74" s="886"/>
      <x:c r="AZ74" s="886"/>
      <x:c r="BA74" s="886"/>
      <x:c r="BB74" s="887"/>
      <x:c r="BD74" s="812"/>
      <x:c r="BE74" s="813"/>
      <x:c r="BF74" s="813"/>
      <x:c r="BG74" s="813"/>
      <x:c r="BH74" s="813"/>
      <x:c r="BI74" s="813"/>
      <x:c r="BJ74" s="813"/>
      <x:c r="BK74" s="813"/>
      <x:c r="BL74" s="813"/>
      <x:c r="BM74" s="813"/>
      <x:c r="BN74" s="813"/>
      <x:c r="BO74" s="813"/>
      <x:c r="BP74" s="813"/>
      <x:c r="BQ74" s="813"/>
      <x:c r="BR74" s="813"/>
      <x:c r="BS74" s="813"/>
      <x:c r="BT74" s="813"/>
      <x:c r="BU74" s="813"/>
      <x:c r="BV74" s="807"/>
      <x:c r="BW74" s="807"/>
      <x:c r="BX74" s="807"/>
      <x:c r="BY74" s="807"/>
      <x:c r="BZ74" s="807"/>
      <x:c r="CA74" s="807"/>
      <x:c r="CB74" s="807"/>
      <x:c r="CC74" s="807"/>
      <x:c r="CD74" s="807"/>
      <x:c r="CE74" s="809"/>
      <x:c r="CG74" s="816"/>
      <x:c r="CH74" s="931"/>
      <x:c r="CI74" s="931"/>
      <x:c r="CJ74" s="931"/>
      <x:c r="CK74" s="931"/>
      <x:c r="CL74" s="931"/>
      <x:c r="CM74" s="931"/>
      <x:c r="CN74" s="931"/>
      <x:c r="CO74" s="931"/>
      <x:c r="CP74" s="931"/>
      <x:c r="CQ74" s="931"/>
      <x:c r="CR74" s="931"/>
      <x:c r="CS74" s="931"/>
      <x:c r="CT74" s="931"/>
      <x:c r="CU74" s="931"/>
      <x:c r="CV74" s="931"/>
      <x:c r="CW74" s="931"/>
      <x:c r="CX74" s="931"/>
      <x:c r="CY74" s="931"/>
      <x:c r="CZ74" s="931"/>
      <x:c r="DA74" s="931"/>
      <x:c r="DB74" s="931"/>
      <x:c r="DC74" s="931"/>
      <x:c r="DD74" s="931"/>
      <x:c r="DE74" s="931"/>
      <x:c r="DF74" s="931"/>
      <x:c r="DG74" s="934"/>
      <x:c r="DN74" s="9"/>
      <x:c r="DO74" s="9"/>
      <x:c r="DP74" s="9"/>
      <x:c r="DQ74" s="9"/>
      <x:c r="DR74" s="9"/>
      <x:c r="DS74" s="9"/>
      <x:c r="DT74" s="9"/>
      <x:c r="DU74" s="9"/>
      <x:c r="DV74" s="9"/>
      <x:c r="DW74" s="9"/>
      <x:c r="DX74" s="9"/>
      <x:c r="DY74" s="9"/>
      <x:c r="DZ74" s="9"/>
      <x:c r="EA74" s="9"/>
      <x:c r="EB74" s="9"/>
      <x:c r="EC74" s="9"/>
      <x:c r="ED74" s="9"/>
      <x:c r="EE74" s="9"/>
      <x:c r="EF74" s="9"/>
      <x:c r="EG74" s="9"/>
      <x:c r="EH74" s="9"/>
      <x:c r="EI74" s="9"/>
      <x:c r="EJ74" s="9"/>
      <x:c r="EK74" s="9"/>
      <x:c r="EL74" s="9"/>
      <x:c r="EM74" s="9"/>
    </x:row>
    <x:row r="75" ht="6" customHeight="1">
      <x:c r="A75" s="781"/>
      <x:c r="B75" s="782"/>
      <x:c r="C75" s="782"/>
      <x:c r="D75" s="782"/>
      <x:c r="E75" s="782"/>
      <x:c r="F75" s="843"/>
      <x:c r="G75" s="842"/>
      <x:c r="H75" s="782"/>
      <x:c r="I75" s="843"/>
      <x:c r="J75" s="842"/>
      <x:c r="K75" s="843"/>
      <x:c r="L75" s="768"/>
      <x:c r="M75" s="768"/>
      <x:c r="N75" s="768"/>
      <x:c r="O75" s="768"/>
      <x:c r="P75" s="768"/>
      <x:c r="Q75" s="846"/>
      <x:c r="S75" s="882"/>
      <x:c r="T75" s="883"/>
      <x:c r="U75" s="883"/>
      <x:c r="V75" s="883"/>
      <x:c r="W75" s="883"/>
      <x:c r="X75" s="883"/>
      <x:c r="Y75" s="883"/>
      <x:c r="Z75" s="883"/>
      <x:c r="AA75" s="883"/>
      <x:c r="AB75" s="883"/>
      <x:c r="AC75" s="883"/>
      <x:c r="AD75" s="883"/>
      <x:c r="AE75" s="883"/>
      <x:c r="AF75" s="883"/>
      <x:c r="AG75" s="883"/>
      <x:c r="AH75" s="883"/>
      <x:c r="AI75" s="883"/>
      <x:c r="AJ75" s="883"/>
      <x:c r="AK75" s="883"/>
      <x:c r="AL75" s="883"/>
      <x:c r="AM75" s="883"/>
      <x:c r="AN75" s="883"/>
      <x:c r="AO75" s="883"/>
      <x:c r="AP75" s="883"/>
      <x:c r="AQ75" s="883"/>
      <x:c r="AR75" s="883"/>
      <x:c r="AS75" s="883"/>
      <x:c r="AT75" s="883"/>
      <x:c r="AU75" s="884"/>
      <x:c r="AV75" s="888"/>
      <x:c r="AW75" s="889"/>
      <x:c r="AX75" s="889"/>
      <x:c r="AY75" s="889"/>
      <x:c r="AZ75" s="889"/>
      <x:c r="BA75" s="889"/>
      <x:c r="BB75" s="890"/>
      <x:c r="BD75" s="812" t="s">
        <x:v>266</x:v>
      </x:c>
      <x:c r="BE75" s="813"/>
      <x:c r="BF75" s="813"/>
      <x:c r="BG75" s="813"/>
      <x:c r="BH75" s="813"/>
      <x:c r="BI75" s="813"/>
      <x:c r="BJ75" s="813"/>
      <x:c r="BK75" s="813"/>
      <x:c r="BL75" s="813"/>
      <x:c r="BM75" s="813"/>
      <x:c r="BN75" s="813"/>
      <x:c r="BO75" s="813"/>
      <x:c r="BP75" s="813"/>
      <x:c r="BQ75" s="813"/>
      <x:c r="BR75" s="813"/>
      <x:c r="BS75" s="813"/>
      <x:c r="BT75" s="813"/>
      <x:c r="BU75" s="813"/>
      <x:c r="BV75" s="805"/>
      <x:c r="BW75" s="806"/>
      <x:c r="BX75" s="806"/>
      <x:c r="BY75" s="806"/>
      <x:c r="BZ75" s="806"/>
      <x:c r="CA75" s="806"/>
      <x:c r="CB75" s="806"/>
      <x:c r="CC75" s="806"/>
      <x:c r="CD75" s="806"/>
      <x:c r="CE75" s="808"/>
      <x:c r="CG75" s="816"/>
      <x:c r="CH75" s="931"/>
      <x:c r="CI75" s="931"/>
      <x:c r="CJ75" s="931"/>
      <x:c r="CK75" s="931"/>
      <x:c r="CL75" s="931"/>
      <x:c r="CM75" s="931"/>
      <x:c r="CN75" s="931"/>
      <x:c r="CO75" s="931"/>
      <x:c r="CP75" s="931"/>
      <x:c r="CQ75" s="931"/>
      <x:c r="CR75" s="931"/>
      <x:c r="CS75" s="931"/>
      <x:c r="CT75" s="931"/>
      <x:c r="CU75" s="931"/>
      <x:c r="CV75" s="931"/>
      <x:c r="CW75" s="931"/>
      <x:c r="CX75" s="931"/>
      <x:c r="CY75" s="931"/>
      <x:c r="CZ75" s="931"/>
      <x:c r="DA75" s="931"/>
      <x:c r="DB75" s="931"/>
      <x:c r="DC75" s="931"/>
      <x:c r="DD75" s="931"/>
      <x:c r="DE75" s="931"/>
      <x:c r="DF75" s="931"/>
      <x:c r="DG75" s="934"/>
      <x:c r="DN75" s="9"/>
      <x:c r="DO75" s="9"/>
      <x:c r="DP75" s="9"/>
      <x:c r="DQ75" s="9"/>
      <x:c r="DR75" s="9"/>
      <x:c r="DS75" s="9"/>
      <x:c r="DT75" s="9"/>
      <x:c r="DU75" s="9"/>
      <x:c r="DV75" s="9"/>
      <x:c r="DW75" s="9"/>
      <x:c r="DX75" s="9"/>
      <x:c r="DY75" s="9"/>
      <x:c r="DZ75" s="9"/>
      <x:c r="EA75" s="9"/>
      <x:c r="EB75" s="9"/>
      <x:c r="EC75" s="9"/>
      <x:c r="ED75" s="9"/>
      <x:c r="EE75" s="9"/>
      <x:c r="EF75" s="9"/>
      <x:c r="EG75" s="9"/>
      <x:c r="EH75" s="9"/>
      <x:c r="EI75" s="9"/>
      <x:c r="EJ75" s="9"/>
      <x:c r="EK75" s="9"/>
      <x:c r="EL75" s="9"/>
      <x:c r="EM75" s="9"/>
    </x:row>
    <x:row r="76" ht="6" customHeight="1">
      <x:c r="A76" s="1104" t="s">
        <x:v>152</x:v>
      </x:c>
      <x:c r="B76" s="1105"/>
      <x:c r="C76" s="1105"/>
      <x:c r="D76" s="1105"/>
      <x:c r="E76" s="1105"/>
      <x:c r="F76" s="1106"/>
      <x:c r="G76" s="831">
        <x:v>100</x:v>
      </x:c>
      <x:c r="H76" s="832"/>
      <x:c r="I76" s="833"/>
      <x:c r="J76" s="645"/>
      <x:c r="K76" s="647"/>
      <x:c r="L76" s="837" t="str">
        <x:f>IF(G76*J76=0,"",SUM(G76*J76))</x:f>
      </x:c>
      <x:c r="M76" s="837"/>
      <x:c r="N76" s="837"/>
      <x:c r="O76" s="837"/>
      <x:c r="P76" s="837"/>
      <x:c r="Q76" s="838"/>
      <x:c r="BD76" s="812"/>
      <x:c r="BE76" s="813"/>
      <x:c r="BF76" s="813"/>
      <x:c r="BG76" s="813"/>
      <x:c r="BH76" s="813"/>
      <x:c r="BI76" s="813"/>
      <x:c r="BJ76" s="813"/>
      <x:c r="BK76" s="813"/>
      <x:c r="BL76" s="813"/>
      <x:c r="BM76" s="813"/>
      <x:c r="BN76" s="813"/>
      <x:c r="BO76" s="813"/>
      <x:c r="BP76" s="813"/>
      <x:c r="BQ76" s="813"/>
      <x:c r="BR76" s="813"/>
      <x:c r="BS76" s="813"/>
      <x:c r="BT76" s="813"/>
      <x:c r="BU76" s="813"/>
      <x:c r="BV76" s="807"/>
      <x:c r="BW76" s="807"/>
      <x:c r="BX76" s="807"/>
      <x:c r="BY76" s="807"/>
      <x:c r="BZ76" s="807"/>
      <x:c r="CA76" s="807"/>
      <x:c r="CB76" s="807"/>
      <x:c r="CC76" s="807"/>
      <x:c r="CD76" s="807"/>
      <x:c r="CE76" s="809"/>
      <x:c r="CG76" s="816"/>
      <x:c r="CH76" s="931"/>
      <x:c r="CI76" s="931"/>
      <x:c r="CJ76" s="931"/>
      <x:c r="CK76" s="931"/>
      <x:c r="CL76" s="931"/>
      <x:c r="CM76" s="931"/>
      <x:c r="CN76" s="931"/>
      <x:c r="CO76" s="931"/>
      <x:c r="CP76" s="931"/>
      <x:c r="CQ76" s="931"/>
      <x:c r="CR76" s="931"/>
      <x:c r="CS76" s="931"/>
      <x:c r="CT76" s="931"/>
      <x:c r="CU76" s="931"/>
      <x:c r="CV76" s="931"/>
      <x:c r="CW76" s="931"/>
      <x:c r="CX76" s="931"/>
      <x:c r="CY76" s="931"/>
      <x:c r="CZ76" s="931"/>
      <x:c r="DA76" s="931"/>
      <x:c r="DB76" s="931"/>
      <x:c r="DC76" s="931"/>
      <x:c r="DD76" s="931"/>
      <x:c r="DE76" s="931"/>
      <x:c r="DF76" s="931"/>
      <x:c r="DG76" s="934"/>
      <x:c r="DO76" s="32"/>
      <x:c r="DP76" s="29"/>
      <x:c r="DQ76" s="29"/>
      <x:c r="DR76" s="29"/>
      <x:c r="DS76" s="29"/>
      <x:c r="DT76" s="29"/>
      <x:c r="DU76" s="29"/>
      <x:c r="DV76" s="29"/>
      <x:c r="DW76" s="29"/>
      <x:c r="DX76" s="29"/>
      <x:c r="DY76" s="29"/>
      <x:c r="DZ76" s="29"/>
      <x:c r="EA76" s="29"/>
      <x:c r="EB76" s="29"/>
      <x:c r="EC76" s="29"/>
      <x:c r="ED76" s="29"/>
      <x:c r="EE76" s="29"/>
      <x:c r="EF76" s="29"/>
      <x:c r="EG76" s="29"/>
      <x:c r="EH76" s="29"/>
      <x:c r="EI76" s="29"/>
      <x:c r="EJ76" s="29"/>
      <x:c r="EK76" s="29"/>
      <x:c r="EL76" s="29"/>
      <x:c r="EM76" s="29"/>
    </x:row>
    <x:row r="77" ht="6" customHeight="1">
      <x:c r="A77" s="1107"/>
      <x:c r="B77" s="1108"/>
      <x:c r="C77" s="1108"/>
      <x:c r="D77" s="1108"/>
      <x:c r="E77" s="1108"/>
      <x:c r="F77" s="1109"/>
      <x:c r="G77" s="834"/>
      <x:c r="H77" s="835"/>
      <x:c r="I77" s="836"/>
      <x:c r="J77" s="648"/>
      <x:c r="K77" s="650"/>
      <x:c r="L77" s="837"/>
      <x:c r="M77" s="837"/>
      <x:c r="N77" s="837"/>
      <x:c r="O77" s="837"/>
      <x:c r="P77" s="837"/>
      <x:c r="Q77" s="838"/>
      <x:c r="S77" s="858" t="s">
        <x:v>267</x:v>
      </x:c>
      <x:c r="T77" s="859"/>
      <x:c r="U77" s="874" t="s">
        <x:v>268</x:v>
      </x:c>
      <x:c r="V77" s="756"/>
      <x:c r="W77" s="756"/>
      <x:c r="X77" s="756"/>
      <x:c r="Y77" s="756"/>
      <x:c r="Z77" s="756"/>
      <x:c r="AA77" s="756"/>
      <x:c r="AB77" s="756"/>
      <x:c r="AC77" s="756"/>
      <x:c r="AD77" s="756"/>
      <x:c r="AE77" s="756"/>
      <x:c r="AF77" s="756"/>
      <x:c r="AG77" s="756"/>
      <x:c r="AH77" s="756"/>
      <x:c r="AI77" s="756"/>
      <x:c r="AJ77" s="756"/>
      <x:c r="AK77" s="756"/>
      <x:c r="AL77" s="756"/>
      <x:c r="AM77" s="756"/>
      <x:c r="AN77" s="756"/>
      <x:c r="AO77" s="756"/>
      <x:c r="AP77" s="756"/>
      <x:c r="AQ77" s="756"/>
      <x:c r="AR77" s="756"/>
      <x:c r="AS77" s="756"/>
      <x:c r="AT77" s="756"/>
      <x:c r="AU77" s="757"/>
      <x:c r="AV77" s="877"/>
      <x:c r="AW77" s="877"/>
      <x:c r="AX77" s="877"/>
      <x:c r="AY77" s="877"/>
      <x:c r="AZ77" s="877"/>
      <x:c r="BA77" s="877"/>
      <x:c r="BB77" s="878"/>
      <x:c r="BD77" s="812" t="s">
        <x:v>269</x:v>
      </x:c>
      <x:c r="BE77" s="813"/>
      <x:c r="BF77" s="813"/>
      <x:c r="BG77" s="813"/>
      <x:c r="BH77" s="813"/>
      <x:c r="BI77" s="813"/>
      <x:c r="BJ77" s="813"/>
      <x:c r="BK77" s="813"/>
      <x:c r="BL77" s="813"/>
      <x:c r="BM77" s="813"/>
      <x:c r="BN77" s="813"/>
      <x:c r="BO77" s="813"/>
      <x:c r="BP77" s="813"/>
      <x:c r="BQ77" s="813"/>
      <x:c r="BR77" s="813"/>
      <x:c r="BS77" s="813"/>
      <x:c r="BT77" s="813"/>
      <x:c r="BU77" s="813"/>
      <x:c r="BV77" s="805"/>
      <x:c r="BW77" s="806"/>
      <x:c r="BX77" s="806"/>
      <x:c r="BY77" s="806"/>
      <x:c r="BZ77" s="806"/>
      <x:c r="CA77" s="806"/>
      <x:c r="CB77" s="806"/>
      <x:c r="CC77" s="806"/>
      <x:c r="CD77" s="806"/>
      <x:c r="CE77" s="808"/>
      <x:c r="CG77" s="816"/>
      <x:c r="CH77" s="931"/>
      <x:c r="CI77" s="931"/>
      <x:c r="CJ77" s="931"/>
      <x:c r="CK77" s="931"/>
      <x:c r="CL77" s="931"/>
      <x:c r="CM77" s="931"/>
      <x:c r="CN77" s="931"/>
      <x:c r="CO77" s="931"/>
      <x:c r="CP77" s="931"/>
      <x:c r="CQ77" s="931"/>
      <x:c r="CR77" s="931"/>
      <x:c r="CS77" s="931"/>
      <x:c r="CT77" s="931"/>
      <x:c r="CU77" s="931"/>
      <x:c r="CV77" s="931"/>
      <x:c r="CW77" s="931"/>
      <x:c r="CX77" s="931"/>
      <x:c r="CY77" s="931"/>
      <x:c r="CZ77" s="931"/>
      <x:c r="DA77" s="931"/>
      <x:c r="DB77" s="931"/>
      <x:c r="DC77" s="931"/>
      <x:c r="DD77" s="931"/>
      <x:c r="DE77" s="931"/>
      <x:c r="DF77" s="931"/>
      <x:c r="DG77" s="934"/>
      <x:c r="DO77" s="29"/>
      <x:c r="DP77" s="29"/>
      <x:c r="DQ77" s="29"/>
      <x:c r="DR77" s="29"/>
      <x:c r="DS77" s="29"/>
      <x:c r="DT77" s="29"/>
      <x:c r="DU77" s="29"/>
      <x:c r="DV77" s="29"/>
      <x:c r="DW77" s="29"/>
      <x:c r="DX77" s="29"/>
      <x:c r="DY77" s="29"/>
      <x:c r="DZ77" s="29"/>
      <x:c r="EA77" s="29"/>
      <x:c r="EB77" s="29"/>
      <x:c r="EC77" s="29"/>
      <x:c r="ED77" s="29"/>
      <x:c r="EE77" s="29"/>
      <x:c r="EF77" s="29"/>
      <x:c r="EG77" s="29"/>
      <x:c r="EH77" s="29"/>
      <x:c r="EI77" s="29"/>
      <x:c r="EJ77" s="29"/>
      <x:c r="EK77" s="29"/>
      <x:c r="EL77" s="29"/>
      <x:c r="EM77" s="29"/>
    </x:row>
    <x:row r="78" ht="6" customHeight="1">
      <x:c r="A78" s="1104" t="s">
        <x:v>153</x:v>
      </x:c>
      <x:c r="B78" s="1105"/>
      <x:c r="C78" s="1105"/>
      <x:c r="D78" s="1105"/>
      <x:c r="E78" s="1105"/>
      <x:c r="F78" s="1106"/>
      <x:c r="G78" s="831">
        <x:v>200</x:v>
      </x:c>
      <x:c r="H78" s="832"/>
      <x:c r="I78" s="833"/>
      <x:c r="J78" s="645"/>
      <x:c r="K78" s="647"/>
      <x:c r="L78" s="837" t="str">
        <x:f t="shared" ref="L78" si="1">IF(G78*J78=0,"",SUM(G78*J78))</x:f>
      </x:c>
      <x:c r="M78" s="837"/>
      <x:c r="N78" s="837"/>
      <x:c r="O78" s="837"/>
      <x:c r="P78" s="837"/>
      <x:c r="Q78" s="838"/>
      <x:c r="S78" s="860"/>
      <x:c r="T78" s="861"/>
      <x:c r="U78" s="873"/>
      <x:c r="V78" s="669"/>
      <x:c r="W78" s="669"/>
      <x:c r="X78" s="669"/>
      <x:c r="Y78" s="669"/>
      <x:c r="Z78" s="669"/>
      <x:c r="AA78" s="669"/>
      <x:c r="AB78" s="669"/>
      <x:c r="AC78" s="669"/>
      <x:c r="AD78" s="669"/>
      <x:c r="AE78" s="669"/>
      <x:c r="AF78" s="669"/>
      <x:c r="AG78" s="669"/>
      <x:c r="AH78" s="669"/>
      <x:c r="AI78" s="669"/>
      <x:c r="AJ78" s="669"/>
      <x:c r="AK78" s="669"/>
      <x:c r="AL78" s="669"/>
      <x:c r="AM78" s="669"/>
      <x:c r="AN78" s="669"/>
      <x:c r="AO78" s="669"/>
      <x:c r="AP78" s="669"/>
      <x:c r="AQ78" s="669"/>
      <x:c r="AR78" s="669"/>
      <x:c r="AS78" s="669"/>
      <x:c r="AT78" s="669"/>
      <x:c r="AU78" s="758"/>
      <x:c r="AV78" s="875"/>
      <x:c r="AW78" s="875"/>
      <x:c r="AX78" s="875"/>
      <x:c r="AY78" s="875"/>
      <x:c r="AZ78" s="875"/>
      <x:c r="BA78" s="875"/>
      <x:c r="BB78" s="876"/>
      <x:c r="BD78" s="812"/>
      <x:c r="BE78" s="813"/>
      <x:c r="BF78" s="813"/>
      <x:c r="BG78" s="813"/>
      <x:c r="BH78" s="813"/>
      <x:c r="BI78" s="813"/>
      <x:c r="BJ78" s="813"/>
      <x:c r="BK78" s="813"/>
      <x:c r="BL78" s="813"/>
      <x:c r="BM78" s="813"/>
      <x:c r="BN78" s="813"/>
      <x:c r="BO78" s="813"/>
      <x:c r="BP78" s="813"/>
      <x:c r="BQ78" s="813"/>
      <x:c r="BR78" s="813"/>
      <x:c r="BS78" s="813"/>
      <x:c r="BT78" s="813"/>
      <x:c r="BU78" s="813"/>
      <x:c r="BV78" s="807"/>
      <x:c r="BW78" s="807"/>
      <x:c r="BX78" s="807"/>
      <x:c r="BY78" s="807"/>
      <x:c r="BZ78" s="807"/>
      <x:c r="CA78" s="807"/>
      <x:c r="CB78" s="807"/>
      <x:c r="CC78" s="807"/>
      <x:c r="CD78" s="807"/>
      <x:c r="CE78" s="809"/>
      <x:c r="CG78" s="816"/>
      <x:c r="CH78" s="931"/>
      <x:c r="CI78" s="931"/>
      <x:c r="CJ78" s="931"/>
      <x:c r="CK78" s="931"/>
      <x:c r="CL78" s="931"/>
      <x:c r="CM78" s="931"/>
      <x:c r="CN78" s="931"/>
      <x:c r="CO78" s="931"/>
      <x:c r="CP78" s="931"/>
      <x:c r="CQ78" s="931"/>
      <x:c r="CR78" s="931"/>
      <x:c r="CS78" s="931"/>
      <x:c r="CT78" s="931"/>
      <x:c r="CU78" s="931"/>
      <x:c r="CV78" s="931"/>
      <x:c r="CW78" s="931"/>
      <x:c r="CX78" s="931"/>
      <x:c r="CY78" s="931"/>
      <x:c r="CZ78" s="931"/>
      <x:c r="DA78" s="931"/>
      <x:c r="DB78" s="931"/>
      <x:c r="DC78" s="931"/>
      <x:c r="DD78" s="931"/>
      <x:c r="DE78" s="931"/>
      <x:c r="DF78" s="931"/>
      <x:c r="DG78" s="934"/>
      <x:c r="DO78" s="29"/>
      <x:c r="DP78" s="29"/>
      <x:c r="DQ78" s="29"/>
      <x:c r="DR78" s="29"/>
      <x:c r="DS78" s="29"/>
      <x:c r="DT78" s="29"/>
      <x:c r="DU78" s="29"/>
      <x:c r="DV78" s="29"/>
      <x:c r="DW78" s="29"/>
      <x:c r="DX78" s="29"/>
      <x:c r="DY78" s="29"/>
      <x:c r="DZ78" s="29"/>
      <x:c r="EA78" s="29"/>
      <x:c r="EB78" s="29"/>
      <x:c r="EC78" s="29"/>
      <x:c r="ED78" s="29"/>
      <x:c r="EE78" s="29"/>
      <x:c r="EF78" s="29"/>
      <x:c r="EG78" s="29"/>
      <x:c r="EH78" s="29"/>
      <x:c r="EI78" s="29"/>
      <x:c r="EJ78" s="29"/>
      <x:c r="EK78" s="29"/>
      <x:c r="EL78" s="29"/>
      <x:c r="EM78" s="29"/>
    </x:row>
    <x:row r="79" ht="6" customHeight="1">
      <x:c r="A79" s="1107"/>
      <x:c r="B79" s="1108"/>
      <x:c r="C79" s="1108"/>
      <x:c r="D79" s="1108"/>
      <x:c r="E79" s="1108"/>
      <x:c r="F79" s="1109"/>
      <x:c r="G79" s="834"/>
      <x:c r="H79" s="835"/>
      <x:c r="I79" s="836"/>
      <x:c r="J79" s="648"/>
      <x:c r="K79" s="650"/>
      <x:c r="L79" s="837"/>
      <x:c r="M79" s="837"/>
      <x:c r="N79" s="837"/>
      <x:c r="O79" s="837"/>
      <x:c r="P79" s="837"/>
      <x:c r="Q79" s="838"/>
      <x:c r="S79" s="860"/>
      <x:c r="T79" s="861"/>
      <x:c r="U79" s="871" t="s">
        <x:v>270</x:v>
      </x:c>
      <x:c r="V79" s="666"/>
      <x:c r="W79" s="666"/>
      <x:c r="X79" s="666"/>
      <x:c r="Y79" s="666"/>
      <x:c r="Z79" s="666"/>
      <x:c r="AA79" s="666"/>
      <x:c r="AB79" s="666"/>
      <x:c r="AC79" s="666"/>
      <x:c r="AD79" s="666"/>
      <x:c r="AE79" s="666"/>
      <x:c r="AF79" s="666"/>
      <x:c r="AG79" s="666"/>
      <x:c r="AH79" s="666"/>
      <x:c r="AI79" s="666"/>
      <x:c r="AJ79" s="666"/>
      <x:c r="AK79" s="666"/>
      <x:c r="AL79" s="666"/>
      <x:c r="AM79" s="666"/>
      <x:c r="AN79" s="666"/>
      <x:c r="AO79" s="666"/>
      <x:c r="AP79" s="666"/>
      <x:c r="AQ79" s="666"/>
      <x:c r="AR79" s="666"/>
      <x:c r="AS79" s="666"/>
      <x:c r="AT79" s="666"/>
      <x:c r="AU79" s="872"/>
      <x:c r="AV79" s="875"/>
      <x:c r="AW79" s="875"/>
      <x:c r="AX79" s="875"/>
      <x:c r="AY79" s="875"/>
      <x:c r="AZ79" s="875"/>
      <x:c r="BA79" s="875"/>
      <x:c r="BB79" s="876"/>
      <x:c r="BD79" s="812" t="s">
        <x:v>271</x:v>
      </x:c>
      <x:c r="BE79" s="813"/>
      <x:c r="BF79" s="813"/>
      <x:c r="BG79" s="813"/>
      <x:c r="BH79" s="813"/>
      <x:c r="BI79" s="813"/>
      <x:c r="BJ79" s="813"/>
      <x:c r="BK79" s="813"/>
      <x:c r="BL79" s="813"/>
      <x:c r="BM79" s="813"/>
      <x:c r="BN79" s="813"/>
      <x:c r="BO79" s="813"/>
      <x:c r="BP79" s="813"/>
      <x:c r="BQ79" s="813"/>
      <x:c r="BR79" s="813"/>
      <x:c r="BS79" s="813"/>
      <x:c r="BT79" s="813"/>
      <x:c r="BU79" s="813"/>
      <x:c r="BV79" s="805"/>
      <x:c r="BW79" s="806"/>
      <x:c r="BX79" s="806"/>
      <x:c r="BY79" s="806"/>
      <x:c r="BZ79" s="806"/>
      <x:c r="CA79" s="806"/>
      <x:c r="CB79" s="806"/>
      <x:c r="CC79" s="806"/>
      <x:c r="CD79" s="806"/>
      <x:c r="CE79" s="808"/>
      <x:c r="CG79" s="816"/>
      <x:c r="CH79" s="931"/>
      <x:c r="CI79" s="931"/>
      <x:c r="CJ79" s="931"/>
      <x:c r="CK79" s="931"/>
      <x:c r="CL79" s="931"/>
      <x:c r="CM79" s="931"/>
      <x:c r="CN79" s="931"/>
      <x:c r="CO79" s="931"/>
      <x:c r="CP79" s="931"/>
      <x:c r="CQ79" s="931"/>
      <x:c r="CR79" s="931"/>
      <x:c r="CS79" s="931"/>
      <x:c r="CT79" s="931"/>
      <x:c r="CU79" s="931"/>
      <x:c r="CV79" s="931"/>
      <x:c r="CW79" s="931"/>
      <x:c r="CX79" s="931"/>
      <x:c r="CY79" s="931"/>
      <x:c r="CZ79" s="931"/>
      <x:c r="DA79" s="931"/>
      <x:c r="DB79" s="931"/>
      <x:c r="DC79" s="931"/>
      <x:c r="DD79" s="931"/>
      <x:c r="DE79" s="931"/>
      <x:c r="DF79" s="931"/>
      <x:c r="DG79" s="934"/>
      <x:c r="DO79" s="29"/>
      <x:c r="DP79" s="29"/>
      <x:c r="DQ79" s="29"/>
      <x:c r="DR79" s="29"/>
      <x:c r="DS79" s="29"/>
      <x:c r="DT79" s="29"/>
      <x:c r="DU79" s="29"/>
      <x:c r="DV79" s="29"/>
      <x:c r="DW79" s="29"/>
      <x:c r="DX79" s="29"/>
      <x:c r="DY79" s="29"/>
      <x:c r="DZ79" s="29"/>
      <x:c r="EA79" s="29"/>
      <x:c r="EB79" s="29"/>
      <x:c r="EC79" s="29"/>
      <x:c r="ED79" s="29"/>
      <x:c r="EE79" s="29"/>
      <x:c r="EF79" s="29"/>
      <x:c r="EG79" s="29"/>
      <x:c r="EH79" s="29"/>
      <x:c r="EI79" s="29"/>
      <x:c r="EJ79" s="29"/>
      <x:c r="EK79" s="29"/>
      <x:c r="EL79" s="29"/>
      <x:c r="EM79" s="29"/>
    </x:row>
    <x:row r="80" ht="6" customHeight="1">
      <x:c r="A80" s="1104" t="s">
        <x:v>272</x:v>
      </x:c>
      <x:c r="B80" s="1105"/>
      <x:c r="C80" s="1105"/>
      <x:c r="D80" s="1105"/>
      <x:c r="E80" s="1105"/>
      <x:c r="F80" s="1106"/>
      <x:c r="G80" s="831">
        <x:v>250</x:v>
      </x:c>
      <x:c r="H80" s="832"/>
      <x:c r="I80" s="833"/>
      <x:c r="J80" s="645"/>
      <x:c r="K80" s="647"/>
      <x:c r="L80" s="869" t="str">
        <x:f t="shared" ref="L80" si="2">IF(G80*J80=0,"",SUM(G80*J80))</x:f>
      </x:c>
      <x:c r="M80" s="869"/>
      <x:c r="N80" s="869"/>
      <x:c r="O80" s="869"/>
      <x:c r="P80" s="869"/>
      <x:c r="Q80" s="870"/>
      <x:c r="S80" s="860"/>
      <x:c r="T80" s="861"/>
      <x:c r="U80" s="873"/>
      <x:c r="V80" s="669"/>
      <x:c r="W80" s="669"/>
      <x:c r="X80" s="669"/>
      <x:c r="Y80" s="669"/>
      <x:c r="Z80" s="669"/>
      <x:c r="AA80" s="669"/>
      <x:c r="AB80" s="669"/>
      <x:c r="AC80" s="669"/>
      <x:c r="AD80" s="669"/>
      <x:c r="AE80" s="669"/>
      <x:c r="AF80" s="669"/>
      <x:c r="AG80" s="669"/>
      <x:c r="AH80" s="669"/>
      <x:c r="AI80" s="669"/>
      <x:c r="AJ80" s="669"/>
      <x:c r="AK80" s="669"/>
      <x:c r="AL80" s="669"/>
      <x:c r="AM80" s="669"/>
      <x:c r="AN80" s="669"/>
      <x:c r="AO80" s="669"/>
      <x:c r="AP80" s="669"/>
      <x:c r="AQ80" s="669"/>
      <x:c r="AR80" s="669"/>
      <x:c r="AS80" s="669"/>
      <x:c r="AT80" s="669"/>
      <x:c r="AU80" s="758"/>
      <x:c r="AV80" s="875"/>
      <x:c r="AW80" s="875"/>
      <x:c r="AX80" s="875"/>
      <x:c r="AY80" s="875"/>
      <x:c r="AZ80" s="875"/>
      <x:c r="BA80" s="875"/>
      <x:c r="BB80" s="876"/>
      <x:c r="BD80" s="812"/>
      <x:c r="BE80" s="813"/>
      <x:c r="BF80" s="813"/>
      <x:c r="BG80" s="813"/>
      <x:c r="BH80" s="813"/>
      <x:c r="BI80" s="813"/>
      <x:c r="BJ80" s="813"/>
      <x:c r="BK80" s="813"/>
      <x:c r="BL80" s="813"/>
      <x:c r="BM80" s="813"/>
      <x:c r="BN80" s="813"/>
      <x:c r="BO80" s="813"/>
      <x:c r="BP80" s="813"/>
      <x:c r="BQ80" s="813"/>
      <x:c r="BR80" s="813"/>
      <x:c r="BS80" s="813"/>
      <x:c r="BT80" s="813"/>
      <x:c r="BU80" s="813"/>
      <x:c r="BV80" s="807"/>
      <x:c r="BW80" s="807"/>
      <x:c r="BX80" s="807"/>
      <x:c r="BY80" s="807"/>
      <x:c r="BZ80" s="807"/>
      <x:c r="CA80" s="807"/>
      <x:c r="CB80" s="807"/>
      <x:c r="CC80" s="807"/>
      <x:c r="CD80" s="807"/>
      <x:c r="CE80" s="809"/>
      <x:c r="CG80" s="816"/>
      <x:c r="CH80" s="931"/>
      <x:c r="CI80" s="931"/>
      <x:c r="CJ80" s="931"/>
      <x:c r="CK80" s="931"/>
      <x:c r="CL80" s="931"/>
      <x:c r="CM80" s="931"/>
      <x:c r="CN80" s="931"/>
      <x:c r="CO80" s="931"/>
      <x:c r="CP80" s="931"/>
      <x:c r="CQ80" s="931"/>
      <x:c r="CR80" s="931"/>
      <x:c r="CS80" s="931"/>
      <x:c r="CT80" s="931"/>
      <x:c r="CU80" s="931"/>
      <x:c r="CV80" s="931"/>
      <x:c r="CW80" s="931"/>
      <x:c r="CX80" s="931"/>
      <x:c r="CY80" s="931"/>
      <x:c r="CZ80" s="931"/>
      <x:c r="DA80" s="931"/>
      <x:c r="DB80" s="931"/>
      <x:c r="DC80" s="931"/>
      <x:c r="DD80" s="931"/>
      <x:c r="DE80" s="931"/>
      <x:c r="DF80" s="931"/>
      <x:c r="DG80" s="934"/>
      <x:c r="DO80" s="29"/>
      <x:c r="DP80" s="29"/>
      <x:c r="DQ80" s="29"/>
      <x:c r="DR80" s="29"/>
      <x:c r="DS80" s="29"/>
      <x:c r="DT80" s="29"/>
      <x:c r="DU80" s="29"/>
      <x:c r="DV80" s="29"/>
      <x:c r="DW80" s="29"/>
      <x:c r="DX80" s="29"/>
      <x:c r="DY80" s="29"/>
      <x:c r="DZ80" s="29"/>
      <x:c r="EA80" s="29"/>
      <x:c r="EB80" s="29"/>
      <x:c r="EC80" s="29"/>
      <x:c r="ED80" s="29"/>
      <x:c r="EE80" s="29"/>
      <x:c r="EF80" s="29"/>
      <x:c r="EG80" s="29"/>
      <x:c r="EH80" s="29"/>
      <x:c r="EI80" s="29"/>
      <x:c r="EJ80" s="29"/>
      <x:c r="EK80" s="29"/>
      <x:c r="EL80" s="29"/>
      <x:c r="EM80" s="29"/>
    </x:row>
    <x:row r="81" ht="6" customHeight="1">
      <x:c r="A81" s="1107"/>
      <x:c r="B81" s="1108"/>
      <x:c r="C81" s="1108"/>
      <x:c r="D81" s="1108"/>
      <x:c r="E81" s="1108"/>
      <x:c r="F81" s="1109"/>
      <x:c r="G81" s="834"/>
      <x:c r="H81" s="835"/>
      <x:c r="I81" s="836"/>
      <x:c r="J81" s="648"/>
      <x:c r="K81" s="650"/>
      <x:c r="L81" s="869"/>
      <x:c r="M81" s="869"/>
      <x:c r="N81" s="869"/>
      <x:c r="O81" s="869"/>
      <x:c r="P81" s="869"/>
      <x:c r="Q81" s="870"/>
      <x:c r="S81" s="860"/>
      <x:c r="T81" s="861"/>
      <x:c r="U81" s="871" t="s">
        <x:v>273</x:v>
      </x:c>
      <x:c r="V81" s="666"/>
      <x:c r="W81" s="666"/>
      <x:c r="X81" s="666"/>
      <x:c r="Y81" s="666"/>
      <x:c r="Z81" s="666"/>
      <x:c r="AA81" s="666"/>
      <x:c r="AB81" s="666"/>
      <x:c r="AC81" s="666"/>
      <x:c r="AD81" s="666"/>
      <x:c r="AE81" s="666"/>
      <x:c r="AF81" s="666"/>
      <x:c r="AG81" s="666"/>
      <x:c r="AH81" s="666"/>
      <x:c r="AI81" s="666"/>
      <x:c r="AJ81" s="666"/>
      <x:c r="AK81" s="666"/>
      <x:c r="AL81" s="666"/>
      <x:c r="AM81" s="666"/>
      <x:c r="AN81" s="666"/>
      <x:c r="AO81" s="666"/>
      <x:c r="AP81" s="666"/>
      <x:c r="AQ81" s="666"/>
      <x:c r="AR81" s="666"/>
      <x:c r="AS81" s="666"/>
      <x:c r="AT81" s="666"/>
      <x:c r="AU81" s="872"/>
      <x:c r="AV81" s="875"/>
      <x:c r="AW81" s="875"/>
      <x:c r="AX81" s="875"/>
      <x:c r="AY81" s="875"/>
      <x:c r="AZ81" s="875"/>
      <x:c r="BA81" s="875"/>
      <x:c r="BB81" s="876"/>
      <x:c r="BD81" s="812" t="s">
        <x:v>274</x:v>
      </x:c>
      <x:c r="BE81" s="813"/>
      <x:c r="BF81" s="813"/>
      <x:c r="BG81" s="813"/>
      <x:c r="BH81" s="813"/>
      <x:c r="BI81" s="813"/>
      <x:c r="BJ81" s="813"/>
      <x:c r="BK81" s="813"/>
      <x:c r="BL81" s="813"/>
      <x:c r="BM81" s="813"/>
      <x:c r="BN81" s="813"/>
      <x:c r="BO81" s="813"/>
      <x:c r="BP81" s="813"/>
      <x:c r="BQ81" s="813"/>
      <x:c r="BR81" s="813"/>
      <x:c r="BS81" s="813"/>
      <x:c r="BT81" s="813"/>
      <x:c r="BU81" s="813"/>
      <x:c r="BV81" s="805"/>
      <x:c r="BW81" s="806"/>
      <x:c r="BX81" s="806"/>
      <x:c r="BY81" s="806"/>
      <x:c r="BZ81" s="806"/>
      <x:c r="CA81" s="806"/>
      <x:c r="CB81" s="806"/>
      <x:c r="CC81" s="806"/>
      <x:c r="CD81" s="806"/>
      <x:c r="CE81" s="808"/>
      <x:c r="CG81" s="816"/>
      <x:c r="CH81" s="931"/>
      <x:c r="CI81" s="931"/>
      <x:c r="CJ81" s="931"/>
      <x:c r="CK81" s="931"/>
      <x:c r="CL81" s="931"/>
      <x:c r="CM81" s="931"/>
      <x:c r="CN81" s="931"/>
      <x:c r="CO81" s="931"/>
      <x:c r="CP81" s="931"/>
      <x:c r="CQ81" s="931"/>
      <x:c r="CR81" s="931"/>
      <x:c r="CS81" s="931"/>
      <x:c r="CT81" s="931"/>
      <x:c r="CU81" s="931"/>
      <x:c r="CV81" s="931"/>
      <x:c r="CW81" s="931"/>
      <x:c r="CX81" s="931"/>
      <x:c r="CY81" s="931"/>
      <x:c r="CZ81" s="931"/>
      <x:c r="DA81" s="931"/>
      <x:c r="DB81" s="931"/>
      <x:c r="DC81" s="931"/>
      <x:c r="DD81" s="931"/>
      <x:c r="DE81" s="931"/>
      <x:c r="DF81" s="931"/>
      <x:c r="DG81" s="934"/>
      <x:c r="DO81" s="29"/>
      <x:c r="DP81" s="29"/>
      <x:c r="DQ81" s="29"/>
      <x:c r="DR81" s="29"/>
      <x:c r="DS81" s="29"/>
      <x:c r="DT81" s="29"/>
      <x:c r="DU81" s="29"/>
      <x:c r="DV81" s="29"/>
      <x:c r="DW81" s="29"/>
      <x:c r="DX81" s="29"/>
      <x:c r="DY81" s="29"/>
      <x:c r="DZ81" s="29"/>
      <x:c r="EA81" s="29"/>
      <x:c r="EB81" s="29"/>
      <x:c r="EC81" s="29"/>
      <x:c r="ED81" s="29"/>
      <x:c r="EE81" s="29"/>
      <x:c r="EF81" s="29"/>
      <x:c r="EG81" s="29"/>
      <x:c r="EH81" s="29"/>
      <x:c r="EI81" s="29"/>
      <x:c r="EJ81" s="29"/>
      <x:c r="EK81" s="29"/>
      <x:c r="EL81" s="29"/>
      <x:c r="EM81" s="29"/>
    </x:row>
    <x:row r="82" ht="6" customHeight="1">
      <x:c r="A82" s="1098" t="s">
        <x:v>249</x:v>
      </x:c>
      <x:c r="B82" s="1099"/>
      <x:c r="C82" s="1099"/>
      <x:c r="D82" s="1099"/>
      <x:c r="E82" s="1099"/>
      <x:c r="F82" s="1100"/>
      <x:c r="G82" s="831">
        <x:v>100</x:v>
      </x:c>
      <x:c r="H82" s="832"/>
      <x:c r="I82" s="833"/>
      <x:c r="J82" s="645"/>
      <x:c r="K82" s="647"/>
      <x:c r="L82" s="869" t="str">
        <x:f t="shared" ref="L82" si="3">IF(G82*J82=0,"",SUM(G82*J82))</x:f>
      </x:c>
      <x:c r="M82" s="869"/>
      <x:c r="N82" s="869"/>
      <x:c r="O82" s="869"/>
      <x:c r="P82" s="869"/>
      <x:c r="Q82" s="870"/>
      <x:c r="S82" s="860"/>
      <x:c r="T82" s="861"/>
      <x:c r="U82" s="873"/>
      <x:c r="V82" s="669"/>
      <x:c r="W82" s="669"/>
      <x:c r="X82" s="669"/>
      <x:c r="Y82" s="669"/>
      <x:c r="Z82" s="669"/>
      <x:c r="AA82" s="669"/>
      <x:c r="AB82" s="669"/>
      <x:c r="AC82" s="669"/>
      <x:c r="AD82" s="669"/>
      <x:c r="AE82" s="669"/>
      <x:c r="AF82" s="669"/>
      <x:c r="AG82" s="669"/>
      <x:c r="AH82" s="669"/>
      <x:c r="AI82" s="669"/>
      <x:c r="AJ82" s="669"/>
      <x:c r="AK82" s="669"/>
      <x:c r="AL82" s="669"/>
      <x:c r="AM82" s="669"/>
      <x:c r="AN82" s="669"/>
      <x:c r="AO82" s="669"/>
      <x:c r="AP82" s="669"/>
      <x:c r="AQ82" s="669"/>
      <x:c r="AR82" s="669"/>
      <x:c r="AS82" s="669"/>
      <x:c r="AT82" s="669"/>
      <x:c r="AU82" s="758"/>
      <x:c r="AV82" s="875"/>
      <x:c r="AW82" s="875"/>
      <x:c r="AX82" s="875"/>
      <x:c r="AY82" s="875"/>
      <x:c r="AZ82" s="875"/>
      <x:c r="BA82" s="875"/>
      <x:c r="BB82" s="876"/>
      <x:c r="BD82" s="812"/>
      <x:c r="BE82" s="813"/>
      <x:c r="BF82" s="813"/>
      <x:c r="BG82" s="813"/>
      <x:c r="BH82" s="813"/>
      <x:c r="BI82" s="813"/>
      <x:c r="BJ82" s="813"/>
      <x:c r="BK82" s="813"/>
      <x:c r="BL82" s="813"/>
      <x:c r="BM82" s="813"/>
      <x:c r="BN82" s="813"/>
      <x:c r="BO82" s="813"/>
      <x:c r="BP82" s="813"/>
      <x:c r="BQ82" s="813"/>
      <x:c r="BR82" s="813"/>
      <x:c r="BS82" s="813"/>
      <x:c r="BT82" s="813"/>
      <x:c r="BU82" s="813"/>
      <x:c r="BV82" s="807"/>
      <x:c r="BW82" s="807"/>
      <x:c r="BX82" s="807"/>
      <x:c r="BY82" s="807"/>
      <x:c r="BZ82" s="807"/>
      <x:c r="CA82" s="807"/>
      <x:c r="CB82" s="807"/>
      <x:c r="CC82" s="807"/>
      <x:c r="CD82" s="807"/>
      <x:c r="CE82" s="809"/>
      <x:c r="CG82" s="816"/>
      <x:c r="CH82" s="931"/>
      <x:c r="CI82" s="931"/>
      <x:c r="CJ82" s="931"/>
      <x:c r="CK82" s="931"/>
      <x:c r="CL82" s="931"/>
      <x:c r="CM82" s="931"/>
      <x:c r="CN82" s="931"/>
      <x:c r="CO82" s="931"/>
      <x:c r="CP82" s="931"/>
      <x:c r="CQ82" s="931"/>
      <x:c r="CR82" s="931"/>
      <x:c r="CS82" s="931"/>
      <x:c r="CT82" s="931"/>
      <x:c r="CU82" s="931"/>
      <x:c r="CV82" s="931"/>
      <x:c r="CW82" s="931"/>
      <x:c r="CX82" s="931"/>
      <x:c r="CY82" s="931"/>
      <x:c r="CZ82" s="931"/>
      <x:c r="DA82" s="931"/>
      <x:c r="DB82" s="931"/>
      <x:c r="DC82" s="931"/>
      <x:c r="DD82" s="931"/>
      <x:c r="DE82" s="931"/>
      <x:c r="DF82" s="931"/>
      <x:c r="DG82" s="934"/>
      <x:c r="DO82" s="29"/>
      <x:c r="DP82" s="29"/>
      <x:c r="DQ82" s="29"/>
      <x:c r="DR82" s="29"/>
      <x:c r="DS82" s="29"/>
      <x:c r="DT82" s="29"/>
      <x:c r="DU82" s="29"/>
      <x:c r="DV82" s="29"/>
      <x:c r="DW82" s="29"/>
      <x:c r="DX82" s="29"/>
      <x:c r="DY82" s="29"/>
      <x:c r="DZ82" s="29"/>
      <x:c r="EA82" s="29"/>
      <x:c r="EB82" s="29"/>
      <x:c r="EC82" s="29"/>
      <x:c r="ED82" s="29"/>
      <x:c r="EE82" s="29"/>
      <x:c r="EF82" s="29"/>
      <x:c r="EG82" s="29"/>
      <x:c r="EH82" s="29"/>
      <x:c r="EI82" s="29"/>
      <x:c r="EJ82" s="29"/>
      <x:c r="EK82" s="29"/>
      <x:c r="EL82" s="29"/>
      <x:c r="EM82" s="29"/>
    </x:row>
    <x:row r="83" ht="6" customHeight="1">
      <x:c r="A83" s="1101"/>
      <x:c r="B83" s="1102"/>
      <x:c r="C83" s="1102"/>
      <x:c r="D83" s="1102"/>
      <x:c r="E83" s="1102"/>
      <x:c r="F83" s="1103"/>
      <x:c r="G83" s="834"/>
      <x:c r="H83" s="835"/>
      <x:c r="I83" s="836"/>
      <x:c r="J83" s="648"/>
      <x:c r="K83" s="650"/>
      <x:c r="L83" s="869"/>
      <x:c r="M83" s="869"/>
      <x:c r="N83" s="869"/>
      <x:c r="O83" s="869"/>
      <x:c r="P83" s="869"/>
      <x:c r="Q83" s="870"/>
      <x:c r="S83" s="860"/>
      <x:c r="T83" s="861"/>
      <x:c r="U83" s="871" t="s">
        <x:v>58</x:v>
      </x:c>
      <x:c r="V83" s="666"/>
      <x:c r="W83" s="666"/>
      <x:c r="X83" s="666"/>
      <x:c r="Y83" s="666"/>
      <x:c r="Z83" s="864" t="s">
        <x:v>275</x:v>
      </x:c>
      <x:c r="AA83" s="864"/>
      <x:c r="AB83" s="864"/>
      <x:c r="AC83" s="864"/>
      <x:c r="AD83" s="864"/>
      <x:c r="AE83" s="864"/>
      <x:c r="AF83" s="864"/>
      <x:c r="AG83" s="864"/>
      <x:c r="AH83" s="864" t="s">
        <x:v>234</x:v>
      </x:c>
      <x:c r="AI83" s="864"/>
      <x:c r="AJ83" s="864"/>
      <x:c r="AK83" s="342" t="s">
        <x:v>276</x:v>
      </x:c>
      <x:c r="AL83" s="864"/>
      <x:c r="AM83" s="864"/>
      <x:c r="AN83" s="864"/>
      <x:c r="AO83" s="864"/>
      <x:c r="AP83" s="864"/>
      <x:c r="AQ83" s="864"/>
      <x:c r="AR83" s="864"/>
      <x:c r="AS83" s="864" t="s">
        <x:v>234</x:v>
      </x:c>
      <x:c r="AT83" s="864"/>
      <x:c r="AU83" s="948"/>
      <x:c r="AV83" s="939"/>
      <x:c r="AW83" s="940"/>
      <x:c r="AX83" s="940"/>
      <x:c r="AY83" s="940"/>
      <x:c r="AZ83" s="940"/>
      <x:c r="BA83" s="940"/>
      <x:c r="BB83" s="941"/>
      <x:c r="BD83" s="812"/>
      <x:c r="BE83" s="813"/>
      <x:c r="BF83" s="813"/>
      <x:c r="BG83" s="813"/>
      <x:c r="BH83" s="813"/>
      <x:c r="BI83" s="813"/>
      <x:c r="BJ83" s="813"/>
      <x:c r="BK83" s="813"/>
      <x:c r="BL83" s="813"/>
      <x:c r="BM83" s="813"/>
      <x:c r="BN83" s="813"/>
      <x:c r="BO83" s="813"/>
      <x:c r="BP83" s="813"/>
      <x:c r="BQ83" s="813"/>
      <x:c r="BR83" s="813"/>
      <x:c r="BS83" s="813"/>
      <x:c r="BT83" s="813"/>
      <x:c r="BU83" s="813"/>
      <x:c r="BV83" s="805"/>
      <x:c r="BW83" s="806"/>
      <x:c r="BX83" s="806"/>
      <x:c r="BY83" s="806"/>
      <x:c r="BZ83" s="806"/>
      <x:c r="CA83" s="806"/>
      <x:c r="CB83" s="806"/>
      <x:c r="CC83" s="806"/>
      <x:c r="CD83" s="806"/>
      <x:c r="CE83" s="808"/>
      <x:c r="CG83" s="816"/>
      <x:c r="CH83" s="931"/>
      <x:c r="CI83" s="931"/>
      <x:c r="CJ83" s="931"/>
      <x:c r="CK83" s="931"/>
      <x:c r="CL83" s="931"/>
      <x:c r="CM83" s="931"/>
      <x:c r="CN83" s="931"/>
      <x:c r="CO83" s="931"/>
      <x:c r="CP83" s="931"/>
      <x:c r="CQ83" s="931"/>
      <x:c r="CR83" s="931"/>
      <x:c r="CS83" s="931"/>
      <x:c r="CT83" s="931"/>
      <x:c r="CU83" s="931"/>
      <x:c r="CV83" s="931"/>
      <x:c r="CW83" s="931"/>
      <x:c r="CX83" s="931"/>
      <x:c r="CY83" s="931"/>
      <x:c r="CZ83" s="931"/>
      <x:c r="DA83" s="931"/>
      <x:c r="DB83" s="931"/>
      <x:c r="DC83" s="931"/>
      <x:c r="DD83" s="931"/>
      <x:c r="DE83" s="931"/>
      <x:c r="DF83" s="931"/>
      <x:c r="DG83" s="934"/>
      <x:c r="DO83" s="29"/>
      <x:c r="DP83" s="29"/>
      <x:c r="DQ83" s="29"/>
      <x:c r="DR83" s="29"/>
      <x:c r="DS83" s="29"/>
      <x:c r="DT83" s="29"/>
      <x:c r="DU83" s="29"/>
      <x:c r="DV83" s="29"/>
      <x:c r="DW83" s="29"/>
      <x:c r="DX83" s="29"/>
      <x:c r="DY83" s="29"/>
      <x:c r="DZ83" s="29"/>
      <x:c r="EA83" s="29"/>
      <x:c r="EB83" s="29"/>
      <x:c r="EC83" s="29"/>
      <x:c r="ED83" s="29"/>
      <x:c r="EE83" s="29"/>
      <x:c r="EF83" s="29"/>
      <x:c r="EG83" s="29"/>
      <x:c r="EH83" s="29"/>
      <x:c r="EI83" s="29"/>
      <x:c r="EJ83" s="29"/>
      <x:c r="EK83" s="29"/>
      <x:c r="EL83" s="29"/>
      <x:c r="EM83" s="29"/>
    </x:row>
    <x:row r="84" ht="6" customHeight="1">
      <x:c r="A84" s="332" t="s">
        <x:v>277</x:v>
      </x:c>
      <x:c r="B84" s="333"/>
      <x:c r="C84" s="333"/>
      <x:c r="D84" s="333"/>
      <x:c r="E84" s="333"/>
      <x:c r="F84" s="334"/>
      <x:c r="G84" s="831">
        <x:v>1000</x:v>
      </x:c>
      <x:c r="H84" s="832"/>
      <x:c r="I84" s="833"/>
      <x:c r="J84" s="645"/>
      <x:c r="K84" s="647"/>
      <x:c r="L84" s="869" t="str">
        <x:f t="shared" ref="L84" si="4">IF(G84*J84=0,"",SUM(G84*J84))</x:f>
      </x:c>
      <x:c r="M84" s="869"/>
      <x:c r="N84" s="869"/>
      <x:c r="O84" s="869"/>
      <x:c r="P84" s="869"/>
      <x:c r="Q84" s="870"/>
      <x:c r="S84" s="860"/>
      <x:c r="T84" s="861"/>
      <x:c r="U84" s="936"/>
      <x:c r="V84" s="937"/>
      <x:c r="W84" s="937"/>
      <x:c r="X84" s="937"/>
      <x:c r="Y84" s="937"/>
      <x:c r="Z84" s="426"/>
      <x:c r="AA84" s="426"/>
      <x:c r="AB84" s="426"/>
      <x:c r="AC84" s="426"/>
      <x:c r="AD84" s="426"/>
      <x:c r="AE84" s="426"/>
      <x:c r="AF84" s="426"/>
      <x:c r="AG84" s="426"/>
      <x:c r="AH84" s="426"/>
      <x:c r="AI84" s="426"/>
      <x:c r="AJ84" s="426"/>
      <x:c r="AK84" s="1110"/>
      <x:c r="AL84" s="1110"/>
      <x:c r="AM84" s="1110"/>
      <x:c r="AN84" s="1110"/>
      <x:c r="AO84" s="426"/>
      <x:c r="AP84" s="426"/>
      <x:c r="AQ84" s="426"/>
      <x:c r="AR84" s="426"/>
      <x:c r="AS84" s="426"/>
      <x:c r="AT84" s="426"/>
      <x:c r="AU84" s="949"/>
      <x:c r="AV84" s="942"/>
      <x:c r="AW84" s="943"/>
      <x:c r="AX84" s="943"/>
      <x:c r="AY84" s="943"/>
      <x:c r="AZ84" s="943"/>
      <x:c r="BA84" s="943"/>
      <x:c r="BB84" s="944"/>
      <x:c r="BD84" s="812"/>
      <x:c r="BE84" s="813"/>
      <x:c r="BF84" s="813"/>
      <x:c r="BG84" s="813"/>
      <x:c r="BH84" s="813"/>
      <x:c r="BI84" s="813"/>
      <x:c r="BJ84" s="813"/>
      <x:c r="BK84" s="813"/>
      <x:c r="BL84" s="813"/>
      <x:c r="BM84" s="813"/>
      <x:c r="BN84" s="813"/>
      <x:c r="BO84" s="813"/>
      <x:c r="BP84" s="813"/>
      <x:c r="BQ84" s="813"/>
      <x:c r="BR84" s="813"/>
      <x:c r="BS84" s="813"/>
      <x:c r="BT84" s="813"/>
      <x:c r="BU84" s="813"/>
      <x:c r="BV84" s="807"/>
      <x:c r="BW84" s="807"/>
      <x:c r="BX84" s="807"/>
      <x:c r="BY84" s="807"/>
      <x:c r="BZ84" s="807"/>
      <x:c r="CA84" s="807"/>
      <x:c r="CB84" s="807"/>
      <x:c r="CC84" s="807"/>
      <x:c r="CD84" s="807"/>
      <x:c r="CE84" s="809"/>
      <x:c r="CG84" s="817"/>
      <x:c r="CH84" s="932"/>
      <x:c r="CI84" s="932"/>
      <x:c r="CJ84" s="932"/>
      <x:c r="CK84" s="932"/>
      <x:c r="CL84" s="932"/>
      <x:c r="CM84" s="932"/>
      <x:c r="CN84" s="932"/>
      <x:c r="CO84" s="932"/>
      <x:c r="CP84" s="932"/>
      <x:c r="CQ84" s="932"/>
      <x:c r="CR84" s="932"/>
      <x:c r="CS84" s="932"/>
      <x:c r="CT84" s="932"/>
      <x:c r="CU84" s="932"/>
      <x:c r="CV84" s="932"/>
      <x:c r="CW84" s="932"/>
      <x:c r="CX84" s="932"/>
      <x:c r="CY84" s="932"/>
      <x:c r="CZ84" s="932"/>
      <x:c r="DA84" s="932"/>
      <x:c r="DB84" s="932"/>
      <x:c r="DC84" s="932"/>
      <x:c r="DD84" s="932"/>
      <x:c r="DE84" s="932"/>
      <x:c r="DF84" s="932"/>
      <x:c r="DG84" s="935"/>
      <x:c r="DO84" s="29"/>
      <x:c r="DP84" s="29"/>
      <x:c r="DQ84" s="29"/>
      <x:c r="DR84" s="29"/>
      <x:c r="DS84" s="29"/>
      <x:c r="DT84" s="29"/>
      <x:c r="DU84" s="29"/>
      <x:c r="DV84" s="29"/>
      <x:c r="DW84" s="29"/>
      <x:c r="DX84" s="29"/>
      <x:c r="DY84" s="29"/>
      <x:c r="DZ84" s="29"/>
      <x:c r="EA84" s="29"/>
      <x:c r="EB84" s="29"/>
      <x:c r="EC84" s="29"/>
      <x:c r="ED84" s="29"/>
      <x:c r="EE84" s="29"/>
      <x:c r="EF84" s="29"/>
      <x:c r="EG84" s="29"/>
      <x:c r="EH84" s="29"/>
      <x:c r="EI84" s="29"/>
      <x:c r="EJ84" s="29"/>
      <x:c r="EK84" s="29"/>
      <x:c r="EL84" s="29"/>
      <x:c r="EM84" s="29"/>
    </x:row>
    <x:row r="85" ht="6" customHeight="1">
      <x:c r="A85" s="338"/>
      <x:c r="B85" s="339"/>
      <x:c r="C85" s="339"/>
      <x:c r="D85" s="339"/>
      <x:c r="E85" s="339"/>
      <x:c r="F85" s="340"/>
      <x:c r="G85" s="834"/>
      <x:c r="H85" s="835"/>
      <x:c r="I85" s="836"/>
      <x:c r="J85" s="648"/>
      <x:c r="K85" s="650"/>
      <x:c r="L85" s="869"/>
      <x:c r="M85" s="869"/>
      <x:c r="N85" s="869"/>
      <x:c r="O85" s="869"/>
      <x:c r="P85" s="869"/>
      <x:c r="Q85" s="870"/>
      <x:c r="S85" s="860"/>
      <x:c r="T85" s="861"/>
      <x:c r="U85" s="936" t="s">
        <x:v>278</x:v>
      </x:c>
      <x:c r="V85" s="937"/>
      <x:c r="W85" s="937"/>
      <x:c r="X85" s="937"/>
      <x:c r="Y85" s="937"/>
      <x:c r="Z85" s="937"/>
      <x:c r="AA85" s="937"/>
      <x:c r="AB85" s="937"/>
      <x:c r="AC85" s="937"/>
      <x:c r="AD85" s="937"/>
      <x:c r="AE85" s="937"/>
      <x:c r="AF85" s="937"/>
      <x:c r="AG85" s="937"/>
      <x:c r="AH85" s="937"/>
      <x:c r="AI85" s="937"/>
      <x:c r="AJ85" s="937"/>
      <x:c r="AK85" s="937"/>
      <x:c r="AL85" s="937"/>
      <x:c r="AM85" s="937"/>
      <x:c r="AN85" s="937"/>
      <x:c r="AO85" s="937"/>
      <x:c r="AP85" s="937"/>
      <x:c r="AQ85" s="937"/>
      <x:c r="AR85" s="937"/>
      <x:c r="AS85" s="937"/>
      <x:c r="AT85" s="937"/>
      <x:c r="AU85" s="938"/>
      <x:c r="AV85" s="942"/>
      <x:c r="AW85" s="943"/>
      <x:c r="AX85" s="943"/>
      <x:c r="AY85" s="943"/>
      <x:c r="AZ85" s="943"/>
      <x:c r="BA85" s="943"/>
      <x:c r="BB85" s="944"/>
      <x:c r="BD85" s="812"/>
      <x:c r="BE85" s="813"/>
      <x:c r="BF85" s="813"/>
      <x:c r="BG85" s="813"/>
      <x:c r="BH85" s="813"/>
      <x:c r="BI85" s="813"/>
      <x:c r="BJ85" s="813"/>
      <x:c r="BK85" s="813"/>
      <x:c r="BL85" s="813"/>
      <x:c r="BM85" s="813"/>
      <x:c r="BN85" s="813"/>
      <x:c r="BO85" s="813"/>
      <x:c r="BP85" s="813"/>
      <x:c r="BQ85" s="813"/>
      <x:c r="BR85" s="813"/>
      <x:c r="BS85" s="813"/>
      <x:c r="BT85" s="813"/>
      <x:c r="BU85" s="813"/>
      <x:c r="BV85" s="805"/>
      <x:c r="BW85" s="806"/>
      <x:c r="BX85" s="806"/>
      <x:c r="BY85" s="806"/>
      <x:c r="BZ85" s="806"/>
      <x:c r="CA85" s="806"/>
      <x:c r="CB85" s="806"/>
      <x:c r="CC85" s="806"/>
      <x:c r="CD85" s="806"/>
      <x:c r="CE85" s="808"/>
      <x:c r="DO85" s="29"/>
      <x:c r="DP85" s="29"/>
      <x:c r="DQ85" s="29"/>
      <x:c r="DR85" s="29"/>
      <x:c r="DS85" s="29"/>
      <x:c r="DT85" s="29"/>
      <x:c r="DU85" s="29"/>
      <x:c r="DV85" s="29"/>
      <x:c r="DW85" s="29"/>
      <x:c r="DX85" s="29"/>
      <x:c r="DY85" s="29"/>
      <x:c r="DZ85" s="29"/>
      <x:c r="EA85" s="29"/>
      <x:c r="EB85" s="29"/>
      <x:c r="EC85" s="29"/>
      <x:c r="ED85" s="29"/>
      <x:c r="EE85" s="29"/>
      <x:c r="EF85" s="29"/>
      <x:c r="EG85" s="29"/>
      <x:c r="EH85" s="29"/>
      <x:c r="EI85" s="29"/>
      <x:c r="EJ85" s="29"/>
      <x:c r="EK85" s="29"/>
      <x:c r="EL85" s="29"/>
      <x:c r="EM85" s="29"/>
    </x:row>
    <x:row r="86" ht="6" customHeight="1">
      <x:c r="A86" s="332" t="s">
        <x:v>279</x:v>
      </x:c>
      <x:c r="B86" s="333"/>
      <x:c r="C86" s="333"/>
      <x:c r="D86" s="333"/>
      <x:c r="E86" s="333"/>
      <x:c r="F86" s="334"/>
      <x:c r="G86" s="831">
        <x:v>350</x:v>
      </x:c>
      <x:c r="H86" s="832"/>
      <x:c r="I86" s="833"/>
      <x:c r="J86" s="645"/>
      <x:c r="K86" s="647"/>
      <x:c r="L86" s="869" t="str">
        <x:f t="shared" ref="L86" si="5">IF(G86*J86=0,"",SUM(G86*J86))</x:f>
      </x:c>
      <x:c r="M86" s="869"/>
      <x:c r="N86" s="869"/>
      <x:c r="O86" s="869"/>
      <x:c r="P86" s="869"/>
      <x:c r="Q86" s="870"/>
      <x:c r="S86" s="860"/>
      <x:c r="T86" s="861"/>
      <x:c r="U86" s="873"/>
      <x:c r="V86" s="669"/>
      <x:c r="W86" s="669"/>
      <x:c r="X86" s="669"/>
      <x:c r="Y86" s="669"/>
      <x:c r="Z86" s="669"/>
      <x:c r="AA86" s="669"/>
      <x:c r="AB86" s="669"/>
      <x:c r="AC86" s="669"/>
      <x:c r="AD86" s="669"/>
      <x:c r="AE86" s="669"/>
      <x:c r="AF86" s="669"/>
      <x:c r="AG86" s="669"/>
      <x:c r="AH86" s="669"/>
      <x:c r="AI86" s="669"/>
      <x:c r="AJ86" s="669"/>
      <x:c r="AK86" s="669"/>
      <x:c r="AL86" s="669"/>
      <x:c r="AM86" s="669"/>
      <x:c r="AN86" s="669"/>
      <x:c r="AO86" s="669"/>
      <x:c r="AP86" s="669"/>
      <x:c r="AQ86" s="669"/>
      <x:c r="AR86" s="669"/>
      <x:c r="AS86" s="669"/>
      <x:c r="AT86" s="669"/>
      <x:c r="AU86" s="758"/>
      <x:c r="AV86" s="945"/>
      <x:c r="AW86" s="946"/>
      <x:c r="AX86" s="946"/>
      <x:c r="AY86" s="946"/>
      <x:c r="AZ86" s="946"/>
      <x:c r="BA86" s="946"/>
      <x:c r="BB86" s="947"/>
      <x:c r="BD86" s="812"/>
      <x:c r="BE86" s="813"/>
      <x:c r="BF86" s="813"/>
      <x:c r="BG86" s="813"/>
      <x:c r="BH86" s="813"/>
      <x:c r="BI86" s="813"/>
      <x:c r="BJ86" s="813"/>
      <x:c r="BK86" s="813"/>
      <x:c r="BL86" s="813"/>
      <x:c r="BM86" s="813"/>
      <x:c r="BN86" s="813"/>
      <x:c r="BO86" s="813"/>
      <x:c r="BP86" s="813"/>
      <x:c r="BQ86" s="813"/>
      <x:c r="BR86" s="813"/>
      <x:c r="BS86" s="813"/>
      <x:c r="BT86" s="813"/>
      <x:c r="BU86" s="813"/>
      <x:c r="BV86" s="807"/>
      <x:c r="BW86" s="807"/>
      <x:c r="BX86" s="807"/>
      <x:c r="BY86" s="807"/>
      <x:c r="BZ86" s="807"/>
      <x:c r="CA86" s="807"/>
      <x:c r="CB86" s="807"/>
      <x:c r="CC86" s="807"/>
      <x:c r="CD86" s="807"/>
      <x:c r="CE86" s="809"/>
      <x:c r="CG86" s="1024" t="s">
        <x:v>280</x:v>
      </x:c>
      <x:c r="CH86" s="1025"/>
      <x:c r="CI86" s="1025"/>
      <x:c r="CJ86" s="1025"/>
      <x:c r="CK86" s="1025"/>
      <x:c r="CL86" s="1025"/>
      <x:c r="CM86" s="1025"/>
      <x:c r="CN86" s="1025"/>
      <x:c r="CO86" s="1025"/>
      <x:c r="CP86" s="1025"/>
      <x:c r="CQ86" s="1025"/>
      <x:c r="CR86" s="1025"/>
      <x:c r="CS86" s="1025"/>
      <x:c r="CT86" s="1025"/>
      <x:c r="CU86" s="1025"/>
      <x:c r="CV86" s="1025"/>
      <x:c r="CW86" s="1025"/>
      <x:c r="CX86" s="1025"/>
      <x:c r="CY86" s="1025"/>
      <x:c r="CZ86" s="1025"/>
      <x:c r="DA86" s="1025"/>
      <x:c r="DB86" s="1025"/>
      <x:c r="DC86" s="1025"/>
      <x:c r="DD86" s="1025"/>
      <x:c r="DE86" s="1025"/>
      <x:c r="DF86" s="1025"/>
      <x:c r="DG86" s="1026"/>
      <x:c r="DO86" s="29"/>
      <x:c r="DP86" s="29"/>
      <x:c r="DQ86" s="29"/>
      <x:c r="DR86" s="29"/>
      <x:c r="DS86" s="29"/>
      <x:c r="DT86" s="29"/>
      <x:c r="DU86" s="29"/>
      <x:c r="DV86" s="29"/>
      <x:c r="DW86" s="29"/>
      <x:c r="DX86" s="29"/>
      <x:c r="DY86" s="29"/>
      <x:c r="DZ86" s="29"/>
      <x:c r="EA86" s="29"/>
      <x:c r="EB86" s="29"/>
      <x:c r="EC86" s="29"/>
      <x:c r="ED86" s="29"/>
      <x:c r="EE86" s="29"/>
      <x:c r="EF86" s="29"/>
      <x:c r="EG86" s="29"/>
      <x:c r="EH86" s="29"/>
      <x:c r="EI86" s="29"/>
      <x:c r="EJ86" s="29"/>
      <x:c r="EK86" s="29"/>
      <x:c r="EL86" s="29"/>
      <x:c r="EM86" s="29"/>
    </x:row>
    <x:row r="87" ht="6" customHeight="1">
      <x:c r="A87" s="338"/>
      <x:c r="B87" s="339"/>
      <x:c r="C87" s="339"/>
      <x:c r="D87" s="339"/>
      <x:c r="E87" s="339"/>
      <x:c r="F87" s="340"/>
      <x:c r="G87" s="834"/>
      <x:c r="H87" s="835"/>
      <x:c r="I87" s="836"/>
      <x:c r="J87" s="648"/>
      <x:c r="K87" s="650"/>
      <x:c r="L87" s="869"/>
      <x:c r="M87" s="869"/>
      <x:c r="N87" s="869"/>
      <x:c r="O87" s="869"/>
      <x:c r="P87" s="869"/>
      <x:c r="Q87" s="870"/>
      <x:c r="S87" s="860"/>
      <x:c r="T87" s="861"/>
      <x:c r="U87" s="871" t="s">
        <x:v>281</x:v>
      </x:c>
      <x:c r="V87" s="666"/>
      <x:c r="W87" s="666"/>
      <x:c r="X87" s="666"/>
      <x:c r="Y87" s="666"/>
      <x:c r="Z87" s="666"/>
      <x:c r="AA87" s="666"/>
      <x:c r="AB87" s="666"/>
      <x:c r="AC87" s="666"/>
      <x:c r="AD87" s="666"/>
      <x:c r="AE87" s="666"/>
      <x:c r="AF87" s="666"/>
      <x:c r="AG87" s="666"/>
      <x:c r="AH87" s="666"/>
      <x:c r="AI87" s="666"/>
      <x:c r="AJ87" s="666"/>
      <x:c r="AK87" s="666"/>
      <x:c r="AL87" s="666"/>
      <x:c r="AM87" s="666"/>
      <x:c r="AN87" s="666"/>
      <x:c r="AO87" s="666"/>
      <x:c r="AP87" s="666"/>
      <x:c r="AQ87" s="666"/>
      <x:c r="AR87" s="666"/>
      <x:c r="AS87" s="666"/>
      <x:c r="AT87" s="666"/>
      <x:c r="AU87" s="872"/>
      <x:c r="AV87" s="875"/>
      <x:c r="AW87" s="875"/>
      <x:c r="AX87" s="875"/>
      <x:c r="AY87" s="875"/>
      <x:c r="AZ87" s="875"/>
      <x:c r="BA87" s="875"/>
      <x:c r="BB87" s="876"/>
      <x:c r="BD87" s="812" t="s">
        <x:v>282</x:v>
      </x:c>
      <x:c r="BE87" s="813"/>
      <x:c r="BF87" s="813"/>
      <x:c r="BG87" s="813"/>
      <x:c r="BH87" s="813"/>
      <x:c r="BI87" s="813"/>
      <x:c r="BJ87" s="813"/>
      <x:c r="BK87" s="813"/>
      <x:c r="BL87" s="813"/>
      <x:c r="BM87" s="813"/>
      <x:c r="BN87" s="813"/>
      <x:c r="BO87" s="813"/>
      <x:c r="BP87" s="813"/>
      <x:c r="BQ87" s="813"/>
      <x:c r="BR87" s="813"/>
      <x:c r="BS87" s="813"/>
      <x:c r="BT87" s="813"/>
      <x:c r="BU87" s="813"/>
      <x:c r="BV87" s="919"/>
      <x:c r="BW87" s="919"/>
      <x:c r="BX87" s="919"/>
      <x:c r="BY87" s="919"/>
      <x:c r="BZ87" s="919"/>
      <x:c r="CA87" s="919"/>
      <x:c r="CB87" s="919"/>
      <x:c r="CC87" s="919"/>
      <x:c r="CD87" s="919"/>
      <x:c r="CE87" s="809"/>
      <x:c r="CG87" s="1027"/>
      <x:c r="CH87" s="1028"/>
      <x:c r="CI87" s="1028"/>
      <x:c r="CJ87" s="1028"/>
      <x:c r="CK87" s="1028"/>
      <x:c r="CL87" s="1028"/>
      <x:c r="CM87" s="1028"/>
      <x:c r="CN87" s="1028"/>
      <x:c r="CO87" s="1028"/>
      <x:c r="CP87" s="1028"/>
      <x:c r="CQ87" s="1028"/>
      <x:c r="CR87" s="1028"/>
      <x:c r="CS87" s="1028"/>
      <x:c r="CT87" s="1028"/>
      <x:c r="CU87" s="1028"/>
      <x:c r="CV87" s="1028"/>
      <x:c r="CW87" s="1028"/>
      <x:c r="CX87" s="1028"/>
      <x:c r="CY87" s="1028"/>
      <x:c r="CZ87" s="1028"/>
      <x:c r="DA87" s="1028"/>
      <x:c r="DB87" s="1028"/>
      <x:c r="DC87" s="1028"/>
      <x:c r="DD87" s="1028"/>
      <x:c r="DE87" s="1028"/>
      <x:c r="DF87" s="1028"/>
      <x:c r="DG87" s="1029"/>
      <x:c r="DO87" s="29"/>
      <x:c r="DP87" s="29"/>
      <x:c r="DQ87" s="29"/>
      <x:c r="DR87" s="29"/>
      <x:c r="DS87" s="29"/>
      <x:c r="DT87" s="29"/>
      <x:c r="DU87" s="29"/>
      <x:c r="DV87" s="29"/>
      <x:c r="DW87" s="29"/>
      <x:c r="DX87" s="29"/>
      <x:c r="DY87" s="29"/>
      <x:c r="DZ87" s="29"/>
      <x:c r="EA87" s="29"/>
      <x:c r="EB87" s="29"/>
      <x:c r="EC87" s="29"/>
      <x:c r="ED87" s="29"/>
      <x:c r="EE87" s="29"/>
      <x:c r="EF87" s="29"/>
      <x:c r="EG87" s="29"/>
      <x:c r="EH87" s="29"/>
      <x:c r="EI87" s="29"/>
      <x:c r="EJ87" s="29"/>
      <x:c r="EK87" s="29"/>
      <x:c r="EL87" s="29"/>
      <x:c r="EM87" s="29"/>
    </x:row>
    <x:row r="88" ht="6" customHeight="1">
      <x:c r="A88" s="332" t="s">
        <x:v>116</x:v>
      </x:c>
      <x:c r="B88" s="333"/>
      <x:c r="C88" s="333"/>
      <x:c r="D88" s="333"/>
      <x:c r="E88" s="333"/>
      <x:c r="F88" s="334"/>
      <x:c r="G88" s="831">
        <x:v>500</x:v>
      </x:c>
      <x:c r="H88" s="832"/>
      <x:c r="I88" s="833"/>
      <x:c r="J88" s="645"/>
      <x:c r="K88" s="647"/>
      <x:c r="L88" s="869" t="str">
        <x:f t="shared" ref="L88" si="6">IF(G88*J88=0,"",SUM(G88*J88))</x:f>
      </x:c>
      <x:c r="M88" s="869"/>
      <x:c r="N88" s="869"/>
      <x:c r="O88" s="869"/>
      <x:c r="P88" s="869"/>
      <x:c r="Q88" s="870"/>
      <x:c r="S88" s="860"/>
      <x:c r="T88" s="861"/>
      <x:c r="U88" s="873"/>
      <x:c r="V88" s="669"/>
      <x:c r="W88" s="669"/>
      <x:c r="X88" s="669"/>
      <x:c r="Y88" s="669"/>
      <x:c r="Z88" s="669"/>
      <x:c r="AA88" s="669"/>
      <x:c r="AB88" s="669"/>
      <x:c r="AC88" s="669"/>
      <x:c r="AD88" s="669"/>
      <x:c r="AE88" s="669"/>
      <x:c r="AF88" s="669"/>
      <x:c r="AG88" s="669"/>
      <x:c r="AH88" s="669"/>
      <x:c r="AI88" s="669"/>
      <x:c r="AJ88" s="669"/>
      <x:c r="AK88" s="669"/>
      <x:c r="AL88" s="669"/>
      <x:c r="AM88" s="669"/>
      <x:c r="AN88" s="669"/>
      <x:c r="AO88" s="669"/>
      <x:c r="AP88" s="669"/>
      <x:c r="AQ88" s="669"/>
      <x:c r="AR88" s="669"/>
      <x:c r="AS88" s="669"/>
      <x:c r="AT88" s="669"/>
      <x:c r="AU88" s="758"/>
      <x:c r="AV88" s="875"/>
      <x:c r="AW88" s="875"/>
      <x:c r="AX88" s="875"/>
      <x:c r="AY88" s="875"/>
      <x:c r="AZ88" s="875"/>
      <x:c r="BA88" s="875"/>
      <x:c r="BB88" s="876"/>
      <x:c r="BD88" s="812"/>
      <x:c r="BE88" s="813"/>
      <x:c r="BF88" s="813"/>
      <x:c r="BG88" s="813"/>
      <x:c r="BH88" s="813"/>
      <x:c r="BI88" s="813"/>
      <x:c r="BJ88" s="813"/>
      <x:c r="BK88" s="813"/>
      <x:c r="BL88" s="813"/>
      <x:c r="BM88" s="813"/>
      <x:c r="BN88" s="813"/>
      <x:c r="BO88" s="813"/>
      <x:c r="BP88" s="813"/>
      <x:c r="BQ88" s="813"/>
      <x:c r="BR88" s="813"/>
      <x:c r="BS88" s="813"/>
      <x:c r="BT88" s="813"/>
      <x:c r="BU88" s="813"/>
      <x:c r="BV88" s="919"/>
      <x:c r="BW88" s="919"/>
      <x:c r="BX88" s="919"/>
      <x:c r="BY88" s="919"/>
      <x:c r="BZ88" s="919"/>
      <x:c r="CA88" s="919"/>
      <x:c r="CB88" s="919"/>
      <x:c r="CC88" s="919"/>
      <x:c r="CD88" s="919"/>
      <x:c r="CE88" s="809"/>
      <x:c r="CG88" s="810" t="s">
        <x:v>283</x:v>
      </x:c>
      <x:c r="CH88" s="811"/>
      <x:c r="CI88" s="811"/>
      <x:c r="CJ88" s="811"/>
      <x:c r="CK88" s="811"/>
      <x:c r="CL88" s="811"/>
      <x:c r="CM88" s="811"/>
      <x:c r="CN88" s="811"/>
      <x:c r="CO88" s="811"/>
      <x:c r="CP88" s="1030" t="s">
        <x:v>150</x:v>
      </x:c>
      <x:c r="CQ88" s="1030"/>
      <x:c r="CR88" s="1030"/>
      <x:c r="CS88" s="1030"/>
      <x:c r="CT88" s="928" t="s">
        <x:v>284</x:v>
      </x:c>
      <x:c r="CU88" s="333"/>
      <x:c r="CV88" s="333"/>
      <x:c r="CW88" s="333"/>
      <x:c r="CX88" s="333"/>
      <x:c r="CY88" s="333"/>
      <x:c r="CZ88" s="333"/>
      <x:c r="DA88" s="333"/>
      <x:c r="DB88" s="333"/>
      <x:c r="DC88" s="334"/>
      <x:c r="DD88" s="1032"/>
      <x:c r="DE88" s="1033"/>
      <x:c r="DF88" s="915"/>
      <x:c r="DG88" s="916"/>
      <x:c r="DO88" s="29"/>
      <x:c r="DP88" s="29"/>
      <x:c r="DQ88" s="29"/>
      <x:c r="DR88" s="29"/>
      <x:c r="DS88" s="29"/>
      <x:c r="DT88" s="29"/>
      <x:c r="DU88" s="29"/>
      <x:c r="DV88" s="29"/>
      <x:c r="DW88" s="29"/>
      <x:c r="DX88" s="29"/>
      <x:c r="DY88" s="29"/>
      <x:c r="DZ88" s="29"/>
      <x:c r="EA88" s="29"/>
      <x:c r="EB88" s="29"/>
      <x:c r="EC88" s="29"/>
      <x:c r="ED88" s="29"/>
      <x:c r="EE88" s="29"/>
      <x:c r="EF88" s="29"/>
      <x:c r="EG88" s="29"/>
      <x:c r="EH88" s="29"/>
      <x:c r="EI88" s="29"/>
      <x:c r="EJ88" s="29"/>
      <x:c r="EK88" s="29"/>
      <x:c r="EL88" s="29"/>
      <x:c r="EM88" s="29"/>
    </x:row>
    <x:row r="89" ht="6" customHeight="1">
      <x:c r="A89" s="338"/>
      <x:c r="B89" s="339"/>
      <x:c r="C89" s="339"/>
      <x:c r="D89" s="339"/>
      <x:c r="E89" s="339"/>
      <x:c r="F89" s="340"/>
      <x:c r="G89" s="834"/>
      <x:c r="H89" s="835"/>
      <x:c r="I89" s="836"/>
      <x:c r="J89" s="648"/>
      <x:c r="K89" s="650"/>
      <x:c r="L89" s="869"/>
      <x:c r="M89" s="869"/>
      <x:c r="N89" s="869"/>
      <x:c r="O89" s="869"/>
      <x:c r="P89" s="869"/>
      <x:c r="Q89" s="870"/>
      <x:c r="S89" s="860"/>
      <x:c r="T89" s="861"/>
      <x:c r="U89" s="871" t="s">
        <x:v>285</x:v>
      </x:c>
      <x:c r="V89" s="666"/>
      <x:c r="W89" s="666"/>
      <x:c r="X89" s="666"/>
      <x:c r="Y89" s="666"/>
      <x:c r="Z89" s="666"/>
      <x:c r="AA89" s="666"/>
      <x:c r="AB89" s="666"/>
      <x:c r="AC89" s="666"/>
      <x:c r="AD89" s="666"/>
      <x:c r="AE89" s="666"/>
      <x:c r="AF89" s="666"/>
      <x:c r="AG89" s="666"/>
      <x:c r="AH89" s="666"/>
      <x:c r="AI89" s="666"/>
      <x:c r="AJ89" s="666"/>
      <x:c r="AK89" s="666"/>
      <x:c r="AL89" s="666"/>
      <x:c r="AM89" s="666"/>
      <x:c r="AN89" s="666"/>
      <x:c r="AO89" s="666"/>
      <x:c r="AP89" s="666"/>
      <x:c r="AQ89" s="666"/>
      <x:c r="AR89" s="666"/>
      <x:c r="AS89" s="666"/>
      <x:c r="AT89" s="666"/>
      <x:c r="AU89" s="872"/>
      <x:c r="AV89" s="875"/>
      <x:c r="AW89" s="875"/>
      <x:c r="AX89" s="875"/>
      <x:c r="AY89" s="875"/>
      <x:c r="AZ89" s="875"/>
      <x:c r="BA89" s="875"/>
      <x:c r="BB89" s="876"/>
      <x:c r="BD89" s="812"/>
      <x:c r="BE89" s="813"/>
      <x:c r="BF89" s="813"/>
      <x:c r="BG89" s="813"/>
      <x:c r="BH89" s="813"/>
      <x:c r="BI89" s="813"/>
      <x:c r="BJ89" s="813"/>
      <x:c r="BK89" s="813"/>
      <x:c r="BL89" s="813"/>
      <x:c r="BM89" s="813"/>
      <x:c r="BN89" s="813"/>
      <x:c r="BO89" s="813"/>
      <x:c r="BP89" s="813"/>
      <x:c r="BQ89" s="813"/>
      <x:c r="BR89" s="813"/>
      <x:c r="BS89" s="813"/>
      <x:c r="BT89" s="813"/>
      <x:c r="BU89" s="813"/>
      <x:c r="BV89" s="919"/>
      <x:c r="BW89" s="919"/>
      <x:c r="BX89" s="919"/>
      <x:c r="BY89" s="919"/>
      <x:c r="BZ89" s="919"/>
      <x:c r="CA89" s="919"/>
      <x:c r="CB89" s="919"/>
      <x:c r="CC89" s="919"/>
      <x:c r="CD89" s="919"/>
      <x:c r="CE89" s="809"/>
      <x:c r="CG89" s="812"/>
      <x:c r="CH89" s="813"/>
      <x:c r="CI89" s="813"/>
      <x:c r="CJ89" s="813"/>
      <x:c r="CK89" s="813"/>
      <x:c r="CL89" s="813"/>
      <x:c r="CM89" s="813"/>
      <x:c r="CN89" s="813"/>
      <x:c r="CO89" s="813"/>
      <x:c r="CP89" s="1031"/>
      <x:c r="CQ89" s="1031"/>
      <x:c r="CR89" s="1031"/>
      <x:c r="CS89" s="1031"/>
      <x:c r="CT89" s="929"/>
      <x:c r="CU89" s="339"/>
      <x:c r="CV89" s="339"/>
      <x:c r="CW89" s="339"/>
      <x:c r="CX89" s="339"/>
      <x:c r="CY89" s="339"/>
      <x:c r="CZ89" s="339"/>
      <x:c r="DA89" s="339"/>
      <x:c r="DB89" s="339"/>
      <x:c r="DC89" s="340"/>
      <x:c r="DD89" s="921"/>
      <x:c r="DE89" s="917"/>
      <x:c r="DF89" s="917"/>
      <x:c r="DG89" s="918"/>
      <x:c r="DO89" s="29"/>
      <x:c r="DP89" s="29"/>
      <x:c r="DQ89" s="29"/>
      <x:c r="DR89" s="29"/>
      <x:c r="DS89" s="29"/>
      <x:c r="DT89" s="29"/>
      <x:c r="DU89" s="29"/>
      <x:c r="DV89" s="29"/>
      <x:c r="DW89" s="29"/>
      <x:c r="DX89" s="29"/>
      <x:c r="DY89" s="29"/>
      <x:c r="DZ89" s="29"/>
      <x:c r="EA89" s="29"/>
      <x:c r="EB89" s="29"/>
      <x:c r="EC89" s="29"/>
      <x:c r="ED89" s="29"/>
      <x:c r="EE89" s="29"/>
      <x:c r="EF89" s="29"/>
      <x:c r="EG89" s="29"/>
      <x:c r="EH89" s="29"/>
      <x:c r="EI89" s="29"/>
      <x:c r="EJ89" s="29"/>
      <x:c r="EK89" s="29"/>
      <x:c r="EL89" s="29"/>
      <x:c r="EM89" s="29"/>
    </x:row>
    <x:row r="90" ht="6" customHeight="1">
      <x:c r="A90" s="332" t="s">
        <x:v>286</x:v>
      </x:c>
      <x:c r="B90" s="333"/>
      <x:c r="C90" s="333"/>
      <x:c r="D90" s="333"/>
      <x:c r="E90" s="333"/>
      <x:c r="F90" s="334"/>
      <x:c r="G90" s="831">
        <x:v>450</x:v>
      </x:c>
      <x:c r="H90" s="832"/>
      <x:c r="I90" s="833"/>
      <x:c r="J90" s="645"/>
      <x:c r="K90" s="647"/>
      <x:c r="L90" s="869" t="str">
        <x:f t="shared" ref="L90" si="7">IF(G90*J90=0,"",SUM(G90*J90))</x:f>
      </x:c>
      <x:c r="M90" s="869"/>
      <x:c r="N90" s="869"/>
      <x:c r="O90" s="869"/>
      <x:c r="P90" s="869"/>
      <x:c r="Q90" s="870"/>
      <x:c r="S90" s="860"/>
      <x:c r="T90" s="861"/>
      <x:c r="U90" s="873"/>
      <x:c r="V90" s="669"/>
      <x:c r="W90" s="669"/>
      <x:c r="X90" s="669"/>
      <x:c r="Y90" s="669"/>
      <x:c r="Z90" s="669"/>
      <x:c r="AA90" s="669"/>
      <x:c r="AB90" s="669"/>
      <x:c r="AC90" s="669"/>
      <x:c r="AD90" s="669"/>
      <x:c r="AE90" s="669"/>
      <x:c r="AF90" s="669"/>
      <x:c r="AG90" s="669"/>
      <x:c r="AH90" s="669"/>
      <x:c r="AI90" s="669"/>
      <x:c r="AJ90" s="669"/>
      <x:c r="AK90" s="669"/>
      <x:c r="AL90" s="669"/>
      <x:c r="AM90" s="669"/>
      <x:c r="AN90" s="669"/>
      <x:c r="AO90" s="669"/>
      <x:c r="AP90" s="669"/>
      <x:c r="AQ90" s="669"/>
      <x:c r="AR90" s="669"/>
      <x:c r="AS90" s="669"/>
      <x:c r="AT90" s="669"/>
      <x:c r="AU90" s="758"/>
      <x:c r="AV90" s="875"/>
      <x:c r="AW90" s="875"/>
      <x:c r="AX90" s="875"/>
      <x:c r="AY90" s="875"/>
      <x:c r="AZ90" s="875"/>
      <x:c r="BA90" s="875"/>
      <x:c r="BB90" s="876"/>
      <x:c r="BD90" s="812"/>
      <x:c r="BE90" s="813"/>
      <x:c r="BF90" s="813"/>
      <x:c r="BG90" s="813"/>
      <x:c r="BH90" s="813"/>
      <x:c r="BI90" s="813"/>
      <x:c r="BJ90" s="813"/>
      <x:c r="BK90" s="813"/>
      <x:c r="BL90" s="813"/>
      <x:c r="BM90" s="813"/>
      <x:c r="BN90" s="813"/>
      <x:c r="BO90" s="813"/>
      <x:c r="BP90" s="813"/>
      <x:c r="BQ90" s="813"/>
      <x:c r="BR90" s="813"/>
      <x:c r="BS90" s="813"/>
      <x:c r="BT90" s="813"/>
      <x:c r="BU90" s="813"/>
      <x:c r="BV90" s="919"/>
      <x:c r="BW90" s="919"/>
      <x:c r="BX90" s="919"/>
      <x:c r="BY90" s="919"/>
      <x:c r="BZ90" s="919"/>
      <x:c r="CA90" s="919"/>
      <x:c r="CB90" s="919"/>
      <x:c r="CC90" s="919"/>
      <x:c r="CD90" s="919"/>
      <x:c r="CE90" s="809"/>
      <x:c r="CG90" s="871" t="s">
        <x:v>287</x:v>
      </x:c>
      <x:c r="CH90" s="666"/>
      <x:c r="CI90" s="666"/>
      <x:c r="CJ90" s="666"/>
      <x:c r="CK90" s="666"/>
      <x:c r="CL90" s="666"/>
      <x:c r="CM90" s="666"/>
      <x:c r="CN90" s="666"/>
      <x:c r="CO90" s="872"/>
      <x:c r="CP90" s="922" t="s">
        <x:v>150</x:v>
      </x:c>
      <x:c r="CQ90" s="923"/>
      <x:c r="CR90" s="923"/>
      <x:c r="CS90" s="924"/>
      <x:c r="CT90" s="928" t="s">
        <x:v>288</x:v>
      </x:c>
      <x:c r="CU90" s="333"/>
      <x:c r="CV90" s="333"/>
      <x:c r="CW90" s="333"/>
      <x:c r="CX90" s="333"/>
      <x:c r="CY90" s="333"/>
      <x:c r="CZ90" s="333"/>
      <x:c r="DA90" s="333"/>
      <x:c r="DB90" s="333"/>
      <x:c r="DC90" s="334"/>
      <x:c r="DD90" s="920"/>
      <x:c r="DE90" s="915"/>
      <x:c r="DF90" s="915"/>
      <x:c r="DG90" s="916"/>
      <x:c r="DO90" s="29"/>
      <x:c r="DP90" s="29"/>
      <x:c r="DQ90" s="29"/>
      <x:c r="DR90" s="29"/>
      <x:c r="DS90" s="29"/>
      <x:c r="DT90" s="29"/>
      <x:c r="DU90" s="29"/>
      <x:c r="DV90" s="29"/>
      <x:c r="DW90" s="29"/>
      <x:c r="DX90" s="29"/>
      <x:c r="DY90" s="29"/>
      <x:c r="DZ90" s="29"/>
      <x:c r="EA90" s="29"/>
      <x:c r="EB90" s="29"/>
      <x:c r="EC90" s="29"/>
      <x:c r="ED90" s="29"/>
      <x:c r="EE90" s="29"/>
      <x:c r="EF90" s="29"/>
      <x:c r="EG90" s="29"/>
      <x:c r="EH90" s="29"/>
      <x:c r="EI90" s="29"/>
      <x:c r="EJ90" s="29"/>
      <x:c r="EK90" s="29"/>
      <x:c r="EL90" s="29"/>
      <x:c r="EM90" s="29"/>
    </x:row>
    <x:row r="91" ht="6" customHeight="1">
      <x:c r="A91" s="338"/>
      <x:c r="B91" s="339"/>
      <x:c r="C91" s="339"/>
      <x:c r="D91" s="339"/>
      <x:c r="E91" s="339"/>
      <x:c r="F91" s="340"/>
      <x:c r="G91" s="834"/>
      <x:c r="H91" s="835"/>
      <x:c r="I91" s="836"/>
      <x:c r="J91" s="648"/>
      <x:c r="K91" s="650"/>
      <x:c r="L91" s="869"/>
      <x:c r="M91" s="869"/>
      <x:c r="N91" s="869"/>
      <x:c r="O91" s="869"/>
      <x:c r="P91" s="869"/>
      <x:c r="Q91" s="870"/>
      <x:c r="S91" s="860"/>
      <x:c r="T91" s="861"/>
      <x:c r="U91" s="871" t="s">
        <x:v>289</x:v>
      </x:c>
      <x:c r="V91" s="666"/>
      <x:c r="W91" s="666"/>
      <x:c r="X91" s="666"/>
      <x:c r="Y91" s="666"/>
      <x:c r="Z91" s="666"/>
      <x:c r="AA91" s="666"/>
      <x:c r="AB91" s="666"/>
      <x:c r="AC91" s="666"/>
      <x:c r="AD91" s="666"/>
      <x:c r="AE91" s="666"/>
      <x:c r="AF91" s="666"/>
      <x:c r="AG91" s="666"/>
      <x:c r="AH91" s="666"/>
      <x:c r="AI91" s="666"/>
      <x:c r="AJ91" s="666"/>
      <x:c r="AK91" s="666"/>
      <x:c r="AL91" s="666"/>
      <x:c r="AM91" s="666"/>
      <x:c r="AN91" s="666"/>
      <x:c r="AO91" s="666"/>
      <x:c r="AP91" s="666"/>
      <x:c r="AQ91" s="666"/>
      <x:c r="AR91" s="666"/>
      <x:c r="AS91" s="666"/>
      <x:c r="AT91" s="666"/>
      <x:c r="AU91" s="872"/>
      <x:c r="AV91" s="875"/>
      <x:c r="AW91" s="875"/>
      <x:c r="AX91" s="875"/>
      <x:c r="AY91" s="875"/>
      <x:c r="AZ91" s="875"/>
      <x:c r="BA91" s="875"/>
      <x:c r="BB91" s="876"/>
      <x:c r="BD91" s="997" t="s">
        <x:v>290</x:v>
      </x:c>
      <x:c r="BE91" s="998"/>
      <x:c r="BF91" s="998"/>
      <x:c r="BG91" s="998"/>
      <x:c r="BH91" s="998"/>
      <x:c r="BI91" s="998"/>
      <x:c r="BJ91" s="998"/>
      <x:c r="BK91" s="998"/>
      <x:c r="BL91" s="998"/>
      <x:c r="BM91" s="998"/>
      <x:c r="BN91" s="998"/>
      <x:c r="BO91" s="998"/>
      <x:c r="BP91" s="998"/>
      <x:c r="BQ91" s="998"/>
      <x:c r="BR91" s="998"/>
      <x:c r="BS91" s="998"/>
      <x:c r="BT91" s="998"/>
      <x:c r="BU91" s="998"/>
      <x:c r="BV91" s="1001"/>
      <x:c r="BW91" s="1001"/>
      <x:c r="BX91" s="1001"/>
      <x:c r="BY91" s="1001"/>
      <x:c r="BZ91" s="1001"/>
      <x:c r="CA91" s="1002"/>
      <x:c r="CB91" s="1002"/>
      <x:c r="CC91" s="1002"/>
      <x:c r="CD91" s="1002"/>
      <x:c r="CE91" s="1003"/>
      <x:c r="CG91" s="873"/>
      <x:c r="CH91" s="669"/>
      <x:c r="CI91" s="669"/>
      <x:c r="CJ91" s="669"/>
      <x:c r="CK91" s="669"/>
      <x:c r="CL91" s="669"/>
      <x:c r="CM91" s="669"/>
      <x:c r="CN91" s="669"/>
      <x:c r="CO91" s="758"/>
      <x:c r="CP91" s="925"/>
      <x:c r="CQ91" s="926"/>
      <x:c r="CR91" s="926"/>
      <x:c r="CS91" s="927"/>
      <x:c r="CT91" s="929"/>
      <x:c r="CU91" s="339"/>
      <x:c r="CV91" s="339"/>
      <x:c r="CW91" s="339"/>
      <x:c r="CX91" s="339"/>
      <x:c r="CY91" s="339"/>
      <x:c r="CZ91" s="339"/>
      <x:c r="DA91" s="339"/>
      <x:c r="DB91" s="339"/>
      <x:c r="DC91" s="340"/>
      <x:c r="DD91" s="921"/>
      <x:c r="DE91" s="917"/>
      <x:c r="DF91" s="917"/>
      <x:c r="DG91" s="918"/>
      <x:c r="DO91" s="29"/>
      <x:c r="DP91" s="29"/>
      <x:c r="DQ91" s="29"/>
      <x:c r="DR91" s="29"/>
      <x:c r="DS91" s="29"/>
      <x:c r="DT91" s="29"/>
      <x:c r="DU91" s="29"/>
      <x:c r="DV91" s="29"/>
      <x:c r="DW91" s="29"/>
      <x:c r="DX91" s="29"/>
      <x:c r="DY91" s="29"/>
      <x:c r="DZ91" s="29"/>
      <x:c r="EA91" s="29"/>
      <x:c r="EB91" s="29"/>
      <x:c r="EC91" s="29"/>
      <x:c r="ED91" s="29"/>
      <x:c r="EE91" s="29"/>
      <x:c r="EF91" s="29"/>
      <x:c r="EG91" s="29"/>
      <x:c r="EH91" s="29"/>
      <x:c r="EI91" s="29"/>
      <x:c r="EJ91" s="29"/>
      <x:c r="EK91" s="29"/>
      <x:c r="EL91" s="29"/>
      <x:c r="EM91" s="29"/>
    </x:row>
    <x:row r="92" ht="6" customHeight="1">
      <x:c r="A92" s="332"/>
      <x:c r="B92" s="333"/>
      <x:c r="C92" s="333"/>
      <x:c r="D92" s="333"/>
      <x:c r="E92" s="333"/>
      <x:c r="F92" s="334"/>
      <x:c r="G92" s="831"/>
      <x:c r="H92" s="832"/>
      <x:c r="I92" s="833"/>
      <x:c r="J92" s="865"/>
      <x:c r="K92" s="866"/>
      <x:c r="L92" s="869" t="str">
        <x:f t="shared" ref="L92" si="8">IF(G92*J92=0,"",SUM(G92*J92))</x:f>
      </x:c>
      <x:c r="M92" s="869"/>
      <x:c r="N92" s="869"/>
      <x:c r="O92" s="869"/>
      <x:c r="P92" s="869"/>
      <x:c r="Q92" s="870"/>
      <x:c r="S92" s="860"/>
      <x:c r="T92" s="861"/>
      <x:c r="U92" s="873"/>
      <x:c r="V92" s="669"/>
      <x:c r="W92" s="669"/>
      <x:c r="X92" s="669"/>
      <x:c r="Y92" s="669"/>
      <x:c r="Z92" s="669"/>
      <x:c r="AA92" s="669"/>
      <x:c r="AB92" s="669"/>
      <x:c r="AC92" s="669"/>
      <x:c r="AD92" s="669"/>
      <x:c r="AE92" s="669"/>
      <x:c r="AF92" s="669"/>
      <x:c r="AG92" s="669"/>
      <x:c r="AH92" s="669"/>
      <x:c r="AI92" s="669"/>
      <x:c r="AJ92" s="669"/>
      <x:c r="AK92" s="669"/>
      <x:c r="AL92" s="669"/>
      <x:c r="AM92" s="669"/>
      <x:c r="AN92" s="669"/>
      <x:c r="AO92" s="669"/>
      <x:c r="AP92" s="669"/>
      <x:c r="AQ92" s="669"/>
      <x:c r="AR92" s="669"/>
      <x:c r="AS92" s="669"/>
      <x:c r="AT92" s="669"/>
      <x:c r="AU92" s="758"/>
      <x:c r="AV92" s="875"/>
      <x:c r="AW92" s="875"/>
      <x:c r="AX92" s="875"/>
      <x:c r="AY92" s="875"/>
      <x:c r="AZ92" s="875"/>
      <x:c r="BA92" s="875"/>
      <x:c r="BB92" s="876"/>
      <x:c r="BD92" s="997"/>
      <x:c r="BE92" s="998"/>
      <x:c r="BF92" s="998"/>
      <x:c r="BG92" s="998"/>
      <x:c r="BH92" s="998"/>
      <x:c r="BI92" s="998"/>
      <x:c r="BJ92" s="998"/>
      <x:c r="BK92" s="998"/>
      <x:c r="BL92" s="998"/>
      <x:c r="BM92" s="998"/>
      <x:c r="BN92" s="998"/>
      <x:c r="BO92" s="998"/>
      <x:c r="BP92" s="998"/>
      <x:c r="BQ92" s="998"/>
      <x:c r="BR92" s="998"/>
      <x:c r="BS92" s="998"/>
      <x:c r="BT92" s="998"/>
      <x:c r="BU92" s="998"/>
      <x:c r="BV92" s="1001"/>
      <x:c r="BW92" s="1001"/>
      <x:c r="BX92" s="1001"/>
      <x:c r="BY92" s="1001"/>
      <x:c r="BZ92" s="1001"/>
      <x:c r="CA92" s="1002"/>
      <x:c r="CB92" s="1002"/>
      <x:c r="CC92" s="1002"/>
      <x:c r="CD92" s="1002"/>
      <x:c r="CE92" s="1003"/>
      <x:c r="CG92" s="871" t="s">
        <x:v>291</x:v>
      </x:c>
      <x:c r="CH92" s="666"/>
      <x:c r="CI92" s="666"/>
      <x:c r="CJ92" s="666"/>
      <x:c r="CK92" s="666"/>
      <x:c r="CL92" s="666"/>
      <x:c r="CM92" s="666"/>
      <x:c r="CN92" s="666"/>
      <x:c r="CO92" s="872"/>
      <x:c r="CP92" s="922"/>
      <x:c r="CQ92" s="923"/>
      <x:c r="CR92" s="923"/>
      <x:c r="CS92" s="924"/>
      <x:c r="CT92" s="928" t="s">
        <x:v>292</x:v>
      </x:c>
      <x:c r="CU92" s="333"/>
      <x:c r="CV92" s="333"/>
      <x:c r="CW92" s="333"/>
      <x:c r="CX92" s="333"/>
      <x:c r="CY92" s="333"/>
      <x:c r="CZ92" s="333"/>
      <x:c r="DA92" s="333"/>
      <x:c r="DB92" s="333"/>
      <x:c r="DC92" s="334"/>
      <x:c r="DD92" s="920"/>
      <x:c r="DE92" s="915"/>
      <x:c r="DF92" s="915"/>
      <x:c r="DG92" s="916"/>
      <x:c r="DO92" s="29"/>
      <x:c r="DP92" s="29"/>
      <x:c r="DQ92" s="29"/>
      <x:c r="DR92" s="29"/>
      <x:c r="DS92" s="29"/>
      <x:c r="DT92" s="29"/>
      <x:c r="DU92" s="29"/>
      <x:c r="DV92" s="29"/>
      <x:c r="DW92" s="29"/>
      <x:c r="DX92" s="29"/>
      <x:c r="DY92" s="29"/>
      <x:c r="DZ92" s="29"/>
      <x:c r="EA92" s="29"/>
      <x:c r="EB92" s="29"/>
      <x:c r="EC92" s="29"/>
      <x:c r="ED92" s="29"/>
      <x:c r="EE92" s="29"/>
      <x:c r="EF92" s="29"/>
      <x:c r="EG92" s="29"/>
      <x:c r="EH92" s="29"/>
      <x:c r="EI92" s="29"/>
      <x:c r="EJ92" s="29"/>
      <x:c r="EK92" s="29"/>
      <x:c r="EL92" s="29"/>
      <x:c r="EM92" s="29"/>
    </x:row>
    <x:row r="93" ht="6" customHeight="1">
      <x:c r="A93" s="338"/>
      <x:c r="B93" s="339"/>
      <x:c r="C93" s="339"/>
      <x:c r="D93" s="339"/>
      <x:c r="E93" s="339"/>
      <x:c r="F93" s="340"/>
      <x:c r="G93" s="834"/>
      <x:c r="H93" s="835"/>
      <x:c r="I93" s="836"/>
      <x:c r="J93" s="867"/>
      <x:c r="K93" s="868"/>
      <x:c r="L93" s="869"/>
      <x:c r="M93" s="869"/>
      <x:c r="N93" s="869"/>
      <x:c r="O93" s="869"/>
      <x:c r="P93" s="869"/>
      <x:c r="Q93" s="870"/>
      <x:c r="S93" s="860"/>
      <x:c r="T93" s="861"/>
      <x:c r="U93" s="871" t="s">
        <x:v>293</x:v>
      </x:c>
      <x:c r="V93" s="666"/>
      <x:c r="W93" s="666"/>
      <x:c r="X93" s="666"/>
      <x:c r="Y93" s="666"/>
      <x:c r="Z93" s="666"/>
      <x:c r="AA93" s="666"/>
      <x:c r="AB93" s="666"/>
      <x:c r="AC93" s="666"/>
      <x:c r="AD93" s="666"/>
      <x:c r="AE93" s="666"/>
      <x:c r="AF93" s="666"/>
      <x:c r="AG93" s="666"/>
      <x:c r="AH93" s="666"/>
      <x:c r="AI93" s="666"/>
      <x:c r="AJ93" s="666"/>
      <x:c r="AK93" s="666"/>
      <x:c r="AL93" s="666"/>
      <x:c r="AM93" s="666"/>
      <x:c r="AN93" s="666"/>
      <x:c r="AO93" s="666"/>
      <x:c r="AP93" s="666"/>
      <x:c r="AQ93" s="666"/>
      <x:c r="AR93" s="666"/>
      <x:c r="AS93" s="666"/>
      <x:c r="AT93" s="666"/>
      <x:c r="AU93" s="872"/>
      <x:c r="AV93" s="875"/>
      <x:c r="AW93" s="875"/>
      <x:c r="AX93" s="875"/>
      <x:c r="AY93" s="875"/>
      <x:c r="AZ93" s="875"/>
      <x:c r="BA93" s="875"/>
      <x:c r="BB93" s="876"/>
      <x:c r="BD93" s="997"/>
      <x:c r="BE93" s="998"/>
      <x:c r="BF93" s="998"/>
      <x:c r="BG93" s="998"/>
      <x:c r="BH93" s="998"/>
      <x:c r="BI93" s="998"/>
      <x:c r="BJ93" s="998"/>
      <x:c r="BK93" s="998"/>
      <x:c r="BL93" s="998"/>
      <x:c r="BM93" s="998"/>
      <x:c r="BN93" s="998"/>
      <x:c r="BO93" s="998"/>
      <x:c r="BP93" s="998"/>
      <x:c r="BQ93" s="998"/>
      <x:c r="BR93" s="998"/>
      <x:c r="BS93" s="998"/>
      <x:c r="BT93" s="998"/>
      <x:c r="BU93" s="998"/>
      <x:c r="BV93" s="1001"/>
      <x:c r="BW93" s="1001"/>
      <x:c r="BX93" s="1001"/>
      <x:c r="BY93" s="1001"/>
      <x:c r="BZ93" s="1001"/>
      <x:c r="CA93" s="1002"/>
      <x:c r="CB93" s="1002"/>
      <x:c r="CC93" s="1002"/>
      <x:c r="CD93" s="1002"/>
      <x:c r="CE93" s="1003"/>
      <x:c r="CG93" s="873"/>
      <x:c r="CH93" s="669"/>
      <x:c r="CI93" s="669"/>
      <x:c r="CJ93" s="669"/>
      <x:c r="CK93" s="669"/>
      <x:c r="CL93" s="669"/>
      <x:c r="CM93" s="669"/>
      <x:c r="CN93" s="669"/>
      <x:c r="CO93" s="758"/>
      <x:c r="CP93" s="925"/>
      <x:c r="CQ93" s="926"/>
      <x:c r="CR93" s="926"/>
      <x:c r="CS93" s="927"/>
      <x:c r="CT93" s="929"/>
      <x:c r="CU93" s="339"/>
      <x:c r="CV93" s="339"/>
      <x:c r="CW93" s="339"/>
      <x:c r="CX93" s="339"/>
      <x:c r="CY93" s="339"/>
      <x:c r="CZ93" s="339"/>
      <x:c r="DA93" s="339"/>
      <x:c r="DB93" s="339"/>
      <x:c r="DC93" s="340"/>
      <x:c r="DD93" s="921"/>
      <x:c r="DE93" s="917"/>
      <x:c r="DF93" s="917"/>
      <x:c r="DG93" s="918"/>
      <x:c r="DO93" s="29"/>
      <x:c r="DP93" s="29"/>
      <x:c r="DQ93" s="29"/>
      <x:c r="DR93" s="29"/>
      <x:c r="DS93" s="29"/>
      <x:c r="DT93" s="29"/>
      <x:c r="DU93" s="29"/>
      <x:c r="DV93" s="29"/>
      <x:c r="DW93" s="29"/>
      <x:c r="DX93" s="29"/>
      <x:c r="DY93" s="29"/>
      <x:c r="DZ93" s="29"/>
      <x:c r="EA93" s="29"/>
      <x:c r="EB93" s="29"/>
      <x:c r="EC93" s="29"/>
      <x:c r="ED93" s="29"/>
      <x:c r="EE93" s="29"/>
      <x:c r="EF93" s="29"/>
      <x:c r="EG93" s="29"/>
      <x:c r="EH93" s="29"/>
      <x:c r="EI93" s="29"/>
      <x:c r="EJ93" s="29"/>
      <x:c r="EK93" s="29"/>
      <x:c r="EL93" s="29"/>
      <x:c r="EM93" s="29"/>
    </x:row>
    <x:row r="94" ht="6" customHeight="1">
      <x:c r="A94" s="950" t="s">
        <x:v>294</x:v>
      </x:c>
      <x:c r="B94" s="951"/>
      <x:c r="C94" s="951"/>
      <x:c r="D94" s="951"/>
      <x:c r="E94" s="951"/>
      <x:c r="F94" s="952"/>
      <x:c r="G94" s="954"/>
      <x:c r="H94" s="955"/>
      <x:c r="I94" s="956"/>
      <x:c r="J94" s="960"/>
      <x:c r="K94" s="961"/>
      <x:c r="L94" s="837" t="str">
        <x:f>IF(SUM(L76:Q93)=0,"",SUM(L76:Q93))</x:f>
      </x:c>
      <x:c r="M94" s="837"/>
      <x:c r="N94" s="837"/>
      <x:c r="O94" s="837"/>
      <x:c r="P94" s="837"/>
      <x:c r="Q94" s="838"/>
      <x:c r="S94" s="860"/>
      <x:c r="T94" s="861"/>
      <x:c r="U94" s="873"/>
      <x:c r="V94" s="669"/>
      <x:c r="W94" s="669"/>
      <x:c r="X94" s="669"/>
      <x:c r="Y94" s="669"/>
      <x:c r="Z94" s="669"/>
      <x:c r="AA94" s="669"/>
      <x:c r="AB94" s="669"/>
      <x:c r="AC94" s="669"/>
      <x:c r="AD94" s="669"/>
      <x:c r="AE94" s="669"/>
      <x:c r="AF94" s="669"/>
      <x:c r="AG94" s="669"/>
      <x:c r="AH94" s="669"/>
      <x:c r="AI94" s="669"/>
      <x:c r="AJ94" s="669"/>
      <x:c r="AK94" s="669"/>
      <x:c r="AL94" s="669"/>
      <x:c r="AM94" s="669"/>
      <x:c r="AN94" s="669"/>
      <x:c r="AO94" s="669"/>
      <x:c r="AP94" s="669"/>
      <x:c r="AQ94" s="669"/>
      <x:c r="AR94" s="669"/>
      <x:c r="AS94" s="669"/>
      <x:c r="AT94" s="669"/>
      <x:c r="AU94" s="758"/>
      <x:c r="AV94" s="875"/>
      <x:c r="AW94" s="875"/>
      <x:c r="AX94" s="875"/>
      <x:c r="AY94" s="875"/>
      <x:c r="AZ94" s="875"/>
      <x:c r="BA94" s="875"/>
      <x:c r="BB94" s="876"/>
      <x:c r="BD94" s="999"/>
      <x:c r="BE94" s="1000"/>
      <x:c r="BF94" s="1000"/>
      <x:c r="BG94" s="1000"/>
      <x:c r="BH94" s="1000"/>
      <x:c r="BI94" s="1000"/>
      <x:c r="BJ94" s="1000"/>
      <x:c r="BK94" s="1000"/>
      <x:c r="BL94" s="1000"/>
      <x:c r="BM94" s="1000"/>
      <x:c r="BN94" s="1000"/>
      <x:c r="BO94" s="1000"/>
      <x:c r="BP94" s="1000"/>
      <x:c r="BQ94" s="1000"/>
      <x:c r="BR94" s="1000"/>
      <x:c r="BS94" s="1000"/>
      <x:c r="BT94" s="1000"/>
      <x:c r="BU94" s="1000"/>
      <x:c r="BV94" s="354"/>
      <x:c r="BW94" s="354"/>
      <x:c r="BX94" s="354"/>
      <x:c r="BY94" s="354"/>
      <x:c r="BZ94" s="354"/>
      <x:c r="CA94" s="1004"/>
      <x:c r="CB94" s="1004"/>
      <x:c r="CC94" s="1004"/>
      <x:c r="CD94" s="1004"/>
      <x:c r="CE94" s="1005"/>
      <x:c r="CG94" s="871" t="s">
        <x:v>295</x:v>
      </x:c>
      <x:c r="CH94" s="666"/>
      <x:c r="CI94" s="666"/>
      <x:c r="CJ94" s="666"/>
      <x:c r="CK94" s="666"/>
      <x:c r="CL94" s="666"/>
      <x:c r="CM94" s="666"/>
      <x:c r="CN94" s="666"/>
      <x:c r="CO94" s="872"/>
      <x:c r="CP94" s="920"/>
      <x:c r="CQ94" s="915"/>
      <x:c r="CR94" s="915" t="s">
        <x:v>296</x:v>
      </x:c>
      <x:c r="CS94" s="988"/>
      <x:c r="CT94" s="928" t="s">
        <x:v>297</x:v>
      </x:c>
      <x:c r="CU94" s="333"/>
      <x:c r="CV94" s="333"/>
      <x:c r="CW94" s="333"/>
      <x:c r="CX94" s="333"/>
      <x:c r="CY94" s="333"/>
      <x:c r="CZ94" s="333"/>
      <x:c r="DA94" s="333"/>
      <x:c r="DB94" s="333"/>
      <x:c r="DC94" s="334"/>
      <x:c r="DD94" s="920"/>
      <x:c r="DE94" s="915"/>
      <x:c r="DF94" s="915"/>
      <x:c r="DG94" s="916"/>
    </x:row>
    <x:row r="95" ht="6" customHeight="1">
      <x:c r="A95" s="395"/>
      <x:c r="B95" s="396"/>
      <x:c r="C95" s="396"/>
      <x:c r="D95" s="396"/>
      <x:c r="E95" s="396"/>
      <x:c r="F95" s="953"/>
      <x:c r="G95" s="957"/>
      <x:c r="H95" s="958"/>
      <x:c r="I95" s="959"/>
      <x:c r="J95" s="962"/>
      <x:c r="K95" s="963"/>
      <x:c r="L95" s="837"/>
      <x:c r="M95" s="837"/>
      <x:c r="N95" s="837"/>
      <x:c r="O95" s="837"/>
      <x:c r="P95" s="837"/>
      <x:c r="Q95" s="838"/>
      <x:c r="S95" s="860"/>
      <x:c r="T95" s="861"/>
      <x:c r="U95" s="977" t="s">
        <x:v>298</x:v>
      </x:c>
      <x:c r="V95" s="978"/>
      <x:c r="W95" s="978"/>
      <x:c r="X95" s="978"/>
      <x:c r="Y95" s="978"/>
      <x:c r="Z95" s="978"/>
      <x:c r="AA95" s="978"/>
      <x:c r="AB95" s="978"/>
      <x:c r="AC95" s="978"/>
      <x:c r="AD95" s="978"/>
      <x:c r="AE95" s="978"/>
      <x:c r="AF95" s="978"/>
      <x:c r="AG95" s="978"/>
      <x:c r="AH95" s="978"/>
      <x:c r="AI95" s="978"/>
      <x:c r="AJ95" s="978"/>
      <x:c r="AK95" s="978"/>
      <x:c r="AL95" s="978"/>
      <x:c r="AM95" s="978"/>
      <x:c r="AN95" s="978"/>
      <x:c r="AO95" s="978"/>
      <x:c r="AP95" s="978"/>
      <x:c r="AQ95" s="978"/>
      <x:c r="AR95" s="978"/>
      <x:c r="AS95" s="978"/>
      <x:c r="AT95" s="978"/>
      <x:c r="AU95" s="979"/>
      <x:c r="AV95" s="875" t="n">
        <x:f>SUM(AV77:BB94)</x:f>
        <x:v>0</x:v>
      </x:c>
      <x:c r="AW95" s="875"/>
      <x:c r="AX95" s="875"/>
      <x:c r="AY95" s="875"/>
      <x:c r="AZ95" s="875"/>
      <x:c r="BA95" s="875"/>
      <x:c r="BB95" s="876"/>
      <x:c r="BD95" s="968" t="s">
        <x:v>299</x:v>
      </x:c>
      <x:c r="BE95" s="969"/>
      <x:c r="BF95" s="969"/>
      <x:c r="BG95" s="969"/>
      <x:c r="BH95" s="969"/>
      <x:c r="BI95" s="969"/>
      <x:c r="BJ95" s="969"/>
      <x:c r="BK95" s="969"/>
      <x:c r="BL95" s="969"/>
      <x:c r="BM95" s="969"/>
      <x:c r="BN95" s="969"/>
      <x:c r="BO95" s="969"/>
      <x:c r="BP95" s="969"/>
      <x:c r="BQ95" s="969"/>
      <x:c r="BR95" s="969"/>
      <x:c r="BS95" s="969"/>
      <x:c r="BT95" s="969"/>
      <x:c r="BU95" s="969"/>
      <x:c r="BV95" s="969"/>
      <x:c r="BW95" s="969"/>
      <x:c r="BX95" s="969"/>
      <x:c r="BY95" s="969"/>
      <x:c r="BZ95" s="969"/>
      <x:c r="CA95" s="969"/>
      <x:c r="CB95" s="969"/>
      <x:c r="CC95" s="969"/>
      <x:c r="CD95" s="969"/>
      <x:c r="CE95" s="970"/>
      <x:c r="CG95" s="873"/>
      <x:c r="CH95" s="669"/>
      <x:c r="CI95" s="669"/>
      <x:c r="CJ95" s="669"/>
      <x:c r="CK95" s="669"/>
      <x:c r="CL95" s="669"/>
      <x:c r="CM95" s="669"/>
      <x:c r="CN95" s="669"/>
      <x:c r="CO95" s="758"/>
      <x:c r="CP95" s="921"/>
      <x:c r="CQ95" s="917"/>
      <x:c r="CR95" s="917"/>
      <x:c r="CS95" s="989"/>
      <x:c r="CT95" s="929"/>
      <x:c r="CU95" s="339"/>
      <x:c r="CV95" s="339"/>
      <x:c r="CW95" s="339"/>
      <x:c r="CX95" s="339"/>
      <x:c r="CY95" s="339"/>
      <x:c r="CZ95" s="339"/>
      <x:c r="DA95" s="339"/>
      <x:c r="DB95" s="339"/>
      <x:c r="DC95" s="340"/>
      <x:c r="DD95" s="921"/>
      <x:c r="DE95" s="917"/>
      <x:c r="DF95" s="917"/>
      <x:c r="DG95" s="918"/>
    </x:row>
    <x:row r="96" ht="6" customHeight="1">
      <x:c r="A96" s="17"/>
      <x:c r="B96" s="17"/>
      <x:c r="C96" s="17"/>
      <x:c r="D96" s="17"/>
      <x:c r="E96" s="17"/>
      <x:c r="F96" s="17"/>
      <x:c r="G96" s="17"/>
      <x:c r="H96" s="17"/>
      <x:c r="I96" s="17"/>
      <x:c r="J96" s="17"/>
      <x:c r="K96" s="17"/>
      <x:c r="L96" s="17"/>
      <x:c r="M96" s="17"/>
      <x:c r="N96" s="17"/>
      <x:c r="O96" s="17"/>
      <x:c r="P96" s="17"/>
      <x:c r="Q96" s="17"/>
      <x:c r="S96" s="862"/>
      <x:c r="T96" s="863"/>
      <x:c r="U96" s="882"/>
      <x:c r="V96" s="883"/>
      <x:c r="W96" s="883"/>
      <x:c r="X96" s="883"/>
      <x:c r="Y96" s="883"/>
      <x:c r="Z96" s="883"/>
      <x:c r="AA96" s="883"/>
      <x:c r="AB96" s="883"/>
      <x:c r="AC96" s="883"/>
      <x:c r="AD96" s="883"/>
      <x:c r="AE96" s="883"/>
      <x:c r="AF96" s="883"/>
      <x:c r="AG96" s="883"/>
      <x:c r="AH96" s="883"/>
      <x:c r="AI96" s="883"/>
      <x:c r="AJ96" s="883"/>
      <x:c r="AK96" s="883"/>
      <x:c r="AL96" s="883"/>
      <x:c r="AM96" s="883"/>
      <x:c r="AN96" s="883"/>
      <x:c r="AO96" s="883"/>
      <x:c r="AP96" s="883"/>
      <x:c r="AQ96" s="883"/>
      <x:c r="AR96" s="883"/>
      <x:c r="AS96" s="883"/>
      <x:c r="AT96" s="883"/>
      <x:c r="AU96" s="884"/>
      <x:c r="AV96" s="980"/>
      <x:c r="AW96" s="980"/>
      <x:c r="AX96" s="980"/>
      <x:c r="AY96" s="980"/>
      <x:c r="AZ96" s="980"/>
      <x:c r="BA96" s="980"/>
      <x:c r="BB96" s="981"/>
      <x:c r="BD96" s="971"/>
      <x:c r="BE96" s="972"/>
      <x:c r="BF96" s="972"/>
      <x:c r="BG96" s="972"/>
      <x:c r="BH96" s="972"/>
      <x:c r="BI96" s="972"/>
      <x:c r="BJ96" s="972"/>
      <x:c r="BK96" s="972"/>
      <x:c r="BL96" s="972"/>
      <x:c r="BM96" s="972"/>
      <x:c r="BN96" s="972"/>
      <x:c r="BO96" s="972"/>
      <x:c r="BP96" s="972"/>
      <x:c r="BQ96" s="972"/>
      <x:c r="BR96" s="972"/>
      <x:c r="BS96" s="972"/>
      <x:c r="BT96" s="972"/>
      <x:c r="BU96" s="972"/>
      <x:c r="BV96" s="972"/>
      <x:c r="BW96" s="972"/>
      <x:c r="BX96" s="972"/>
      <x:c r="BY96" s="972"/>
      <x:c r="BZ96" s="972"/>
      <x:c r="CA96" s="972"/>
      <x:c r="CB96" s="972"/>
      <x:c r="CC96" s="972"/>
      <x:c r="CD96" s="972"/>
      <x:c r="CE96" s="973"/>
      <x:c r="CG96" s="871" t="s">
        <x:v>154</x:v>
      </x:c>
      <x:c r="CH96" s="666"/>
      <x:c r="CI96" s="666"/>
      <x:c r="CJ96" s="666"/>
      <x:c r="CK96" s="666"/>
      <x:c r="CL96" s="666"/>
      <x:c r="CM96" s="666"/>
      <x:c r="CN96" s="666"/>
      <x:c r="CO96" s="872"/>
      <x:c r="CP96" s="920"/>
      <x:c r="CQ96" s="915"/>
      <x:c r="CR96" s="915" t="s">
        <x:v>300</x:v>
      </x:c>
      <x:c r="CS96" s="988"/>
      <x:c r="CT96" s="928" t="s">
        <x:v>301</x:v>
      </x:c>
      <x:c r="CU96" s="333"/>
      <x:c r="CV96" s="333"/>
      <x:c r="CW96" s="333"/>
      <x:c r="CX96" s="333"/>
      <x:c r="CY96" s="333"/>
      <x:c r="CZ96" s="333"/>
      <x:c r="DA96" s="333"/>
      <x:c r="DB96" s="333"/>
      <x:c r="DC96" s="334"/>
      <x:c r="DD96" s="920"/>
      <x:c r="DE96" s="915"/>
      <x:c r="DF96" s="915"/>
      <x:c r="DG96" s="916"/>
    </x:row>
    <x:row r="97" ht="6" customHeight="1">
      <x:c r="A97" s="784" t="s">
        <x:v>302</x:v>
      </x:c>
      <x:c r="B97" s="785"/>
      <x:c r="C97" s="1006" t="s">
        <x:v>303</x:v>
      </x:c>
      <x:c r="D97" s="1007"/>
      <x:c r="E97" s="1007"/>
      <x:c r="F97" s="1007"/>
      <x:c r="G97" s="1007"/>
      <x:c r="H97" s="1007"/>
      <x:c r="I97" s="1007"/>
      <x:c r="J97" s="1007" t="s">
        <x:v>304</x:v>
      </x:c>
      <x:c r="K97" s="1007"/>
      <x:c r="L97" s="1007"/>
      <x:c r="M97" s="1007"/>
      <x:c r="N97" s="1007"/>
      <x:c r="O97" s="1007"/>
      <x:c r="P97" s="1007"/>
      <x:c r="Q97" s="1010"/>
      <x:c r="S97" s="16"/>
      <x:c r="T97" s="16"/>
      <x:c r="U97" s="15"/>
      <x:c r="V97" s="15"/>
      <x:c r="W97" s="15"/>
      <x:c r="X97" s="15"/>
      <x:c r="Y97" s="15"/>
      <x:c r="Z97" s="15"/>
      <x:c r="AA97" s="15"/>
      <x:c r="AB97" s="15"/>
      <x:c r="AC97" s="15"/>
      <x:c r="AD97" s="15"/>
      <x:c r="AE97" s="15"/>
      <x:c r="AF97" s="15"/>
      <x:c r="AG97" s="15"/>
      <x:c r="AH97" s="15"/>
      <x:c r="AI97" s="15"/>
      <x:c r="AJ97" s="15"/>
      <x:c r="AK97" s="15"/>
      <x:c r="AL97" s="15"/>
      <x:c r="AM97" s="15"/>
      <x:c r="AN97" s="15"/>
      <x:c r="AO97" s="15"/>
      <x:c r="AP97" s="15"/>
      <x:c r="AQ97" s="15"/>
      <x:c r="AR97" s="15"/>
      <x:c r="AS97" s="15"/>
      <x:c r="AT97" s="15"/>
      <x:c r="AU97" s="15"/>
      <x:c r="AV97" s="14"/>
      <x:c r="AW97" s="14"/>
      <x:c r="AX97" s="14"/>
      <x:c r="AY97" s="14"/>
      <x:c r="AZ97" s="14"/>
      <x:c r="BA97" s="14"/>
      <x:c r="BB97" s="14"/>
      <x:c r="BD97" s="971"/>
      <x:c r="BE97" s="972"/>
      <x:c r="BF97" s="972"/>
      <x:c r="BG97" s="972"/>
      <x:c r="BH97" s="972"/>
      <x:c r="BI97" s="972"/>
      <x:c r="BJ97" s="972"/>
      <x:c r="BK97" s="972"/>
      <x:c r="BL97" s="972"/>
      <x:c r="BM97" s="972"/>
      <x:c r="BN97" s="972"/>
      <x:c r="BO97" s="972"/>
      <x:c r="BP97" s="972"/>
      <x:c r="BQ97" s="972"/>
      <x:c r="BR97" s="972"/>
      <x:c r="BS97" s="972"/>
      <x:c r="BT97" s="972"/>
      <x:c r="BU97" s="972"/>
      <x:c r="BV97" s="972"/>
      <x:c r="BW97" s="972"/>
      <x:c r="BX97" s="972"/>
      <x:c r="BY97" s="972"/>
      <x:c r="BZ97" s="972"/>
      <x:c r="CA97" s="972"/>
      <x:c r="CB97" s="972"/>
      <x:c r="CC97" s="972"/>
      <x:c r="CD97" s="972"/>
      <x:c r="CE97" s="973"/>
      <x:c r="CG97" s="873"/>
      <x:c r="CH97" s="669"/>
      <x:c r="CI97" s="669"/>
      <x:c r="CJ97" s="669"/>
      <x:c r="CK97" s="669"/>
      <x:c r="CL97" s="669"/>
      <x:c r="CM97" s="669"/>
      <x:c r="CN97" s="669"/>
      <x:c r="CO97" s="758"/>
      <x:c r="CP97" s="921"/>
      <x:c r="CQ97" s="917"/>
      <x:c r="CR97" s="917"/>
      <x:c r="CS97" s="989"/>
      <x:c r="CT97" s="929"/>
      <x:c r="CU97" s="339"/>
      <x:c r="CV97" s="339"/>
      <x:c r="CW97" s="339"/>
      <x:c r="CX97" s="339"/>
      <x:c r="CY97" s="339"/>
      <x:c r="CZ97" s="339"/>
      <x:c r="DA97" s="339"/>
      <x:c r="DB97" s="339"/>
      <x:c r="DC97" s="340"/>
      <x:c r="DD97" s="921"/>
      <x:c r="DE97" s="917"/>
      <x:c r="DF97" s="917"/>
      <x:c r="DG97" s="918"/>
    </x:row>
    <x:row r="98" ht="6" customHeight="1">
      <x:c r="A98" s="786"/>
      <x:c r="B98" s="787"/>
      <x:c r="C98" s="1008"/>
      <x:c r="D98" s="1009"/>
      <x:c r="E98" s="1009"/>
      <x:c r="F98" s="1009"/>
      <x:c r="G98" s="1009"/>
      <x:c r="H98" s="1009"/>
      <x:c r="I98" s="1009"/>
      <x:c r="J98" s="1009"/>
      <x:c r="K98" s="1009"/>
      <x:c r="L98" s="1009"/>
      <x:c r="M98" s="1009"/>
      <x:c r="N98" s="1009"/>
      <x:c r="O98" s="1009"/>
      <x:c r="P98" s="1009"/>
      <x:c r="Q98" s="1011"/>
      <x:c r="S98" s="784" t="s">
        <x:v>305</x:v>
      </x:c>
      <x:c r="T98" s="785"/>
      <x:c r="U98" s="1013" t="s">
        <x:v>306</x:v>
      </x:c>
      <x:c r="V98" s="1014"/>
      <x:c r="W98" s="1014"/>
      <x:c r="X98" s="1014"/>
      <x:c r="Y98" s="1014"/>
      <x:c r="Z98" s="1014"/>
      <x:c r="AA98" s="1014"/>
      <x:c r="AB98" s="1014"/>
      <x:c r="AC98" s="1014"/>
      <x:c r="AD98" s="1014"/>
      <x:c r="AE98" s="1014"/>
      <x:c r="AF98" s="1014"/>
      <x:c r="AG98" s="1014"/>
      <x:c r="AH98" s="1014"/>
      <x:c r="AI98" s="1014"/>
      <x:c r="AJ98" s="1014"/>
      <x:c r="AK98" s="1014"/>
      <x:c r="AL98" s="1014"/>
      <x:c r="AM98" s="1014"/>
      <x:c r="AN98" s="1014"/>
      <x:c r="AO98" s="1014"/>
      <x:c r="AP98" s="1014"/>
      <x:c r="AQ98" s="1014"/>
      <x:c r="AR98" s="1014"/>
      <x:c r="AS98" s="1014"/>
      <x:c r="AT98" s="1014"/>
      <x:c r="AU98" s="1015"/>
      <x:c r="AV98" s="1016"/>
      <x:c r="AW98" s="1017"/>
      <x:c r="AX98" s="1017"/>
      <x:c r="AY98" s="1017"/>
      <x:c r="AZ98" s="1017"/>
      <x:c r="BA98" s="1017"/>
      <x:c r="BB98" s="1018"/>
      <x:c r="BD98" s="974"/>
      <x:c r="BE98" s="975"/>
      <x:c r="BF98" s="975"/>
      <x:c r="BG98" s="975"/>
      <x:c r="BH98" s="975"/>
      <x:c r="BI98" s="975"/>
      <x:c r="BJ98" s="975"/>
      <x:c r="BK98" s="975"/>
      <x:c r="BL98" s="975"/>
      <x:c r="BM98" s="975"/>
      <x:c r="BN98" s="975"/>
      <x:c r="BO98" s="975"/>
      <x:c r="BP98" s="975"/>
      <x:c r="BQ98" s="975"/>
      <x:c r="BR98" s="975"/>
      <x:c r="BS98" s="975"/>
      <x:c r="BT98" s="975"/>
      <x:c r="BU98" s="975"/>
      <x:c r="BV98" s="975"/>
      <x:c r="BW98" s="975"/>
      <x:c r="BX98" s="975"/>
      <x:c r="BY98" s="975"/>
      <x:c r="BZ98" s="975"/>
      <x:c r="CA98" s="975"/>
      <x:c r="CB98" s="975"/>
      <x:c r="CC98" s="975"/>
      <x:c r="CD98" s="975"/>
      <x:c r="CE98" s="976"/>
      <x:c r="CG98" s="871" t="s">
        <x:v>307</x:v>
      </x:c>
      <x:c r="CH98" s="666"/>
      <x:c r="CI98" s="666"/>
      <x:c r="CJ98" s="666"/>
      <x:c r="CK98" s="666"/>
      <x:c r="CL98" s="666"/>
      <x:c r="CM98" s="666"/>
      <x:c r="CN98" s="666"/>
      <x:c r="CO98" s="872"/>
      <x:c r="CP98" s="920"/>
      <x:c r="CQ98" s="915"/>
      <x:c r="CR98" s="915" t="s">
        <x:v>308</x:v>
      </x:c>
      <x:c r="CS98" s="988"/>
      <x:c r="CT98" s="928" t="s">
        <x:v>309</x:v>
      </x:c>
      <x:c r="CU98" s="333"/>
      <x:c r="CV98" s="333"/>
      <x:c r="CW98" s="333"/>
      <x:c r="CX98" s="333"/>
      <x:c r="CY98" s="333"/>
      <x:c r="CZ98" s="333"/>
      <x:c r="DA98" s="333"/>
      <x:c r="DB98" s="333"/>
      <x:c r="DC98" s="334"/>
      <x:c r="DD98" s="920"/>
      <x:c r="DE98" s="915"/>
      <x:c r="DF98" s="915"/>
      <x:c r="DG98" s="916"/>
    </x:row>
    <x:row r="99" ht="6" customHeight="1">
      <x:c r="A99" s="786"/>
      <x:c r="B99" s="787"/>
      <x:c r="C99" s="810"/>
      <x:c r="D99" s="811"/>
      <x:c r="E99" s="811"/>
      <x:c r="F99" s="811"/>
      <x:c r="G99" s="811"/>
      <x:c r="H99" s="811"/>
      <x:c r="I99" s="811"/>
      <x:c r="J99" s="811"/>
      <x:c r="K99" s="811"/>
      <x:c r="L99" s="811"/>
      <x:c r="M99" s="811"/>
      <x:c r="N99" s="811"/>
      <x:c r="O99" s="811"/>
      <x:c r="P99" s="811"/>
      <x:c r="Q99" s="1012"/>
      <x:c r="S99" s="786"/>
      <x:c r="T99" s="787"/>
      <x:c r="U99" s="338"/>
      <x:c r="V99" s="339"/>
      <x:c r="W99" s="339"/>
      <x:c r="X99" s="339"/>
      <x:c r="Y99" s="339"/>
      <x:c r="Z99" s="339"/>
      <x:c r="AA99" s="339"/>
      <x:c r="AB99" s="339"/>
      <x:c r="AC99" s="339"/>
      <x:c r="AD99" s="339"/>
      <x:c r="AE99" s="339"/>
      <x:c r="AF99" s="339"/>
      <x:c r="AG99" s="339"/>
      <x:c r="AH99" s="339"/>
      <x:c r="AI99" s="339"/>
      <x:c r="AJ99" s="339"/>
      <x:c r="AK99" s="339"/>
      <x:c r="AL99" s="339"/>
      <x:c r="AM99" s="339"/>
      <x:c r="AN99" s="339"/>
      <x:c r="AO99" s="339"/>
      <x:c r="AP99" s="339"/>
      <x:c r="AQ99" s="339"/>
      <x:c r="AR99" s="339"/>
      <x:c r="AS99" s="339"/>
      <x:c r="AT99" s="339"/>
      <x:c r="AU99" s="340"/>
      <x:c r="AV99" s="1019"/>
      <x:c r="AW99" s="1020"/>
      <x:c r="AX99" s="1020"/>
      <x:c r="AY99" s="1020"/>
      <x:c r="AZ99" s="1020"/>
      <x:c r="BA99" s="1020"/>
      <x:c r="BB99" s="1021"/>
      <x:c r="CG99" s="873"/>
      <x:c r="CH99" s="669"/>
      <x:c r="CI99" s="669"/>
      <x:c r="CJ99" s="669"/>
      <x:c r="CK99" s="669"/>
      <x:c r="CL99" s="669"/>
      <x:c r="CM99" s="669"/>
      <x:c r="CN99" s="669"/>
      <x:c r="CO99" s="758"/>
      <x:c r="CP99" s="921"/>
      <x:c r="CQ99" s="917"/>
      <x:c r="CR99" s="917"/>
      <x:c r="CS99" s="989"/>
      <x:c r="CT99" s="929"/>
      <x:c r="CU99" s="339"/>
      <x:c r="CV99" s="339"/>
      <x:c r="CW99" s="339"/>
      <x:c r="CX99" s="339"/>
      <x:c r="CY99" s="339"/>
      <x:c r="CZ99" s="339"/>
      <x:c r="DA99" s="339"/>
      <x:c r="DB99" s="339"/>
      <x:c r="DC99" s="340"/>
      <x:c r="DD99" s="921"/>
      <x:c r="DE99" s="917"/>
      <x:c r="DF99" s="917"/>
      <x:c r="DG99" s="918"/>
    </x:row>
    <x:row r="100" ht="6" customHeight="1">
      <x:c r="A100" s="786"/>
      <x:c r="B100" s="787"/>
      <x:c r="C100" s="992"/>
      <x:c r="D100" s="813"/>
      <x:c r="E100" s="813"/>
      <x:c r="F100" s="813"/>
      <x:c r="G100" s="813"/>
      <x:c r="H100" s="813"/>
      <x:c r="I100" s="813"/>
      <x:c r="J100" s="813"/>
      <x:c r="K100" s="813"/>
      <x:c r="L100" s="813"/>
      <x:c r="M100" s="813"/>
      <x:c r="N100" s="813"/>
      <x:c r="O100" s="813"/>
      <x:c r="P100" s="813"/>
      <x:c r="Q100" s="995"/>
      <x:c r="S100" s="786"/>
      <x:c r="T100" s="787"/>
      <x:c r="U100" s="871" t="s">
        <x:v>310</x:v>
      </x:c>
      <x:c r="V100" s="666"/>
      <x:c r="W100" s="666"/>
      <x:c r="X100" s="666"/>
      <x:c r="Y100" s="666"/>
      <x:c r="Z100" s="666"/>
      <x:c r="AA100" s="666"/>
      <x:c r="AB100" s="666"/>
      <x:c r="AC100" s="666"/>
      <x:c r="AD100" s="666"/>
      <x:c r="AE100" s="666"/>
      <x:c r="AF100" s="666"/>
      <x:c r="AG100" s="666"/>
      <x:c r="AH100" s="666"/>
      <x:c r="AI100" s="666"/>
      <x:c r="AJ100" s="666"/>
      <x:c r="AK100" s="666"/>
      <x:c r="AL100" s="666"/>
      <x:c r="AM100" s="666"/>
      <x:c r="AN100" s="666"/>
      <x:c r="AO100" s="666"/>
      <x:c r="AP100" s="666"/>
      <x:c r="AQ100" s="666"/>
      <x:c r="AR100" s="666"/>
      <x:c r="AS100" s="666"/>
      <x:c r="AT100" s="666"/>
      <x:c r="AU100" s="872"/>
      <x:c r="AV100" s="982"/>
      <x:c r="AW100" s="983"/>
      <x:c r="AX100" s="983"/>
      <x:c r="AY100" s="983"/>
      <x:c r="AZ100" s="983"/>
      <x:c r="BA100" s="983"/>
      <x:c r="BB100" s="984"/>
      <x:c r="BD100" s="1006" t="s">
        <x:v>311</x:v>
      </x:c>
      <x:c r="BE100" s="1007"/>
      <x:c r="BF100" s="1007"/>
      <x:c r="BG100" s="1007"/>
      <x:c r="BH100" s="1007"/>
      <x:c r="BI100" s="1007"/>
      <x:c r="BJ100" s="1007"/>
      <x:c r="BK100" s="1007"/>
      <x:c r="BL100" s="1007"/>
      <x:c r="BM100" s="1007"/>
      <x:c r="BN100" s="1007"/>
      <x:c r="BO100" s="1007"/>
      <x:c r="BP100" s="1007"/>
      <x:c r="BQ100" s="1007"/>
      <x:c r="BR100" s="1007"/>
      <x:c r="BS100" s="1007"/>
      <x:c r="BT100" s="1007"/>
      <x:c r="BU100" s="1007"/>
      <x:c r="BV100" s="1007"/>
      <x:c r="BW100" s="1007"/>
      <x:c r="BX100" s="1007"/>
      <x:c r="BY100" s="1007"/>
      <x:c r="BZ100" s="1007"/>
      <x:c r="CA100" s="1007"/>
      <x:c r="CB100" s="1007"/>
      <x:c r="CC100" s="1007"/>
      <x:c r="CD100" s="1007"/>
      <x:c r="CE100" s="1010"/>
      <x:c r="CG100" s="871" t="s">
        <x:v>156</x:v>
      </x:c>
      <x:c r="CH100" s="666"/>
      <x:c r="CI100" s="666"/>
      <x:c r="CJ100" s="666"/>
      <x:c r="CK100" s="666"/>
      <x:c r="CL100" s="666"/>
      <x:c r="CM100" s="666"/>
      <x:c r="CN100" s="666"/>
      <x:c r="CO100" s="872"/>
      <x:c r="CP100" s="920"/>
      <x:c r="CQ100" s="915"/>
      <x:c r="CR100" s="915" t="s">
        <x:v>234</x:v>
      </x:c>
      <x:c r="CS100" s="988"/>
      <x:c r="CT100" s="928" t="s">
        <x:v>312</x:v>
      </x:c>
      <x:c r="CU100" s="333"/>
      <x:c r="CV100" s="333"/>
      <x:c r="CW100" s="333"/>
      <x:c r="CX100" s="333"/>
      <x:c r="CY100" s="333"/>
      <x:c r="CZ100" s="333"/>
      <x:c r="DA100" s="333"/>
      <x:c r="DB100" s="333"/>
      <x:c r="DC100" s="334"/>
      <x:c r="DD100" s="920"/>
      <x:c r="DE100" s="915"/>
      <x:c r="DF100" s="915"/>
      <x:c r="DG100" s="916"/>
    </x:row>
    <x:row r="101" ht="6" customHeight="1">
      <x:c r="A101" s="786"/>
      <x:c r="B101" s="787"/>
      <x:c r="C101" s="992"/>
      <x:c r="D101" s="813"/>
      <x:c r="E101" s="813"/>
      <x:c r="F101" s="813"/>
      <x:c r="G101" s="813"/>
      <x:c r="H101" s="813"/>
      <x:c r="I101" s="813"/>
      <x:c r="J101" s="813"/>
      <x:c r="K101" s="813"/>
      <x:c r="L101" s="813"/>
      <x:c r="M101" s="813"/>
      <x:c r="N101" s="813"/>
      <x:c r="O101" s="813"/>
      <x:c r="P101" s="813"/>
      <x:c r="Q101" s="995"/>
      <x:c r="S101" s="786"/>
      <x:c r="T101" s="787"/>
      <x:c r="U101" s="873"/>
      <x:c r="V101" s="669"/>
      <x:c r="W101" s="669"/>
      <x:c r="X101" s="669"/>
      <x:c r="Y101" s="669"/>
      <x:c r="Z101" s="669"/>
      <x:c r="AA101" s="669"/>
      <x:c r="AB101" s="669"/>
      <x:c r="AC101" s="669"/>
      <x:c r="AD101" s="669"/>
      <x:c r="AE101" s="669"/>
      <x:c r="AF101" s="669"/>
      <x:c r="AG101" s="669"/>
      <x:c r="AH101" s="669"/>
      <x:c r="AI101" s="669"/>
      <x:c r="AJ101" s="669"/>
      <x:c r="AK101" s="669"/>
      <x:c r="AL101" s="669"/>
      <x:c r="AM101" s="669"/>
      <x:c r="AN101" s="669"/>
      <x:c r="AO101" s="669"/>
      <x:c r="AP101" s="669"/>
      <x:c r="AQ101" s="669"/>
      <x:c r="AR101" s="669"/>
      <x:c r="AS101" s="669"/>
      <x:c r="AT101" s="669"/>
      <x:c r="AU101" s="758"/>
      <x:c r="AV101" s="985"/>
      <x:c r="AW101" s="986"/>
      <x:c r="AX101" s="986"/>
      <x:c r="AY101" s="986"/>
      <x:c r="AZ101" s="986"/>
      <x:c r="BA101" s="986"/>
      <x:c r="BB101" s="987"/>
      <x:c r="BD101" s="1008"/>
      <x:c r="BE101" s="1009"/>
      <x:c r="BF101" s="1009"/>
      <x:c r="BG101" s="1009"/>
      <x:c r="BH101" s="1009"/>
      <x:c r="BI101" s="1009"/>
      <x:c r="BJ101" s="1009"/>
      <x:c r="BK101" s="1009"/>
      <x:c r="BL101" s="1009"/>
      <x:c r="BM101" s="1009"/>
      <x:c r="BN101" s="1009"/>
      <x:c r="BO101" s="1009"/>
      <x:c r="BP101" s="1009"/>
      <x:c r="BQ101" s="1009"/>
      <x:c r="BR101" s="1009"/>
      <x:c r="BS101" s="1009"/>
      <x:c r="BT101" s="1009"/>
      <x:c r="BU101" s="1009"/>
      <x:c r="BV101" s="1009"/>
      <x:c r="BW101" s="1009"/>
      <x:c r="BX101" s="1009"/>
      <x:c r="BY101" s="1009"/>
      <x:c r="BZ101" s="1009"/>
      <x:c r="CA101" s="1009"/>
      <x:c r="CB101" s="1009"/>
      <x:c r="CC101" s="1009"/>
      <x:c r="CD101" s="1009"/>
      <x:c r="CE101" s="1011"/>
      <x:c r="CG101" s="873"/>
      <x:c r="CH101" s="669"/>
      <x:c r="CI101" s="669"/>
      <x:c r="CJ101" s="669"/>
      <x:c r="CK101" s="669"/>
      <x:c r="CL101" s="669"/>
      <x:c r="CM101" s="669"/>
      <x:c r="CN101" s="669"/>
      <x:c r="CO101" s="758"/>
      <x:c r="CP101" s="921"/>
      <x:c r="CQ101" s="917"/>
      <x:c r="CR101" s="917"/>
      <x:c r="CS101" s="989"/>
      <x:c r="CT101" s="929"/>
      <x:c r="CU101" s="339"/>
      <x:c r="CV101" s="339"/>
      <x:c r="CW101" s="339"/>
      <x:c r="CX101" s="339"/>
      <x:c r="CY101" s="339"/>
      <x:c r="CZ101" s="339"/>
      <x:c r="DA101" s="339"/>
      <x:c r="DB101" s="339"/>
      <x:c r="DC101" s="340"/>
      <x:c r="DD101" s="921"/>
      <x:c r="DE101" s="917"/>
      <x:c r="DF101" s="917"/>
      <x:c r="DG101" s="918"/>
    </x:row>
    <x:row r="102" ht="6" customHeight="1">
      <x:c r="A102" s="786"/>
      <x:c r="B102" s="787"/>
      <x:c r="C102" s="993"/>
      <x:c r="D102" s="994"/>
      <x:c r="E102" s="994"/>
      <x:c r="F102" s="994"/>
      <x:c r="G102" s="994"/>
      <x:c r="H102" s="994"/>
      <x:c r="I102" s="994"/>
      <x:c r="J102" s="994"/>
      <x:c r="K102" s="994"/>
      <x:c r="L102" s="994"/>
      <x:c r="M102" s="994"/>
      <x:c r="N102" s="994"/>
      <x:c r="O102" s="994"/>
      <x:c r="P102" s="994"/>
      <x:c r="Q102" s="996"/>
      <x:c r="S102" s="786"/>
      <x:c r="T102" s="787"/>
      <x:c r="U102" s="450"/>
      <x:c r="V102" s="287"/>
      <x:c r="W102" s="287"/>
      <x:c r="X102" s="287"/>
      <x:c r="Y102" s="287"/>
      <x:c r="Z102" s="287"/>
      <x:c r="AA102" s="287"/>
      <x:c r="AB102" s="287"/>
      <x:c r="AC102" s="287"/>
      <x:c r="AD102" s="287"/>
      <x:c r="AE102" s="287"/>
      <x:c r="AF102" s="287"/>
      <x:c r="AG102" s="287"/>
      <x:c r="AH102" s="287"/>
      <x:c r="AI102" s="287"/>
      <x:c r="AJ102" s="287"/>
      <x:c r="AK102" s="287"/>
      <x:c r="AL102" s="287"/>
      <x:c r="AM102" s="287"/>
      <x:c r="AN102" s="287"/>
      <x:c r="AO102" s="287"/>
      <x:c r="AP102" s="287"/>
      <x:c r="AQ102" s="287"/>
      <x:c r="AR102" s="287"/>
      <x:c r="AS102" s="287"/>
      <x:c r="AT102" s="287"/>
      <x:c r="AU102" s="288"/>
      <x:c r="AV102" s="982"/>
      <x:c r="AW102" s="983"/>
      <x:c r="AX102" s="983"/>
      <x:c r="AY102" s="983"/>
      <x:c r="AZ102" s="983"/>
      <x:c r="BA102" s="983"/>
      <x:c r="BB102" s="984"/>
      <x:c r="BD102" s="1034"/>
      <x:c r="BE102" s="1035"/>
      <x:c r="BF102" s="1035"/>
      <x:c r="BG102" s="1035"/>
      <x:c r="BH102" s="1035"/>
      <x:c r="BI102" s="1035"/>
      <x:c r="BJ102" s="1035"/>
      <x:c r="BK102" s="1035"/>
      <x:c r="BL102" s="1035"/>
      <x:c r="BM102" s="1035"/>
      <x:c r="BN102" s="1035"/>
      <x:c r="BO102" s="1035"/>
      <x:c r="BP102" s="1035"/>
      <x:c r="BQ102" s="1035"/>
      <x:c r="BR102" s="1035"/>
      <x:c r="BS102" s="1035"/>
      <x:c r="BT102" s="1035"/>
      <x:c r="BU102" s="1035"/>
      <x:c r="BV102" s="1035"/>
      <x:c r="BW102" s="1035"/>
      <x:c r="BX102" s="1035"/>
      <x:c r="BY102" s="1035"/>
      <x:c r="BZ102" s="1035"/>
      <x:c r="CA102" s="1035"/>
      <x:c r="CB102" s="1035"/>
      <x:c r="CC102" s="1035"/>
      <x:c r="CD102" s="1035"/>
      <x:c r="CE102" s="1036"/>
      <x:c r="CG102" s="812" t="s">
        <x:v>157</x:v>
      </x:c>
      <x:c r="CH102" s="813"/>
      <x:c r="CI102" s="813"/>
      <x:c r="CJ102" s="813"/>
      <x:c r="CK102" s="813"/>
      <x:c r="CL102" s="813"/>
      <x:c r="CM102" s="813"/>
      <x:c r="CN102" s="813"/>
      <x:c r="CO102" s="813"/>
      <x:c r="CP102" s="920"/>
      <x:c r="CQ102" s="915"/>
      <x:c r="CR102" s="915" t="s">
        <x:v>296</x:v>
      </x:c>
      <x:c r="CS102" s="988"/>
      <x:c r="CT102" s="928" t="s">
        <x:v>313</x:v>
      </x:c>
      <x:c r="CU102" s="333"/>
      <x:c r="CV102" s="333"/>
      <x:c r="CW102" s="333"/>
      <x:c r="CX102" s="333"/>
      <x:c r="CY102" s="333"/>
      <x:c r="CZ102" s="333"/>
      <x:c r="DA102" s="333"/>
      <x:c r="DB102" s="333"/>
      <x:c r="DC102" s="334"/>
      <x:c r="DD102" s="920"/>
      <x:c r="DE102" s="915"/>
      <x:c r="DF102" s="915"/>
      <x:c r="DG102" s="916"/>
    </x:row>
    <x:row r="103" ht="6" customHeight="1">
      <x:c r="A103" s="786"/>
      <x:c r="B103" s="787"/>
      <x:c r="C103" s="1067"/>
      <x:c r="D103" s="1068"/>
      <x:c r="E103" s="1068"/>
      <x:c r="F103" s="1068"/>
      <x:c r="G103" s="1068"/>
      <x:c r="H103" s="1068"/>
      <x:c r="I103" s="1068"/>
      <x:c r="J103" s="1064"/>
      <x:c r="K103" s="994"/>
      <x:c r="L103" s="994"/>
      <x:c r="M103" s="994"/>
      <x:c r="N103" s="994"/>
      <x:c r="O103" s="994"/>
      <x:c r="P103" s="994"/>
      <x:c r="Q103" s="996"/>
      <x:c r="S103" s="786"/>
      <x:c r="T103" s="787"/>
      <x:c r="U103" s="289"/>
      <x:c r="V103" s="290"/>
      <x:c r="W103" s="290"/>
      <x:c r="X103" s="290"/>
      <x:c r="Y103" s="290"/>
      <x:c r="Z103" s="290"/>
      <x:c r="AA103" s="290"/>
      <x:c r="AB103" s="290"/>
      <x:c r="AC103" s="290"/>
      <x:c r="AD103" s="290"/>
      <x:c r="AE103" s="290"/>
      <x:c r="AF103" s="290"/>
      <x:c r="AG103" s="290"/>
      <x:c r="AH103" s="290"/>
      <x:c r="AI103" s="290"/>
      <x:c r="AJ103" s="290"/>
      <x:c r="AK103" s="290"/>
      <x:c r="AL103" s="290"/>
      <x:c r="AM103" s="290"/>
      <x:c r="AN103" s="290"/>
      <x:c r="AO103" s="290"/>
      <x:c r="AP103" s="290"/>
      <x:c r="AQ103" s="290"/>
      <x:c r="AR103" s="290"/>
      <x:c r="AS103" s="290"/>
      <x:c r="AT103" s="290"/>
      <x:c r="AU103" s="291"/>
      <x:c r="AV103" s="985"/>
      <x:c r="AW103" s="986"/>
      <x:c r="AX103" s="986"/>
      <x:c r="AY103" s="986"/>
      <x:c r="AZ103" s="986"/>
      <x:c r="BA103" s="986"/>
      <x:c r="BB103" s="987"/>
      <x:c r="BD103" s="422" t="s">
        <x:v>314</x:v>
      </x:c>
      <x:c r="BE103" s="423"/>
      <x:c r="BF103" s="423"/>
      <x:c r="BG103" s="423"/>
      <x:c r="BH103" s="423"/>
      <x:c r="BI103" s="423"/>
      <x:c r="BJ103" s="909"/>
      <x:c r="BK103" s="964" t="s">
        <x:v>315</x:v>
      </x:c>
      <x:c r="BL103" s="423"/>
      <x:c r="BM103" s="423"/>
      <x:c r="BN103" s="423"/>
      <x:c r="BO103" s="423"/>
      <x:c r="BP103" s="909"/>
      <x:c r="BQ103" s="964" t="s">
        <x:v>316</x:v>
      </x:c>
      <x:c r="BR103" s="423"/>
      <x:c r="BS103" s="423"/>
      <x:c r="BT103" s="423"/>
      <x:c r="BU103" s="423"/>
      <x:c r="BV103" s="423"/>
      <x:c r="BW103" s="423"/>
      <x:c r="BX103" s="423"/>
      <x:c r="BY103" s="423"/>
      <x:c r="BZ103" s="423"/>
      <x:c r="CA103" s="423"/>
      <x:c r="CB103" s="423"/>
      <x:c r="CC103" s="423"/>
      <x:c r="CD103" s="423"/>
      <x:c r="CE103" s="424"/>
      <x:c r="CG103" s="812"/>
      <x:c r="CH103" s="813"/>
      <x:c r="CI103" s="813"/>
      <x:c r="CJ103" s="813"/>
      <x:c r="CK103" s="813"/>
      <x:c r="CL103" s="813"/>
      <x:c r="CM103" s="813"/>
      <x:c r="CN103" s="813"/>
      <x:c r="CO103" s="813"/>
      <x:c r="CP103" s="921"/>
      <x:c r="CQ103" s="917"/>
      <x:c r="CR103" s="917"/>
      <x:c r="CS103" s="989"/>
      <x:c r="CT103" s="929"/>
      <x:c r="CU103" s="339"/>
      <x:c r="CV103" s="339"/>
      <x:c r="CW103" s="339"/>
      <x:c r="CX103" s="339"/>
      <x:c r="CY103" s="339"/>
      <x:c r="CZ103" s="339"/>
      <x:c r="DA103" s="339"/>
      <x:c r="DB103" s="339"/>
      <x:c r="DC103" s="340"/>
      <x:c r="DD103" s="921"/>
      <x:c r="DE103" s="917"/>
      <x:c r="DF103" s="917"/>
      <x:c r="DG103" s="918"/>
    </x:row>
    <x:row r="104" ht="6" customHeight="1">
      <x:c r="A104" s="788"/>
      <x:c r="B104" s="789"/>
      <x:c r="C104" s="1069"/>
      <x:c r="D104" s="1070"/>
      <x:c r="E104" s="1070"/>
      <x:c r="F104" s="1070"/>
      <x:c r="G104" s="1070"/>
      <x:c r="H104" s="1070"/>
      <x:c r="I104" s="1070"/>
      <x:c r="J104" s="1065"/>
      <x:c r="K104" s="1065"/>
      <x:c r="L104" s="1065"/>
      <x:c r="M104" s="1065"/>
      <x:c r="N104" s="1065"/>
      <x:c r="O104" s="1065"/>
      <x:c r="P104" s="1065"/>
      <x:c r="Q104" s="1066"/>
      <x:c r="S104" s="786"/>
      <x:c r="T104" s="787"/>
      <x:c r="U104" s="450"/>
      <x:c r="V104" s="287"/>
      <x:c r="W104" s="287"/>
      <x:c r="X104" s="287"/>
      <x:c r="Y104" s="287"/>
      <x:c r="Z104" s="287"/>
      <x:c r="AA104" s="287"/>
      <x:c r="AB104" s="287"/>
      <x:c r="AC104" s="287"/>
      <x:c r="AD104" s="287"/>
      <x:c r="AE104" s="287"/>
      <x:c r="AF104" s="287"/>
      <x:c r="AG104" s="287"/>
      <x:c r="AH104" s="287"/>
      <x:c r="AI104" s="287"/>
      <x:c r="AJ104" s="287"/>
      <x:c r="AK104" s="287"/>
      <x:c r="AL104" s="287"/>
      <x:c r="AM104" s="287"/>
      <x:c r="AN104" s="287"/>
      <x:c r="AO104" s="287"/>
      <x:c r="AP104" s="287"/>
      <x:c r="AQ104" s="287"/>
      <x:c r="AR104" s="287"/>
      <x:c r="AS104" s="287"/>
      <x:c r="AT104" s="287"/>
      <x:c r="AU104" s="288"/>
      <x:c r="AV104" s="982"/>
      <x:c r="AW104" s="983"/>
      <x:c r="AX104" s="983"/>
      <x:c r="AY104" s="983"/>
      <x:c r="AZ104" s="983"/>
      <x:c r="BA104" s="983"/>
      <x:c r="BB104" s="984"/>
      <x:c r="BD104" s="425"/>
      <x:c r="BE104" s="426"/>
      <x:c r="BF104" s="426"/>
      <x:c r="BG104" s="426"/>
      <x:c r="BH104" s="426"/>
      <x:c r="BI104" s="426"/>
      <x:c r="BJ104" s="949"/>
      <x:c r="BK104" s="965"/>
      <x:c r="BL104" s="426"/>
      <x:c r="BM104" s="426"/>
      <x:c r="BN104" s="426"/>
      <x:c r="BO104" s="426"/>
      <x:c r="BP104" s="949"/>
      <x:c r="BQ104" s="965"/>
      <x:c r="BR104" s="426"/>
      <x:c r="BS104" s="426"/>
      <x:c r="BT104" s="426"/>
      <x:c r="BU104" s="426"/>
      <x:c r="BV104" s="426"/>
      <x:c r="BW104" s="426"/>
      <x:c r="BX104" s="426"/>
      <x:c r="BY104" s="426"/>
      <x:c r="BZ104" s="426"/>
      <x:c r="CA104" s="426"/>
      <x:c r="CB104" s="426"/>
      <x:c r="CC104" s="426"/>
      <x:c r="CD104" s="426"/>
      <x:c r="CE104" s="427"/>
      <x:c r="CG104" s="871" t="s">
        <x:v>317</x:v>
      </x:c>
      <x:c r="CH104" s="666"/>
      <x:c r="CI104" s="666"/>
      <x:c r="CJ104" s="666"/>
      <x:c r="CK104" s="666"/>
      <x:c r="CL104" s="666"/>
      <x:c r="CM104" s="666"/>
      <x:c r="CN104" s="666"/>
      <x:c r="CO104" s="872"/>
      <x:c r="CP104" s="920"/>
      <x:c r="CQ104" s="915"/>
      <x:c r="CR104" s="915" t="s">
        <x:v>308</x:v>
      </x:c>
      <x:c r="CS104" s="988"/>
      <x:c r="CT104" s="928" t="s">
        <x:v>318</x:v>
      </x:c>
      <x:c r="CU104" s="333"/>
      <x:c r="CV104" s="333"/>
      <x:c r="CW104" s="333"/>
      <x:c r="CX104" s="333"/>
      <x:c r="CY104" s="333"/>
      <x:c r="CZ104" s="333"/>
      <x:c r="DA104" s="333"/>
      <x:c r="DB104" s="333"/>
      <x:c r="DC104" s="334"/>
      <x:c r="DD104" s="920"/>
      <x:c r="DE104" s="915"/>
      <x:c r="DF104" s="915"/>
      <x:c r="DG104" s="916"/>
    </x:row>
    <x:row r="105" ht="6" customHeight="1">
      <x:c r="A105" s="104"/>
      <x:c r="B105" s="104"/>
      <x:c r="C105" s="73"/>
      <x:c r="D105" s="73"/>
      <x:c r="E105" s="73"/>
      <x:c r="F105" s="73"/>
      <x:c r="G105" s="73"/>
      <x:c r="H105" s="73"/>
      <x:c r="I105" s="73"/>
      <x:c r="J105" s="73"/>
      <x:c r="K105" s="73"/>
      <x:c r="L105" s="73"/>
      <x:c r="M105" s="73"/>
      <x:c r="N105" s="73"/>
      <x:c r="O105" s="73"/>
      <x:c r="P105" s="73"/>
      <x:c r="Q105" s="73"/>
      <x:c r="S105" s="786"/>
      <x:c r="T105" s="787"/>
      <x:c r="U105" s="289"/>
      <x:c r="V105" s="290"/>
      <x:c r="W105" s="290"/>
      <x:c r="X105" s="290"/>
      <x:c r="Y105" s="290"/>
      <x:c r="Z105" s="290"/>
      <x:c r="AA105" s="290"/>
      <x:c r="AB105" s="290"/>
      <x:c r="AC105" s="290"/>
      <x:c r="AD105" s="290"/>
      <x:c r="AE105" s="290"/>
      <x:c r="AF105" s="290"/>
      <x:c r="AG105" s="290"/>
      <x:c r="AH105" s="290"/>
      <x:c r="AI105" s="290"/>
      <x:c r="AJ105" s="290"/>
      <x:c r="AK105" s="290"/>
      <x:c r="AL105" s="290"/>
      <x:c r="AM105" s="290"/>
      <x:c r="AN105" s="290"/>
      <x:c r="AO105" s="290"/>
      <x:c r="AP105" s="290"/>
      <x:c r="AQ105" s="290"/>
      <x:c r="AR105" s="290"/>
      <x:c r="AS105" s="290"/>
      <x:c r="AT105" s="290"/>
      <x:c r="AU105" s="291"/>
      <x:c r="AV105" s="985"/>
      <x:c r="AW105" s="986"/>
      <x:c r="AX105" s="986"/>
      <x:c r="AY105" s="986"/>
      <x:c r="AZ105" s="986"/>
      <x:c r="BA105" s="986"/>
      <x:c r="BB105" s="987"/>
      <x:c r="BD105" s="771"/>
      <x:c r="BE105" s="763"/>
      <x:c r="BF105" s="763"/>
      <x:c r="BG105" s="763"/>
      <x:c r="BH105" s="763"/>
      <x:c r="BI105" s="763"/>
      <x:c r="BJ105" s="910"/>
      <x:c r="BK105" s="966"/>
      <x:c r="BL105" s="763"/>
      <x:c r="BM105" s="763"/>
      <x:c r="BN105" s="763"/>
      <x:c r="BO105" s="763"/>
      <x:c r="BP105" s="910"/>
      <x:c r="BQ105" s="966"/>
      <x:c r="BR105" s="763"/>
      <x:c r="BS105" s="763"/>
      <x:c r="BT105" s="763"/>
      <x:c r="BU105" s="763"/>
      <x:c r="BV105" s="763"/>
      <x:c r="BW105" s="763"/>
      <x:c r="BX105" s="763"/>
      <x:c r="BY105" s="763"/>
      <x:c r="BZ105" s="763"/>
      <x:c r="CA105" s="763"/>
      <x:c r="CB105" s="763"/>
      <x:c r="CC105" s="763"/>
      <x:c r="CD105" s="763"/>
      <x:c r="CE105" s="967"/>
      <x:c r="CG105" s="873"/>
      <x:c r="CH105" s="669"/>
      <x:c r="CI105" s="669"/>
      <x:c r="CJ105" s="669"/>
      <x:c r="CK105" s="669"/>
      <x:c r="CL105" s="669"/>
      <x:c r="CM105" s="669"/>
      <x:c r="CN105" s="669"/>
      <x:c r="CO105" s="758"/>
      <x:c r="CP105" s="921"/>
      <x:c r="CQ105" s="917"/>
      <x:c r="CR105" s="917"/>
      <x:c r="CS105" s="989"/>
      <x:c r="CT105" s="929"/>
      <x:c r="CU105" s="339"/>
      <x:c r="CV105" s="339"/>
      <x:c r="CW105" s="339"/>
      <x:c r="CX105" s="339"/>
      <x:c r="CY105" s="339"/>
      <x:c r="CZ105" s="339"/>
      <x:c r="DA105" s="339"/>
      <x:c r="DB105" s="339"/>
      <x:c r="DC105" s="340"/>
      <x:c r="DD105" s="921"/>
      <x:c r="DE105" s="917"/>
      <x:c r="DF105" s="917"/>
      <x:c r="DG105" s="918"/>
    </x:row>
    <x:row r="106" ht="6" customHeight="1">
      <x:c r="A106" s="104"/>
      <x:c r="B106" s="104"/>
      <x:c r="C106" s="105"/>
      <x:c r="D106" s="106"/>
      <x:c r="E106" s="106"/>
      <x:c r="F106" s="106"/>
      <x:c r="G106" s="106"/>
      <x:c r="H106" s="106"/>
      <x:c r="I106" s="106"/>
      <x:c r="J106" s="106"/>
      <x:c r="K106" s="106"/>
      <x:c r="L106" s="106"/>
      <x:c r="M106" s="106"/>
      <x:c r="N106" s="106"/>
      <x:c r="O106" s="106"/>
      <x:c r="P106" s="106"/>
      <x:c r="Q106" s="106"/>
      <x:c r="S106" s="786"/>
      <x:c r="T106" s="787"/>
      <x:c r="U106" s="990"/>
      <x:c r="V106" s="385"/>
      <x:c r="W106" s="385"/>
      <x:c r="X106" s="385"/>
      <x:c r="Y106" s="385"/>
      <x:c r="Z106" s="385"/>
      <x:c r="AA106" s="385"/>
      <x:c r="AB106" s="385"/>
      <x:c r="AC106" s="385"/>
      <x:c r="AD106" s="385"/>
      <x:c r="AE106" s="385"/>
      <x:c r="AF106" s="385"/>
      <x:c r="AG106" s="385"/>
      <x:c r="AH106" s="385"/>
      <x:c r="AI106" s="385"/>
      <x:c r="AJ106" s="385"/>
      <x:c r="AK106" s="385"/>
      <x:c r="AL106" s="385"/>
      <x:c r="AM106" s="385"/>
      <x:c r="AN106" s="385"/>
      <x:c r="AO106" s="385"/>
      <x:c r="AP106" s="385"/>
      <x:c r="AQ106" s="385"/>
      <x:c r="AR106" s="385"/>
      <x:c r="AS106" s="385"/>
      <x:c r="AT106" s="385"/>
      <x:c r="AU106" s="386"/>
      <x:c r="AV106" s="982"/>
      <x:c r="AW106" s="983"/>
      <x:c r="AX106" s="983"/>
      <x:c r="AY106" s="983"/>
      <x:c r="AZ106" s="983"/>
      <x:c r="BA106" s="983"/>
      <x:c r="BB106" s="984"/>
      <x:c r="BD106" s="360" t="s">
        <x:v>319</x:v>
      </x:c>
      <x:c r="BE106" s="361"/>
      <x:c r="BF106" s="361"/>
      <x:c r="BG106" s="361"/>
      <x:c r="BH106" s="361"/>
      <x:c r="BI106" s="361"/>
      <x:c r="BJ106" s="361"/>
      <x:c r="BK106" s="353"/>
      <x:c r="BL106" s="353"/>
      <x:c r="BM106" s="353"/>
      <x:c r="BN106" s="353"/>
      <x:c r="BO106" s="353"/>
      <x:c r="BP106" s="353"/>
      <x:c r="BQ106" s="353"/>
      <x:c r="BR106" s="353"/>
      <x:c r="BS106" s="353"/>
      <x:c r="BT106" s="353"/>
      <x:c r="BU106" s="353"/>
      <x:c r="BV106" s="353"/>
      <x:c r="BW106" s="353"/>
      <x:c r="BX106" s="353"/>
      <x:c r="BY106" s="353"/>
      <x:c r="BZ106" s="353"/>
      <x:c r="CA106" s="353"/>
      <x:c r="CB106" s="353"/>
      <x:c r="CC106" s="353"/>
      <x:c r="CD106" s="353"/>
      <x:c r="CE106" s="355"/>
      <x:c r="CG106" s="812" t="s">
        <x:v>320</x:v>
      </x:c>
      <x:c r="CH106" s="813"/>
      <x:c r="CI106" s="813"/>
      <x:c r="CJ106" s="813"/>
      <x:c r="CK106" s="813"/>
      <x:c r="CL106" s="813"/>
      <x:c r="CM106" s="813"/>
      <x:c r="CN106" s="813"/>
      <x:c r="CO106" s="813"/>
      <x:c r="CP106" s="920"/>
      <x:c r="CQ106" s="915"/>
      <x:c r="CR106" s="915" t="s">
        <x:v>321</x:v>
      </x:c>
      <x:c r="CS106" s="988"/>
      <x:c r="CT106" s="928" t="s">
        <x:v>322</x:v>
      </x:c>
      <x:c r="CU106" s="333"/>
      <x:c r="CV106" s="333"/>
      <x:c r="CW106" s="333"/>
      <x:c r="CX106" s="333"/>
      <x:c r="CY106" s="333"/>
      <x:c r="CZ106" s="333"/>
      <x:c r="DA106" s="333"/>
      <x:c r="DB106" s="333"/>
      <x:c r="DC106" s="334"/>
      <x:c r="DD106" s="920"/>
      <x:c r="DE106" s="915"/>
      <x:c r="DF106" s="915"/>
      <x:c r="DG106" s="916"/>
    </x:row>
    <x:row r="107" ht="6" customHeight="1">
      <x:c r="A107" s="1022" t="s">
        <x:v>323</x:v>
      </x:c>
      <x:c r="B107" s="1022"/>
      <x:c r="C107" s="1022"/>
      <x:c r="D107" s="1022"/>
      <x:c r="E107" s="1022"/>
      <x:c r="F107" s="1022"/>
      <x:c r="G107" s="1022"/>
      <x:c r="H107" s="1022"/>
      <x:c r="I107" s="1022"/>
      <x:c r="J107" s="1022"/>
      <x:c r="K107" s="1022"/>
      <x:c r="L107" s="1022"/>
      <x:c r="M107" s="1022"/>
      <x:c r="N107" s="1022"/>
      <x:c r="O107" s="1022"/>
      <x:c r="P107" s="1022"/>
      <x:c r="Q107" s="1022"/>
      <x:c r="S107" s="786"/>
      <x:c r="T107" s="787"/>
      <x:c r="U107" s="991"/>
      <x:c r="V107" s="388"/>
      <x:c r="W107" s="388"/>
      <x:c r="X107" s="388"/>
      <x:c r="Y107" s="388"/>
      <x:c r="Z107" s="388"/>
      <x:c r="AA107" s="388"/>
      <x:c r="AB107" s="388"/>
      <x:c r="AC107" s="388"/>
      <x:c r="AD107" s="388"/>
      <x:c r="AE107" s="388"/>
      <x:c r="AF107" s="388"/>
      <x:c r="AG107" s="388"/>
      <x:c r="AH107" s="388"/>
      <x:c r="AI107" s="388"/>
      <x:c r="AJ107" s="388"/>
      <x:c r="AK107" s="388"/>
      <x:c r="AL107" s="388"/>
      <x:c r="AM107" s="388"/>
      <x:c r="AN107" s="388"/>
      <x:c r="AO107" s="388"/>
      <x:c r="AP107" s="388"/>
      <x:c r="AQ107" s="388"/>
      <x:c r="AR107" s="388"/>
      <x:c r="AS107" s="388"/>
      <x:c r="AT107" s="388"/>
      <x:c r="AU107" s="389"/>
      <x:c r="AV107" s="985"/>
      <x:c r="AW107" s="986"/>
      <x:c r="AX107" s="986"/>
      <x:c r="AY107" s="986"/>
      <x:c r="AZ107" s="986"/>
      <x:c r="BA107" s="986"/>
      <x:c r="BB107" s="987"/>
      <x:c r="BD107" s="360"/>
      <x:c r="BE107" s="361"/>
      <x:c r="BF107" s="361"/>
      <x:c r="BG107" s="361"/>
      <x:c r="BH107" s="361"/>
      <x:c r="BI107" s="361"/>
      <x:c r="BJ107" s="361"/>
      <x:c r="BK107" s="353"/>
      <x:c r="BL107" s="353"/>
      <x:c r="BM107" s="353"/>
      <x:c r="BN107" s="353"/>
      <x:c r="BO107" s="353"/>
      <x:c r="BP107" s="353"/>
      <x:c r="BQ107" s="353"/>
      <x:c r="BR107" s="353"/>
      <x:c r="BS107" s="353"/>
      <x:c r="BT107" s="353"/>
      <x:c r="BU107" s="353"/>
      <x:c r="BV107" s="353"/>
      <x:c r="BW107" s="353"/>
      <x:c r="BX107" s="353"/>
      <x:c r="BY107" s="353"/>
      <x:c r="BZ107" s="353"/>
      <x:c r="CA107" s="353"/>
      <x:c r="CB107" s="353"/>
      <x:c r="CC107" s="353"/>
      <x:c r="CD107" s="353"/>
      <x:c r="CE107" s="355"/>
      <x:c r="CG107" s="812"/>
      <x:c r="CH107" s="813"/>
      <x:c r="CI107" s="813"/>
      <x:c r="CJ107" s="813"/>
      <x:c r="CK107" s="813"/>
      <x:c r="CL107" s="813"/>
      <x:c r="CM107" s="813"/>
      <x:c r="CN107" s="813"/>
      <x:c r="CO107" s="813"/>
      <x:c r="CP107" s="921"/>
      <x:c r="CQ107" s="917"/>
      <x:c r="CR107" s="917"/>
      <x:c r="CS107" s="989"/>
      <x:c r="CT107" s="929"/>
      <x:c r="CU107" s="339"/>
      <x:c r="CV107" s="339"/>
      <x:c r="CW107" s="339"/>
      <x:c r="CX107" s="339"/>
      <x:c r="CY107" s="339"/>
      <x:c r="CZ107" s="339"/>
      <x:c r="DA107" s="339"/>
      <x:c r="DB107" s="339"/>
      <x:c r="DC107" s="340"/>
      <x:c r="DD107" s="921"/>
      <x:c r="DE107" s="917"/>
      <x:c r="DF107" s="917"/>
      <x:c r="DG107" s="918"/>
    </x:row>
    <x:row r="108" ht="6" customHeight="1">
      <x:c r="A108" s="1022"/>
      <x:c r="B108" s="1022"/>
      <x:c r="C108" s="1022"/>
      <x:c r="D108" s="1022"/>
      <x:c r="E108" s="1022"/>
      <x:c r="F108" s="1022"/>
      <x:c r="G108" s="1022"/>
      <x:c r="H108" s="1022"/>
      <x:c r="I108" s="1022"/>
      <x:c r="J108" s="1022"/>
      <x:c r="K108" s="1022"/>
      <x:c r="L108" s="1022"/>
      <x:c r="M108" s="1022"/>
      <x:c r="N108" s="1022"/>
      <x:c r="O108" s="1022"/>
      <x:c r="P108" s="1022"/>
      <x:c r="Q108" s="1022"/>
      <x:c r="S108" s="786"/>
      <x:c r="T108" s="787"/>
      <x:c r="U108" s="871"/>
      <x:c r="V108" s="666"/>
      <x:c r="W108" s="666"/>
      <x:c r="X108" s="666"/>
      <x:c r="Y108" s="666"/>
      <x:c r="Z108" s="666"/>
      <x:c r="AA108" s="666"/>
      <x:c r="AB108" s="666"/>
      <x:c r="AC108" s="666"/>
      <x:c r="AD108" s="666"/>
      <x:c r="AE108" s="666"/>
      <x:c r="AF108" s="666"/>
      <x:c r="AG108" s="666"/>
      <x:c r="AH108" s="666"/>
      <x:c r="AI108" s="666"/>
      <x:c r="AJ108" s="666"/>
      <x:c r="AK108" s="666"/>
      <x:c r="AL108" s="666"/>
      <x:c r="AM108" s="666"/>
      <x:c r="AN108" s="666"/>
      <x:c r="AO108" s="666"/>
      <x:c r="AP108" s="666"/>
      <x:c r="AQ108" s="666"/>
      <x:c r="AR108" s="666"/>
      <x:c r="AS108" s="666"/>
      <x:c r="AT108" s="666"/>
      <x:c r="AU108" s="872"/>
      <x:c r="AV108" s="982"/>
      <x:c r="AW108" s="983"/>
      <x:c r="AX108" s="983"/>
      <x:c r="AY108" s="983"/>
      <x:c r="AZ108" s="983"/>
      <x:c r="BA108" s="983"/>
      <x:c r="BB108" s="984"/>
      <x:c r="BD108" s="360" t="s">
        <x:v>319</x:v>
      </x:c>
      <x:c r="BE108" s="361"/>
      <x:c r="BF108" s="361"/>
      <x:c r="BG108" s="361"/>
      <x:c r="BH108" s="361"/>
      <x:c r="BI108" s="361"/>
      <x:c r="BJ108" s="361"/>
      <x:c r="BK108" s="353"/>
      <x:c r="BL108" s="353"/>
      <x:c r="BM108" s="353"/>
      <x:c r="BN108" s="353"/>
      <x:c r="BO108" s="353"/>
      <x:c r="BP108" s="353"/>
      <x:c r="BQ108" s="353"/>
      <x:c r="BR108" s="353"/>
      <x:c r="BS108" s="353"/>
      <x:c r="BT108" s="353"/>
      <x:c r="BU108" s="353"/>
      <x:c r="BV108" s="353"/>
      <x:c r="BW108" s="353"/>
      <x:c r="BX108" s="353"/>
      <x:c r="BY108" s="353"/>
      <x:c r="BZ108" s="353"/>
      <x:c r="CA108" s="353"/>
      <x:c r="CB108" s="353"/>
      <x:c r="CC108" s="353"/>
      <x:c r="CD108" s="353"/>
      <x:c r="CE108" s="355"/>
      <x:c r="CG108" s="812"/>
      <x:c r="CH108" s="813"/>
      <x:c r="CI108" s="813"/>
      <x:c r="CJ108" s="813"/>
      <x:c r="CK108" s="813"/>
      <x:c r="CL108" s="813"/>
      <x:c r="CM108" s="813"/>
      <x:c r="CN108" s="813"/>
      <x:c r="CO108" s="813"/>
      <x:c r="CP108" s="920"/>
      <x:c r="CQ108" s="915"/>
      <x:c r="CR108" s="915"/>
      <x:c r="CS108" s="988"/>
      <x:c r="CT108" s="928" t="s">
        <x:v>324</x:v>
      </x:c>
      <x:c r="CU108" s="333"/>
      <x:c r="CV108" s="333"/>
      <x:c r="CW108" s="333"/>
      <x:c r="CX108" s="333"/>
      <x:c r="CY108" s="333"/>
      <x:c r="CZ108" s="333"/>
      <x:c r="DA108" s="333"/>
      <x:c r="DB108" s="333"/>
      <x:c r="DC108" s="334"/>
      <x:c r="DD108" s="80"/>
      <x:c r="DE108" s="81"/>
      <x:c r="DF108" s="915"/>
      <x:c r="DG108" s="916"/>
    </x:row>
    <x:row r="109" ht="6" customHeight="1">
      <x:c r="A109" s="1022"/>
      <x:c r="B109" s="1022"/>
      <x:c r="C109" s="1022"/>
      <x:c r="D109" s="1022"/>
      <x:c r="E109" s="1022"/>
      <x:c r="F109" s="1022"/>
      <x:c r="G109" s="1022"/>
      <x:c r="H109" s="1022"/>
      <x:c r="I109" s="1022"/>
      <x:c r="J109" s="1022"/>
      <x:c r="K109" s="1022"/>
      <x:c r="L109" s="1022"/>
      <x:c r="M109" s="1022"/>
      <x:c r="N109" s="1022"/>
      <x:c r="O109" s="1022"/>
      <x:c r="P109" s="1022"/>
      <x:c r="Q109" s="1022"/>
      <x:c r="S109" s="786"/>
      <x:c r="T109" s="787"/>
      <x:c r="U109" s="873"/>
      <x:c r="V109" s="669"/>
      <x:c r="W109" s="669"/>
      <x:c r="X109" s="669"/>
      <x:c r="Y109" s="669"/>
      <x:c r="Z109" s="669"/>
      <x:c r="AA109" s="669"/>
      <x:c r="AB109" s="669"/>
      <x:c r="AC109" s="669"/>
      <x:c r="AD109" s="669"/>
      <x:c r="AE109" s="669"/>
      <x:c r="AF109" s="669"/>
      <x:c r="AG109" s="669"/>
      <x:c r="AH109" s="669"/>
      <x:c r="AI109" s="669"/>
      <x:c r="AJ109" s="669"/>
      <x:c r="AK109" s="669"/>
      <x:c r="AL109" s="669"/>
      <x:c r="AM109" s="669"/>
      <x:c r="AN109" s="669"/>
      <x:c r="AO109" s="669"/>
      <x:c r="AP109" s="669"/>
      <x:c r="AQ109" s="669"/>
      <x:c r="AR109" s="669"/>
      <x:c r="AS109" s="669"/>
      <x:c r="AT109" s="669"/>
      <x:c r="AU109" s="758"/>
      <x:c r="AV109" s="985"/>
      <x:c r="AW109" s="986"/>
      <x:c r="AX109" s="986"/>
      <x:c r="AY109" s="986"/>
      <x:c r="AZ109" s="986"/>
      <x:c r="BA109" s="986"/>
      <x:c r="BB109" s="987"/>
      <x:c r="BD109" s="360"/>
      <x:c r="BE109" s="361"/>
      <x:c r="BF109" s="361"/>
      <x:c r="BG109" s="361"/>
      <x:c r="BH109" s="361"/>
      <x:c r="BI109" s="361"/>
      <x:c r="BJ109" s="361"/>
      <x:c r="BK109" s="353"/>
      <x:c r="BL109" s="353"/>
      <x:c r="BM109" s="353"/>
      <x:c r="BN109" s="353"/>
      <x:c r="BO109" s="353"/>
      <x:c r="BP109" s="353"/>
      <x:c r="BQ109" s="353"/>
      <x:c r="BR109" s="353"/>
      <x:c r="BS109" s="353"/>
      <x:c r="BT109" s="353"/>
      <x:c r="BU109" s="353"/>
      <x:c r="BV109" s="353"/>
      <x:c r="BW109" s="353"/>
      <x:c r="BX109" s="353"/>
      <x:c r="BY109" s="353"/>
      <x:c r="BZ109" s="353"/>
      <x:c r="CA109" s="353"/>
      <x:c r="CB109" s="353"/>
      <x:c r="CC109" s="353"/>
      <x:c r="CD109" s="353"/>
      <x:c r="CE109" s="355"/>
      <x:c r="CG109" s="812"/>
      <x:c r="CH109" s="813"/>
      <x:c r="CI109" s="813"/>
      <x:c r="CJ109" s="813"/>
      <x:c r="CK109" s="813"/>
      <x:c r="CL109" s="813"/>
      <x:c r="CM109" s="813"/>
      <x:c r="CN109" s="813"/>
      <x:c r="CO109" s="813"/>
      <x:c r="CP109" s="921"/>
      <x:c r="CQ109" s="917"/>
      <x:c r="CR109" s="917"/>
      <x:c r="CS109" s="989"/>
      <x:c r="CT109" s="929"/>
      <x:c r="CU109" s="339"/>
      <x:c r="CV109" s="339"/>
      <x:c r="CW109" s="339"/>
      <x:c r="CX109" s="339"/>
      <x:c r="CY109" s="339"/>
      <x:c r="CZ109" s="339"/>
      <x:c r="DA109" s="339"/>
      <x:c r="DB109" s="339"/>
      <x:c r="DC109" s="340"/>
      <x:c r="DD109" s="82"/>
      <x:c r="DE109" s="83"/>
      <x:c r="DF109" s="917"/>
      <x:c r="DG109" s="918"/>
    </x:row>
    <x:row r="110" ht="6" customHeight="1">
      <x:c r="A110" s="1022"/>
      <x:c r="B110" s="1022"/>
      <x:c r="C110" s="1022"/>
      <x:c r="D110" s="1022"/>
      <x:c r="E110" s="1022"/>
      <x:c r="F110" s="1022"/>
      <x:c r="G110" s="1022"/>
      <x:c r="H110" s="1022"/>
      <x:c r="I110" s="1022"/>
      <x:c r="J110" s="1022"/>
      <x:c r="K110" s="1022"/>
      <x:c r="L110" s="1022"/>
      <x:c r="M110" s="1022"/>
      <x:c r="N110" s="1022"/>
      <x:c r="O110" s="1022"/>
      <x:c r="P110" s="1022"/>
      <x:c r="Q110" s="1022"/>
      <x:c r="S110" s="786"/>
      <x:c r="T110" s="787"/>
      <x:c r="U110" s="977" t="s">
        <x:v>325</x:v>
      </x:c>
      <x:c r="V110" s="978"/>
      <x:c r="W110" s="978"/>
      <x:c r="X110" s="978"/>
      <x:c r="Y110" s="978"/>
      <x:c r="Z110" s="978"/>
      <x:c r="AA110" s="978"/>
      <x:c r="AB110" s="978"/>
      <x:c r="AC110" s="978"/>
      <x:c r="AD110" s="978"/>
      <x:c r="AE110" s="978"/>
      <x:c r="AF110" s="978"/>
      <x:c r="AG110" s="978"/>
      <x:c r="AH110" s="978"/>
      <x:c r="AI110" s="978"/>
      <x:c r="AJ110" s="978"/>
      <x:c r="AK110" s="978"/>
      <x:c r="AL110" s="978"/>
      <x:c r="AM110" s="978"/>
      <x:c r="AN110" s="978"/>
      <x:c r="AO110" s="978"/>
      <x:c r="AP110" s="978"/>
      <x:c r="AQ110" s="978"/>
      <x:c r="AR110" s="978"/>
      <x:c r="AS110" s="978"/>
      <x:c r="AT110" s="978"/>
      <x:c r="AU110" s="979"/>
      <x:c r="AV110" s="982" t="n">
        <x:f>SUM(AV98:BB109)</x:f>
        <x:v>0</x:v>
      </x:c>
      <x:c r="AW110" s="983"/>
      <x:c r="AX110" s="983"/>
      <x:c r="AY110" s="983"/>
      <x:c r="AZ110" s="983"/>
      <x:c r="BA110" s="983"/>
      <x:c r="BB110" s="984"/>
      <x:c r="BD110" s="360" t="s">
        <x:v>319</x:v>
      </x:c>
      <x:c r="BE110" s="361"/>
      <x:c r="BF110" s="361"/>
      <x:c r="BG110" s="361"/>
      <x:c r="BH110" s="361"/>
      <x:c r="BI110" s="361"/>
      <x:c r="BJ110" s="361"/>
      <x:c r="BK110" s="353"/>
      <x:c r="BL110" s="353"/>
      <x:c r="BM110" s="353"/>
      <x:c r="BN110" s="353"/>
      <x:c r="BO110" s="353"/>
      <x:c r="BP110" s="353"/>
      <x:c r="BQ110" s="353"/>
      <x:c r="BR110" s="353"/>
      <x:c r="BS110" s="353"/>
      <x:c r="BT110" s="353"/>
      <x:c r="BU110" s="353"/>
      <x:c r="BV110" s="353"/>
      <x:c r="BW110" s="353"/>
      <x:c r="BX110" s="353"/>
      <x:c r="BY110" s="353"/>
      <x:c r="BZ110" s="353"/>
      <x:c r="CA110" s="353"/>
      <x:c r="CB110" s="353"/>
      <x:c r="CC110" s="353"/>
      <x:c r="CD110" s="353"/>
      <x:c r="CE110" s="355"/>
      <x:c r="CG110" s="1089"/>
      <x:c r="CH110" s="811"/>
      <x:c r="CI110" s="811"/>
      <x:c r="CJ110" s="811"/>
      <x:c r="CK110" s="811"/>
      <x:c r="CL110" s="811"/>
      <x:c r="CM110" s="811"/>
      <x:c r="CN110" s="811"/>
      <x:c r="CO110" s="811"/>
      <x:c r="CP110" s="1087"/>
      <x:c r="CQ110" s="1050"/>
      <x:c r="CR110" s="1050"/>
      <x:c r="CS110" s="1092"/>
      <x:c r="CT110" s="1094"/>
      <x:c r="CU110" s="336"/>
      <x:c r="CV110" s="336"/>
      <x:c r="CW110" s="336"/>
      <x:c r="CX110" s="336"/>
      <x:c r="CY110" s="336"/>
      <x:c r="CZ110" s="336"/>
      <x:c r="DA110" s="336"/>
      <x:c r="DB110" s="336"/>
      <x:c r="DC110" s="337"/>
      <x:c r="DD110" s="1087"/>
      <x:c r="DE110" s="1050"/>
      <x:c r="DF110" s="1050"/>
      <x:c r="DG110" s="1051"/>
    </x:row>
    <x:row r="111" ht="6" customHeight="1">
      <x:c r="A111" s="1022"/>
      <x:c r="B111" s="1022"/>
      <x:c r="C111" s="1022"/>
      <x:c r="D111" s="1022"/>
      <x:c r="E111" s="1022"/>
      <x:c r="F111" s="1022"/>
      <x:c r="G111" s="1022"/>
      <x:c r="H111" s="1022"/>
      <x:c r="I111" s="1022"/>
      <x:c r="J111" s="1022"/>
      <x:c r="K111" s="1022"/>
      <x:c r="L111" s="1022"/>
      <x:c r="M111" s="1022"/>
      <x:c r="N111" s="1022"/>
      <x:c r="O111" s="1022"/>
      <x:c r="P111" s="1022"/>
      <x:c r="Q111" s="1022"/>
      <x:c r="S111" s="788"/>
      <x:c r="T111" s="789"/>
      <x:c r="U111" s="882"/>
      <x:c r="V111" s="883"/>
      <x:c r="W111" s="883"/>
      <x:c r="X111" s="883"/>
      <x:c r="Y111" s="883"/>
      <x:c r="Z111" s="883"/>
      <x:c r="AA111" s="883"/>
      <x:c r="AB111" s="883"/>
      <x:c r="AC111" s="883"/>
      <x:c r="AD111" s="883"/>
      <x:c r="AE111" s="883"/>
      <x:c r="AF111" s="883"/>
      <x:c r="AG111" s="883"/>
      <x:c r="AH111" s="883"/>
      <x:c r="AI111" s="883"/>
      <x:c r="AJ111" s="883"/>
      <x:c r="AK111" s="883"/>
      <x:c r="AL111" s="883"/>
      <x:c r="AM111" s="883"/>
      <x:c r="AN111" s="883"/>
      <x:c r="AO111" s="883"/>
      <x:c r="AP111" s="883"/>
      <x:c r="AQ111" s="883"/>
      <x:c r="AR111" s="883"/>
      <x:c r="AS111" s="883"/>
      <x:c r="AT111" s="883"/>
      <x:c r="AU111" s="884"/>
      <x:c r="AV111" s="1061"/>
      <x:c r="AW111" s="1062"/>
      <x:c r="AX111" s="1062"/>
      <x:c r="AY111" s="1062"/>
      <x:c r="AZ111" s="1062"/>
      <x:c r="BA111" s="1062"/>
      <x:c r="BB111" s="1063"/>
      <x:c r="BD111" s="360"/>
      <x:c r="BE111" s="361"/>
      <x:c r="BF111" s="361"/>
      <x:c r="BG111" s="361"/>
      <x:c r="BH111" s="361"/>
      <x:c r="BI111" s="361"/>
      <x:c r="BJ111" s="361"/>
      <x:c r="BK111" s="353"/>
      <x:c r="BL111" s="353"/>
      <x:c r="BM111" s="353"/>
      <x:c r="BN111" s="353"/>
      <x:c r="BO111" s="353"/>
      <x:c r="BP111" s="353"/>
      <x:c r="BQ111" s="353"/>
      <x:c r="BR111" s="353"/>
      <x:c r="BS111" s="353"/>
      <x:c r="BT111" s="353"/>
      <x:c r="BU111" s="353"/>
      <x:c r="BV111" s="353"/>
      <x:c r="BW111" s="353"/>
      <x:c r="BX111" s="353"/>
      <x:c r="BY111" s="353"/>
      <x:c r="BZ111" s="353"/>
      <x:c r="CA111" s="353"/>
      <x:c r="CB111" s="353"/>
      <x:c r="CC111" s="353"/>
      <x:c r="CD111" s="353"/>
      <x:c r="CE111" s="355"/>
      <x:c r="CG111" s="1090"/>
      <x:c r="CH111" s="1091"/>
      <x:c r="CI111" s="1091"/>
      <x:c r="CJ111" s="1091"/>
      <x:c r="CK111" s="1091"/>
      <x:c r="CL111" s="1091"/>
      <x:c r="CM111" s="1091"/>
      <x:c r="CN111" s="1091"/>
      <x:c r="CO111" s="1091"/>
      <x:c r="CP111" s="1088"/>
      <x:c r="CQ111" s="1048"/>
      <x:c r="CR111" s="1048"/>
      <x:c r="CS111" s="1093"/>
      <x:c r="CT111" s="1095"/>
      <x:c r="CU111" s="1096"/>
      <x:c r="CV111" s="1096"/>
      <x:c r="CW111" s="1096"/>
      <x:c r="CX111" s="1096"/>
      <x:c r="CY111" s="1096"/>
      <x:c r="CZ111" s="1096"/>
      <x:c r="DA111" s="1096"/>
      <x:c r="DB111" s="1096"/>
      <x:c r="DC111" s="1097"/>
      <x:c r="DD111" s="1088"/>
      <x:c r="DE111" s="1048"/>
      <x:c r="DF111" s="1048"/>
      <x:c r="DG111" s="1049"/>
    </x:row>
    <x:row r="112" ht="6" customHeight="1">
      <x:c r="A112" s="1022"/>
      <x:c r="B112" s="1022"/>
      <x:c r="C112" s="1022"/>
      <x:c r="D112" s="1022"/>
      <x:c r="E112" s="1022"/>
      <x:c r="F112" s="1022"/>
      <x:c r="G112" s="1022"/>
      <x:c r="H112" s="1022"/>
      <x:c r="I112" s="1022"/>
      <x:c r="J112" s="1022"/>
      <x:c r="K112" s="1022"/>
      <x:c r="L112" s="1022"/>
      <x:c r="M112" s="1022"/>
      <x:c r="N112" s="1022"/>
      <x:c r="O112" s="1022"/>
      <x:c r="P112" s="1022"/>
      <x:c r="Q112" s="1022"/>
      <x:c r="S112" s="13"/>
      <x:c r="T112" s="13"/>
      <x:c r="U112" s="12"/>
      <x:c r="V112" s="12"/>
      <x:c r="W112" s="12"/>
      <x:c r="X112" s="12"/>
      <x:c r="Y112" s="12"/>
      <x:c r="Z112" s="12"/>
      <x:c r="AA112" s="12"/>
      <x:c r="AB112" s="12"/>
      <x:c r="AC112" s="12"/>
      <x:c r="AD112" s="12"/>
      <x:c r="AE112" s="12"/>
      <x:c r="AF112" s="12"/>
      <x:c r="AG112" s="12"/>
      <x:c r="AH112" s="12"/>
      <x:c r="AI112" s="12"/>
      <x:c r="AJ112" s="12"/>
      <x:c r="AK112" s="12"/>
      <x:c r="AL112" s="12"/>
      <x:c r="AM112" s="12"/>
      <x:c r="AN112" s="12"/>
      <x:c r="AO112" s="12"/>
      <x:c r="AP112" s="12"/>
      <x:c r="AQ112" s="12"/>
      <x:c r="AR112" s="12"/>
      <x:c r="AS112" s="12"/>
      <x:c r="AT112" s="12"/>
      <x:c r="AU112" s="12"/>
      <x:c r="AV112" s="10"/>
      <x:c r="AW112" s="10"/>
      <x:c r="AX112" s="10"/>
      <x:c r="AY112" s="10"/>
      <x:c r="AZ112" s="10"/>
      <x:c r="BA112" s="10"/>
      <x:c r="BB112" s="10"/>
      <x:c r="BD112" s="360" t="s">
        <x:v>319</x:v>
      </x:c>
      <x:c r="BE112" s="361"/>
      <x:c r="BF112" s="361"/>
      <x:c r="BG112" s="361"/>
      <x:c r="BH112" s="361"/>
      <x:c r="BI112" s="361"/>
      <x:c r="BJ112" s="361"/>
      <x:c r="BK112" s="353"/>
      <x:c r="BL112" s="353"/>
      <x:c r="BM112" s="353"/>
      <x:c r="BN112" s="353"/>
      <x:c r="BO112" s="353"/>
      <x:c r="BP112" s="353"/>
      <x:c r="BQ112" s="353"/>
      <x:c r="BR112" s="353"/>
      <x:c r="BS112" s="353"/>
      <x:c r="BT112" s="353"/>
      <x:c r="BU112" s="353"/>
      <x:c r="BV112" s="353"/>
      <x:c r="BW112" s="353"/>
      <x:c r="BX112" s="353"/>
      <x:c r="BY112" s="353"/>
      <x:c r="BZ112" s="353"/>
      <x:c r="CA112" s="353"/>
      <x:c r="CB112" s="353"/>
      <x:c r="CC112" s="353"/>
      <x:c r="CD112" s="353"/>
      <x:c r="CE112" s="355"/>
    </x:row>
    <x:row r="113" ht="6" customHeight="1">
      <x:c r="A113" s="1022"/>
      <x:c r="B113" s="1022"/>
      <x:c r="C113" s="1022"/>
      <x:c r="D113" s="1022"/>
      <x:c r="E113" s="1022"/>
      <x:c r="F113" s="1022"/>
      <x:c r="G113" s="1022"/>
      <x:c r="H113" s="1022"/>
      <x:c r="I113" s="1022"/>
      <x:c r="J113" s="1022"/>
      <x:c r="K113" s="1022"/>
      <x:c r="L113" s="1022"/>
      <x:c r="M113" s="1022"/>
      <x:c r="N113" s="1022"/>
      <x:c r="O113" s="1022"/>
      <x:c r="P113" s="1022"/>
      <x:c r="Q113" s="1022"/>
      <x:c r="S113" s="1071" t="s">
        <x:v>326</x:v>
      </x:c>
      <x:c r="T113" s="1072"/>
      <x:c r="U113" s="1072"/>
      <x:c r="V113" s="1072"/>
      <x:c r="W113" s="1072"/>
      <x:c r="X113" s="1072"/>
      <x:c r="Y113" s="1072"/>
      <x:c r="Z113" s="1072"/>
      <x:c r="AA113" s="1072"/>
      <x:c r="AB113" s="1072"/>
      <x:c r="AC113" s="1072"/>
      <x:c r="AD113" s="1072"/>
      <x:c r="AE113" s="1072"/>
      <x:c r="AF113" s="1072"/>
      <x:c r="AG113" s="1072"/>
      <x:c r="AH113" s="1072"/>
      <x:c r="AI113" s="1072"/>
      <x:c r="AJ113" s="1072"/>
      <x:c r="AK113" s="1072"/>
      <x:c r="AL113" s="1072"/>
      <x:c r="AM113" s="1072"/>
      <x:c r="AN113" s="1072"/>
      <x:c r="AO113" s="1072"/>
      <x:c r="AP113" s="1072"/>
      <x:c r="AQ113" s="1079"/>
      <x:c r="AR113" s="1081" t="e">
        <x:f>AV74+AV95+AV110</x:f>
      </x:c>
      <x:c r="AS113" s="1082"/>
      <x:c r="AT113" s="1082"/>
      <x:c r="AU113" s="1082"/>
      <x:c r="AV113" s="1082"/>
      <x:c r="AW113" s="1082"/>
      <x:c r="AX113" s="1082"/>
      <x:c r="AY113" s="1082"/>
      <x:c r="AZ113" s="1082"/>
      <x:c r="BA113" s="1082"/>
      <x:c r="BB113" s="1083"/>
      <x:c r="BD113" s="360"/>
      <x:c r="BE113" s="361"/>
      <x:c r="BF113" s="361"/>
      <x:c r="BG113" s="361"/>
      <x:c r="BH113" s="361"/>
      <x:c r="BI113" s="361"/>
      <x:c r="BJ113" s="361"/>
      <x:c r="BK113" s="353"/>
      <x:c r="BL113" s="353"/>
      <x:c r="BM113" s="353"/>
      <x:c r="BN113" s="353"/>
      <x:c r="BO113" s="353"/>
      <x:c r="BP113" s="353"/>
      <x:c r="BQ113" s="353"/>
      <x:c r="BR113" s="353"/>
      <x:c r="BS113" s="353"/>
      <x:c r="BT113" s="353"/>
      <x:c r="BU113" s="353"/>
      <x:c r="BV113" s="353"/>
      <x:c r="BW113" s="353"/>
      <x:c r="BX113" s="353"/>
      <x:c r="BY113" s="353"/>
      <x:c r="BZ113" s="353"/>
      <x:c r="CA113" s="353"/>
      <x:c r="CB113" s="353"/>
      <x:c r="CC113" s="353"/>
      <x:c r="CD113" s="353"/>
      <x:c r="CE113" s="355"/>
      <x:c r="CG113" s="1052" t="s">
        <x:v>327</x:v>
      </x:c>
      <x:c r="CH113" s="1053"/>
      <x:c r="CI113" s="1013" t="s">
        <x:v>328</x:v>
      </x:c>
      <x:c r="CJ113" s="1014"/>
      <x:c r="CK113" s="1014"/>
      <x:c r="CL113" s="1014"/>
      <x:c r="CM113" s="1014"/>
      <x:c r="CN113" s="1014"/>
      <x:c r="CO113" s="1014"/>
      <x:c r="CP113" s="1014"/>
      <x:c r="CQ113" s="1014"/>
      <x:c r="CR113" s="1014"/>
      <x:c r="CS113" s="1015"/>
      <x:c r="CT113" s="305" t="s">
        <x:v>22</x:v>
      </x:c>
      <x:c r="CU113" s="350"/>
      <x:c r="CV113" s="305"/>
      <x:c r="CW113" s="306"/>
      <x:c r="CX113" s="306"/>
      <x:c r="CY113" s="306"/>
      <x:c r="CZ113" s="306"/>
      <x:c r="DA113" s="306"/>
      <x:c r="DB113" s="307"/>
      <x:c r="DC113" s="8"/>
      <x:c r="DD113" s="8"/>
      <x:c r="DE113" s="8"/>
      <x:c r="DF113" s="8"/>
      <x:c r="DG113" s="8"/>
    </x:row>
    <x:row r="114" ht="6" customHeight="1">
      <x:c r="A114" s="1022"/>
      <x:c r="B114" s="1022"/>
      <x:c r="C114" s="1022"/>
      <x:c r="D114" s="1022"/>
      <x:c r="E114" s="1022"/>
      <x:c r="F114" s="1022"/>
      <x:c r="G114" s="1022"/>
      <x:c r="H114" s="1022"/>
      <x:c r="I114" s="1022"/>
      <x:c r="J114" s="1022"/>
      <x:c r="K114" s="1022"/>
      <x:c r="L114" s="1022"/>
      <x:c r="M114" s="1022"/>
      <x:c r="N114" s="1022"/>
      <x:c r="O114" s="1022"/>
      <x:c r="P114" s="1022"/>
      <x:c r="Q114" s="1022"/>
      <x:c r="S114" s="1073"/>
      <x:c r="T114" s="1074"/>
      <x:c r="U114" s="1074"/>
      <x:c r="V114" s="1074"/>
      <x:c r="W114" s="1074"/>
      <x:c r="X114" s="1074"/>
      <x:c r="Y114" s="1074"/>
      <x:c r="Z114" s="1074"/>
      <x:c r="AA114" s="1074"/>
      <x:c r="AB114" s="1074"/>
      <x:c r="AC114" s="1074"/>
      <x:c r="AD114" s="1074"/>
      <x:c r="AE114" s="1074"/>
      <x:c r="AF114" s="1074"/>
      <x:c r="AG114" s="1074"/>
      <x:c r="AH114" s="1074"/>
      <x:c r="AI114" s="1074"/>
      <x:c r="AJ114" s="1074"/>
      <x:c r="AK114" s="1074"/>
      <x:c r="AL114" s="1074"/>
      <x:c r="AM114" s="1074"/>
      <x:c r="AN114" s="1074"/>
      <x:c r="AO114" s="1074"/>
      <x:c r="AP114" s="1074"/>
      <x:c r="AQ114" s="1080"/>
      <x:c r="AR114" s="1084"/>
      <x:c r="AS114" s="1085"/>
      <x:c r="AT114" s="1085"/>
      <x:c r="AU114" s="1085"/>
      <x:c r="AV114" s="1085"/>
      <x:c r="AW114" s="1085"/>
      <x:c r="AX114" s="1085"/>
      <x:c r="AY114" s="1085"/>
      <x:c r="AZ114" s="1085"/>
      <x:c r="BA114" s="1085"/>
      <x:c r="BB114" s="1086"/>
      <x:c r="BD114" s="360" t="s">
        <x:v>319</x:v>
      </x:c>
      <x:c r="BE114" s="361"/>
      <x:c r="BF114" s="361"/>
      <x:c r="BG114" s="361"/>
      <x:c r="BH114" s="361"/>
      <x:c r="BI114" s="361"/>
      <x:c r="BJ114" s="361"/>
      <x:c r="BK114" s="353"/>
      <x:c r="BL114" s="353"/>
      <x:c r="BM114" s="353"/>
      <x:c r="BN114" s="353"/>
      <x:c r="BO114" s="353"/>
      <x:c r="BP114" s="353"/>
      <x:c r="BQ114" s="353"/>
      <x:c r="BR114" s="353"/>
      <x:c r="BS114" s="353"/>
      <x:c r="BT114" s="353"/>
      <x:c r="BU114" s="353"/>
      <x:c r="BV114" s="353"/>
      <x:c r="BW114" s="353"/>
      <x:c r="BX114" s="353"/>
      <x:c r="BY114" s="353"/>
      <x:c r="BZ114" s="353"/>
      <x:c r="CA114" s="353"/>
      <x:c r="CB114" s="353"/>
      <x:c r="CC114" s="353"/>
      <x:c r="CD114" s="353"/>
      <x:c r="CE114" s="355"/>
      <x:c r="CG114" s="1054"/>
      <x:c r="CH114" s="1055"/>
      <x:c r="CI114" s="335"/>
      <x:c r="CJ114" s="336"/>
      <x:c r="CK114" s="336"/>
      <x:c r="CL114" s="336"/>
      <x:c r="CM114" s="336"/>
      <x:c r="CN114" s="336"/>
      <x:c r="CO114" s="336"/>
      <x:c r="CP114" s="336"/>
      <x:c r="CQ114" s="336"/>
      <x:c r="CR114" s="336"/>
      <x:c r="CS114" s="337"/>
      <x:c r="CT114" s="308"/>
      <x:c r="CU114" s="351"/>
      <x:c r="CV114" s="308"/>
      <x:c r="CW114" s="309"/>
      <x:c r="CX114" s="309"/>
      <x:c r="CY114" s="309"/>
      <x:c r="CZ114" s="309"/>
      <x:c r="DA114" s="309"/>
      <x:c r="DB114" s="310"/>
      <x:c r="DC114" s="8"/>
      <x:c r="DD114" s="8"/>
      <x:c r="DE114" s="8"/>
      <x:c r="DF114" s="8"/>
      <x:c r="DG114" s="8"/>
    </x:row>
    <x:row r="115" ht="6" customHeight="1">
      <x:c r="A115" s="1022"/>
      <x:c r="B115" s="1022"/>
      <x:c r="C115" s="1022"/>
      <x:c r="D115" s="1022"/>
      <x:c r="E115" s="1022"/>
      <x:c r="F115" s="1022"/>
      <x:c r="G115" s="1022"/>
      <x:c r="H115" s="1022"/>
      <x:c r="I115" s="1022"/>
      <x:c r="J115" s="1022"/>
      <x:c r="K115" s="1022"/>
      <x:c r="L115" s="1022"/>
      <x:c r="M115" s="1022"/>
      <x:c r="N115" s="1022"/>
      <x:c r="O115" s="1022"/>
      <x:c r="P115" s="1022"/>
      <x:c r="Q115" s="1022"/>
      <x:c r="S115" s="12"/>
      <x:c r="T115" s="12"/>
      <x:c r="U115" s="12"/>
      <x:c r="V115" s="12"/>
      <x:c r="W115" s="12"/>
      <x:c r="X115" s="12"/>
      <x:c r="Y115" s="12"/>
      <x:c r="Z115" s="12"/>
      <x:c r="AA115" s="12"/>
      <x:c r="AB115" s="12"/>
      <x:c r="AC115" s="12"/>
      <x:c r="AD115" s="12"/>
      <x:c r="AE115" s="12"/>
      <x:c r="AF115" s="12"/>
      <x:c r="AG115" s="12"/>
      <x:c r="AH115" s="12"/>
      <x:c r="AI115" s="12"/>
      <x:c r="AJ115" s="12"/>
      <x:c r="AK115" s="12"/>
      <x:c r="AL115" s="12"/>
      <x:c r="AM115" s="12"/>
      <x:c r="AN115" s="12"/>
      <x:c r="AO115" s="12"/>
      <x:c r="AP115" s="12"/>
      <x:c r="AQ115" s="12"/>
      <x:c r="AR115" s="11"/>
      <x:c r="AS115" s="10"/>
      <x:c r="AT115" s="10"/>
      <x:c r="AU115" s="10"/>
      <x:c r="AV115" s="10"/>
      <x:c r="AW115" s="10"/>
      <x:c r="AX115" s="10"/>
      <x:c r="AY115" s="10"/>
      <x:c r="AZ115" s="10"/>
      <x:c r="BA115" s="10"/>
      <x:c r="BB115" s="10"/>
      <x:c r="BD115" s="360"/>
      <x:c r="BE115" s="361"/>
      <x:c r="BF115" s="361"/>
      <x:c r="BG115" s="361"/>
      <x:c r="BH115" s="361"/>
      <x:c r="BI115" s="361"/>
      <x:c r="BJ115" s="361"/>
      <x:c r="BK115" s="353"/>
      <x:c r="BL115" s="353"/>
      <x:c r="BM115" s="353"/>
      <x:c r="BN115" s="353"/>
      <x:c r="BO115" s="353"/>
      <x:c r="BP115" s="353"/>
      <x:c r="BQ115" s="353"/>
      <x:c r="BR115" s="353"/>
      <x:c r="BS115" s="353"/>
      <x:c r="BT115" s="353"/>
      <x:c r="BU115" s="353"/>
      <x:c r="BV115" s="353"/>
      <x:c r="BW115" s="353"/>
      <x:c r="BX115" s="353"/>
      <x:c r="BY115" s="353"/>
      <x:c r="BZ115" s="353"/>
      <x:c r="CA115" s="353"/>
      <x:c r="CB115" s="353"/>
      <x:c r="CC115" s="353"/>
      <x:c r="CD115" s="353"/>
      <x:c r="CE115" s="355"/>
      <x:c r="CG115" s="1054"/>
      <x:c r="CH115" s="1055"/>
      <x:c r="CI115" s="338"/>
      <x:c r="CJ115" s="339"/>
      <x:c r="CK115" s="339"/>
      <x:c r="CL115" s="339"/>
      <x:c r="CM115" s="339"/>
      <x:c r="CN115" s="339"/>
      <x:c r="CO115" s="339"/>
      <x:c r="CP115" s="339"/>
      <x:c r="CQ115" s="339"/>
      <x:c r="CR115" s="339"/>
      <x:c r="CS115" s="340"/>
      <x:c r="CT115" s="308"/>
      <x:c r="CU115" s="351"/>
      <x:c r="CV115" s="308"/>
      <x:c r="CW115" s="309"/>
      <x:c r="CX115" s="309"/>
      <x:c r="CY115" s="309"/>
      <x:c r="CZ115" s="309"/>
      <x:c r="DA115" s="309"/>
      <x:c r="DB115" s="310"/>
      <x:c r="DC115" s="8"/>
      <x:c r="DD115" s="8"/>
      <x:c r="DE115" s="8"/>
      <x:c r="DF115" s="8"/>
      <x:c r="DG115" s="8"/>
    </x:row>
    <x:row r="116" ht="6" customHeight="1">
      <x:c r="A116" s="1022"/>
      <x:c r="B116" s="1022"/>
      <x:c r="C116" s="1022"/>
      <x:c r="D116" s="1022"/>
      <x:c r="E116" s="1022"/>
      <x:c r="F116" s="1022"/>
      <x:c r="G116" s="1022"/>
      <x:c r="H116" s="1022"/>
      <x:c r="I116" s="1022"/>
      <x:c r="J116" s="1022"/>
      <x:c r="K116" s="1022"/>
      <x:c r="L116" s="1022"/>
      <x:c r="M116" s="1022"/>
      <x:c r="N116" s="1022"/>
      <x:c r="O116" s="1022"/>
      <x:c r="P116" s="1022"/>
      <x:c r="Q116" s="1022"/>
      <x:c r="S116" s="1071" t="s">
        <x:v>329</x:v>
      </x:c>
      <x:c r="T116" s="1072"/>
      <x:c r="U116" s="1072"/>
      <x:c r="V116" s="1072"/>
      <x:c r="W116" s="1072"/>
      <x:c r="X116" s="1072"/>
      <x:c r="Y116" s="1072"/>
      <x:c r="Z116" s="1072"/>
      <x:c r="AA116" s="1072"/>
      <x:c r="AB116" s="1072"/>
      <x:c r="AC116" s="1072"/>
      <x:c r="AD116" s="1072"/>
      <x:c r="AE116" s="1072"/>
      <x:c r="AF116" s="1072"/>
      <x:c r="AG116" s="1072"/>
      <x:c r="AH116" s="1072"/>
      <x:c r="AI116" s="1072"/>
      <x:c r="AJ116" s="364">
        <x:v>0.1</x:v>
      </x:c>
      <x:c r="AK116" s="364"/>
      <x:c r="AL116" s="364"/>
      <x:c r="AM116" s="364"/>
      <x:c r="AN116" s="364"/>
      <x:c r="AO116" s="250"/>
      <x:c r="AP116" s="250"/>
      <x:c r="AQ116" s="250"/>
      <x:c r="AR116" s="250"/>
      <x:c r="AS116" s="250"/>
      <x:c r="AT116" s="1075" t="s">
        <x:v>330</x:v>
      </x:c>
      <x:c r="AU116" s="1076"/>
      <x:c r="AV116" s="1077" t="e">
        <x:f>AR113*AJ116</x:f>
      </x:c>
      <x:c r="AW116" s="759"/>
      <x:c r="AX116" s="759"/>
      <x:c r="AY116" s="759"/>
      <x:c r="AZ116" s="759"/>
      <x:c r="BA116" s="759"/>
      <x:c r="BB116" s="760"/>
      <x:c r="BD116" s="360" t="s">
        <x:v>319</x:v>
      </x:c>
      <x:c r="BE116" s="361"/>
      <x:c r="BF116" s="361"/>
      <x:c r="BG116" s="361"/>
      <x:c r="BH116" s="361"/>
      <x:c r="BI116" s="361"/>
      <x:c r="BJ116" s="361"/>
      <x:c r="BK116" s="353"/>
      <x:c r="BL116" s="353"/>
      <x:c r="BM116" s="353"/>
      <x:c r="BN116" s="353"/>
      <x:c r="BO116" s="353"/>
      <x:c r="BP116" s="353"/>
      <x:c r="BQ116" s="353"/>
      <x:c r="BR116" s="353"/>
      <x:c r="BS116" s="353"/>
      <x:c r="BT116" s="353"/>
      <x:c r="BU116" s="353"/>
      <x:c r="BV116" s="353"/>
      <x:c r="BW116" s="353"/>
      <x:c r="BX116" s="353"/>
      <x:c r="BY116" s="353"/>
      <x:c r="BZ116" s="353"/>
      <x:c r="CA116" s="353"/>
      <x:c r="CB116" s="353"/>
      <x:c r="CC116" s="353"/>
      <x:c r="CD116" s="353"/>
      <x:c r="CE116" s="355"/>
      <x:c r="CG116" s="1054"/>
      <x:c r="CH116" s="1055"/>
      <x:c r="CI116" s="341" t="s">
        <x:v>331</x:v>
      </x:c>
      <x:c r="CJ116" s="342"/>
      <x:c r="CK116" s="342"/>
      <x:c r="CL116" s="342"/>
      <x:c r="CM116" s="342"/>
      <x:c r="CN116" s="342"/>
      <x:c r="CO116" s="342"/>
      <x:c r="CP116" s="342"/>
      <x:c r="CQ116" s="342"/>
      <x:c r="CR116" s="342"/>
      <x:c r="CS116" s="343"/>
      <x:c r="CT116" s="308"/>
      <x:c r="CU116" s="351"/>
      <x:c r="CV116" s="308"/>
      <x:c r="CW116" s="309"/>
      <x:c r="CX116" s="309"/>
      <x:c r="CY116" s="309"/>
      <x:c r="CZ116" s="309"/>
      <x:c r="DA116" s="309"/>
      <x:c r="DB116" s="310"/>
      <x:c r="DC116" s="8"/>
      <x:c r="DD116" s="8"/>
      <x:c r="DE116" s="8"/>
      <x:c r="DF116" s="8"/>
      <x:c r="DG116" s="8"/>
    </x:row>
    <x:row r="117" ht="6" customHeight="1">
      <x:c r="A117" s="1022"/>
      <x:c r="B117" s="1022"/>
      <x:c r="C117" s="1022"/>
      <x:c r="D117" s="1022"/>
      <x:c r="E117" s="1022"/>
      <x:c r="F117" s="1022"/>
      <x:c r="G117" s="1022"/>
      <x:c r="H117" s="1022"/>
      <x:c r="I117" s="1022"/>
      <x:c r="J117" s="1022"/>
      <x:c r="K117" s="1022"/>
      <x:c r="L117" s="1022"/>
      <x:c r="M117" s="1022"/>
      <x:c r="N117" s="1022"/>
      <x:c r="O117" s="1022"/>
      <x:c r="P117" s="1022"/>
      <x:c r="Q117" s="1022"/>
      <x:c r="S117" s="1073"/>
      <x:c r="T117" s="1074"/>
      <x:c r="U117" s="1074"/>
      <x:c r="V117" s="1074"/>
      <x:c r="W117" s="1074"/>
      <x:c r="X117" s="1074"/>
      <x:c r="Y117" s="1074"/>
      <x:c r="Z117" s="1074"/>
      <x:c r="AA117" s="1074"/>
      <x:c r="AB117" s="1074"/>
      <x:c r="AC117" s="1074"/>
      <x:c r="AD117" s="1074"/>
      <x:c r="AE117" s="1074"/>
      <x:c r="AF117" s="1074"/>
      <x:c r="AG117" s="1074"/>
      <x:c r="AH117" s="1074"/>
      <x:c r="AI117" s="1074"/>
      <x:c r="AJ117" s="365"/>
      <x:c r="AK117" s="365"/>
      <x:c r="AL117" s="365"/>
      <x:c r="AM117" s="365"/>
      <x:c r="AN117" s="365"/>
      <x:c r="AO117" s="251"/>
      <x:c r="AP117" s="251"/>
      <x:c r="AQ117" s="251"/>
      <x:c r="AR117" s="251"/>
      <x:c r="AS117" s="251"/>
      <x:c r="AT117" s="883"/>
      <x:c r="AU117" s="884"/>
      <x:c r="AV117" s="1078"/>
      <x:c r="AW117" s="761"/>
      <x:c r="AX117" s="761"/>
      <x:c r="AY117" s="761"/>
      <x:c r="AZ117" s="761"/>
      <x:c r="BA117" s="761"/>
      <x:c r="BB117" s="762"/>
      <x:c r="BD117" s="360"/>
      <x:c r="BE117" s="361"/>
      <x:c r="BF117" s="361"/>
      <x:c r="BG117" s="361"/>
      <x:c r="BH117" s="361"/>
      <x:c r="BI117" s="361"/>
      <x:c r="BJ117" s="361"/>
      <x:c r="BK117" s="353"/>
      <x:c r="BL117" s="353"/>
      <x:c r="BM117" s="353"/>
      <x:c r="BN117" s="353"/>
      <x:c r="BO117" s="353"/>
      <x:c r="BP117" s="353"/>
      <x:c r="BQ117" s="353"/>
      <x:c r="BR117" s="353"/>
      <x:c r="BS117" s="353"/>
      <x:c r="BT117" s="353"/>
      <x:c r="BU117" s="353"/>
      <x:c r="BV117" s="353"/>
      <x:c r="BW117" s="353"/>
      <x:c r="BX117" s="353"/>
      <x:c r="BY117" s="353"/>
      <x:c r="BZ117" s="353"/>
      <x:c r="CA117" s="353"/>
      <x:c r="CB117" s="353"/>
      <x:c r="CC117" s="353"/>
      <x:c r="CD117" s="353"/>
      <x:c r="CE117" s="355"/>
      <x:c r="CG117" s="1054"/>
      <x:c r="CH117" s="1055"/>
      <x:c r="CI117" s="344"/>
      <x:c r="CJ117" s="345"/>
      <x:c r="CK117" s="345"/>
      <x:c r="CL117" s="345"/>
      <x:c r="CM117" s="345"/>
      <x:c r="CN117" s="345"/>
      <x:c r="CO117" s="345"/>
      <x:c r="CP117" s="345"/>
      <x:c r="CQ117" s="345"/>
      <x:c r="CR117" s="345"/>
      <x:c r="CS117" s="346"/>
      <x:c r="CT117" s="308"/>
      <x:c r="CU117" s="351"/>
      <x:c r="CV117" s="308"/>
      <x:c r="CW117" s="309"/>
      <x:c r="CX117" s="309"/>
      <x:c r="CY117" s="309"/>
      <x:c r="CZ117" s="309"/>
      <x:c r="DA117" s="309"/>
      <x:c r="DB117" s="310"/>
      <x:c r="DC117" s="8"/>
      <x:c r="DD117" s="8"/>
      <x:c r="DE117" s="8"/>
      <x:c r="DF117" s="8"/>
      <x:c r="DG117" s="8"/>
    </x:row>
    <x:row r="118" ht="6" customHeight="1">
      <x:c r="A118" s="1022"/>
      <x:c r="B118" s="1022"/>
      <x:c r="C118" s="1022"/>
      <x:c r="D118" s="1022"/>
      <x:c r="E118" s="1022"/>
      <x:c r="F118" s="1022"/>
      <x:c r="G118" s="1022"/>
      <x:c r="H118" s="1022"/>
      <x:c r="I118" s="1022"/>
      <x:c r="J118" s="1022"/>
      <x:c r="K118" s="1022"/>
      <x:c r="L118" s="1022"/>
      <x:c r="M118" s="1022"/>
      <x:c r="N118" s="1022"/>
      <x:c r="O118" s="1022"/>
      <x:c r="P118" s="1022"/>
      <x:c r="Q118" s="1022"/>
      <x:c r="BA118" s="7"/>
      <x:c r="BB118" s="7"/>
      <x:c r="BD118" s="360" t="s">
        <x:v>319</x:v>
      </x:c>
      <x:c r="BE118" s="361"/>
      <x:c r="BF118" s="361"/>
      <x:c r="BG118" s="361"/>
      <x:c r="BH118" s="361"/>
      <x:c r="BI118" s="361"/>
      <x:c r="BJ118" s="361"/>
      <x:c r="BK118" s="353"/>
      <x:c r="BL118" s="353"/>
      <x:c r="BM118" s="353"/>
      <x:c r="BN118" s="353"/>
      <x:c r="BO118" s="353"/>
      <x:c r="BP118" s="353"/>
      <x:c r="BQ118" s="353"/>
      <x:c r="BR118" s="353"/>
      <x:c r="BS118" s="353"/>
      <x:c r="BT118" s="353"/>
      <x:c r="BU118" s="353"/>
      <x:c r="BV118" s="353"/>
      <x:c r="BW118" s="353"/>
      <x:c r="BX118" s="353"/>
      <x:c r="BY118" s="353"/>
      <x:c r="BZ118" s="353"/>
      <x:c r="CA118" s="353"/>
      <x:c r="CB118" s="353"/>
      <x:c r="CC118" s="353"/>
      <x:c r="CD118" s="353"/>
      <x:c r="CE118" s="355"/>
      <x:c r="CG118" s="1054"/>
      <x:c r="CH118" s="1055"/>
      <x:c r="CI118" s="357"/>
      <x:c r="CJ118" s="358"/>
      <x:c r="CK118" s="358"/>
      <x:c r="CL118" s="358"/>
      <x:c r="CM118" s="358"/>
      <x:c r="CN118" s="358"/>
      <x:c r="CO118" s="358"/>
      <x:c r="CP118" s="358"/>
      <x:c r="CQ118" s="358"/>
      <x:c r="CR118" s="358"/>
      <x:c r="CS118" s="359"/>
      <x:c r="CT118" s="311"/>
      <x:c r="CU118" s="352"/>
      <x:c r="CV118" s="311"/>
      <x:c r="CW118" s="312"/>
      <x:c r="CX118" s="312"/>
      <x:c r="CY118" s="312"/>
      <x:c r="CZ118" s="312"/>
      <x:c r="DA118" s="312"/>
      <x:c r="DB118" s="313"/>
      <x:c r="DC118" s="8"/>
      <x:c r="DD118" s="8"/>
      <x:c r="DE118" s="8"/>
      <x:c r="DF118" s="8"/>
      <x:c r="DG118" s="8"/>
    </x:row>
    <x:row r="119" ht="6" customHeight="1">
      <x:c r="A119" s="1022"/>
      <x:c r="B119" s="1022"/>
      <x:c r="C119" s="1022"/>
      <x:c r="D119" s="1022"/>
      <x:c r="E119" s="1022"/>
      <x:c r="F119" s="1022"/>
      <x:c r="G119" s="1022"/>
      <x:c r="H119" s="1022"/>
      <x:c r="I119" s="1022"/>
      <x:c r="J119" s="1022"/>
      <x:c r="K119" s="1022"/>
      <x:c r="L119" s="1022"/>
      <x:c r="M119" s="1022"/>
      <x:c r="N119" s="1022"/>
      <x:c r="O119" s="1022"/>
      <x:c r="P119" s="1022"/>
      <x:c r="Q119" s="1022"/>
      <x:c r="S119" s="263" t="s">
        <x:v>332</x:v>
      </x:c>
      <x:c r="T119" s="264"/>
      <x:c r="U119" s="264"/>
      <x:c r="V119" s="264"/>
      <x:c r="W119" s="264"/>
      <x:c r="X119" s="264"/>
      <x:c r="Y119" s="264"/>
      <x:c r="Z119" s="264"/>
      <x:c r="AA119" s="264"/>
      <x:c r="AB119" s="264"/>
      <x:c r="AC119" s="264"/>
      <x:c r="AD119" s="264"/>
      <x:c r="AE119" s="264"/>
      <x:c r="AF119" s="264"/>
      <x:c r="AG119" s="264"/>
      <x:c r="AH119" s="264"/>
      <x:c r="AI119" s="264"/>
      <x:c r="AJ119" s="264"/>
      <x:c r="AK119" s="264"/>
      <x:c r="AL119" s="264"/>
      <x:c r="AM119" s="264"/>
      <x:c r="AN119" s="264"/>
      <x:c r="AO119" s="264"/>
      <x:c r="AP119" s="264"/>
      <x:c r="AQ119" s="406"/>
      <x:c r="AR119" s="413" t="e">
        <x:f>AR113+AV116</x:f>
      </x:c>
      <x:c r="AS119" s="414"/>
      <x:c r="AT119" s="414"/>
      <x:c r="AU119" s="414"/>
      <x:c r="AV119" s="414"/>
      <x:c r="AW119" s="414"/>
      <x:c r="AX119" s="414"/>
      <x:c r="AY119" s="414"/>
      <x:c r="AZ119" s="414"/>
      <x:c r="BA119" s="414"/>
      <x:c r="BB119" s="415"/>
      <x:c r="BC119" s="112" t="s">
        <x:v>333</x:v>
      </x:c>
      <x:c r="BD119" s="362"/>
      <x:c r="BE119" s="363"/>
      <x:c r="BF119" s="363"/>
      <x:c r="BG119" s="363"/>
      <x:c r="BH119" s="363"/>
      <x:c r="BI119" s="363"/>
      <x:c r="BJ119" s="363"/>
      <x:c r="BK119" s="354"/>
      <x:c r="BL119" s="354"/>
      <x:c r="BM119" s="354"/>
      <x:c r="BN119" s="354"/>
      <x:c r="BO119" s="354"/>
      <x:c r="BP119" s="354"/>
      <x:c r="BQ119" s="354"/>
      <x:c r="BR119" s="354"/>
      <x:c r="BS119" s="354"/>
      <x:c r="BT119" s="354"/>
      <x:c r="BU119" s="354"/>
      <x:c r="BV119" s="354"/>
      <x:c r="BW119" s="354"/>
      <x:c r="BX119" s="354"/>
      <x:c r="BY119" s="354"/>
      <x:c r="BZ119" s="354"/>
      <x:c r="CA119" s="354"/>
      <x:c r="CB119" s="354"/>
      <x:c r="CC119" s="354"/>
      <x:c r="CD119" s="354"/>
      <x:c r="CE119" s="356"/>
      <x:c r="CG119" s="1037" t="s">
        <x:v>334</x:v>
      </x:c>
      <x:c r="CH119" s="1038"/>
      <x:c r="CI119" s="332" t="s">
        <x:v>328</x:v>
      </x:c>
      <x:c r="CJ119" s="333"/>
      <x:c r="CK119" s="333"/>
      <x:c r="CL119" s="333"/>
      <x:c r="CM119" s="333"/>
      <x:c r="CN119" s="333"/>
      <x:c r="CO119" s="333"/>
      <x:c r="CP119" s="333"/>
      <x:c r="CQ119" s="333"/>
      <x:c r="CR119" s="333"/>
      <x:c r="CS119" s="334"/>
      <x:c r="CT119" s="314" t="s">
        <x:v>22</x:v>
      </x:c>
      <x:c r="CU119" s="1056"/>
      <x:c r="CV119" s="323"/>
      <x:c r="CW119" s="324"/>
      <x:c r="CX119" s="325"/>
      <x:c r="CY119" s="323"/>
      <x:c r="CZ119" s="324"/>
      <x:c r="DA119" s="324"/>
      <x:c r="DB119" s="324"/>
      <x:c r="DC119" s="8"/>
      <x:c r="DD119" s="8"/>
      <x:c r="DE119" s="8"/>
      <x:c r="DF119" s="8"/>
      <x:c r="DG119" s="8"/>
    </x:row>
    <x:row r="120" ht="6" customHeight="1">
      <x:c r="A120" s="1022"/>
      <x:c r="B120" s="1022"/>
      <x:c r="C120" s="1022"/>
      <x:c r="D120" s="1022"/>
      <x:c r="E120" s="1022"/>
      <x:c r="F120" s="1022"/>
      <x:c r="G120" s="1022"/>
      <x:c r="H120" s="1022"/>
      <x:c r="I120" s="1022"/>
      <x:c r="J120" s="1022"/>
      <x:c r="K120" s="1022"/>
      <x:c r="L120" s="1022"/>
      <x:c r="M120" s="1022"/>
      <x:c r="N120" s="1022"/>
      <x:c r="O120" s="1022"/>
      <x:c r="P120" s="1022"/>
      <x:c r="Q120" s="1022"/>
      <x:c r="S120" s="407"/>
      <x:c r="T120" s="408"/>
      <x:c r="U120" s="408"/>
      <x:c r="V120" s="408"/>
      <x:c r="W120" s="408"/>
      <x:c r="X120" s="408"/>
      <x:c r="Y120" s="408"/>
      <x:c r="Z120" s="408"/>
      <x:c r="AA120" s="408"/>
      <x:c r="AB120" s="408"/>
      <x:c r="AC120" s="408"/>
      <x:c r="AD120" s="408"/>
      <x:c r="AE120" s="408"/>
      <x:c r="AF120" s="408"/>
      <x:c r="AG120" s="408"/>
      <x:c r="AH120" s="408"/>
      <x:c r="AI120" s="408"/>
      <x:c r="AJ120" s="408"/>
      <x:c r="AK120" s="408"/>
      <x:c r="AL120" s="408"/>
      <x:c r="AM120" s="408"/>
      <x:c r="AN120" s="408"/>
      <x:c r="AO120" s="408"/>
      <x:c r="AP120" s="408"/>
      <x:c r="AQ120" s="409"/>
      <x:c r="AR120" s="416"/>
      <x:c r="AS120" s="417"/>
      <x:c r="AT120" s="417"/>
      <x:c r="AU120" s="417"/>
      <x:c r="AV120" s="417"/>
      <x:c r="AW120" s="417"/>
      <x:c r="AX120" s="417"/>
      <x:c r="AY120" s="417"/>
      <x:c r="AZ120" s="417"/>
      <x:c r="BA120" s="417"/>
      <x:c r="BB120" s="418"/>
      <x:c r="BD120" s="360" t="s">
        <x:v>319</x:v>
      </x:c>
      <x:c r="BE120" s="361"/>
      <x:c r="BF120" s="361"/>
      <x:c r="BG120" s="361"/>
      <x:c r="BH120" s="361"/>
      <x:c r="BI120" s="361"/>
      <x:c r="BJ120" s="361"/>
      <x:c r="BK120" s="353"/>
      <x:c r="BL120" s="353"/>
      <x:c r="BM120" s="353"/>
      <x:c r="BN120" s="353"/>
      <x:c r="BO120" s="353"/>
      <x:c r="BP120" s="353"/>
      <x:c r="BQ120" s="353"/>
      <x:c r="BR120" s="353"/>
      <x:c r="BS120" s="353"/>
      <x:c r="BT120" s="353"/>
      <x:c r="BU120" s="353"/>
      <x:c r="BV120" s="353"/>
      <x:c r="BW120" s="353"/>
      <x:c r="BX120" s="353"/>
      <x:c r="BY120" s="353"/>
      <x:c r="BZ120" s="353"/>
      <x:c r="CA120" s="353"/>
      <x:c r="CB120" s="353"/>
      <x:c r="CC120" s="353"/>
      <x:c r="CD120" s="353"/>
      <x:c r="CE120" s="355"/>
      <x:c r="CG120" s="1037"/>
      <x:c r="CH120" s="1038"/>
      <x:c r="CI120" s="335"/>
      <x:c r="CJ120" s="336"/>
      <x:c r="CK120" s="336"/>
      <x:c r="CL120" s="336"/>
      <x:c r="CM120" s="336"/>
      <x:c r="CN120" s="336"/>
      <x:c r="CO120" s="336"/>
      <x:c r="CP120" s="336"/>
      <x:c r="CQ120" s="336"/>
      <x:c r="CR120" s="336"/>
      <x:c r="CS120" s="337"/>
      <x:c r="CT120" s="317"/>
      <x:c r="CU120" s="1057"/>
      <x:c r="CV120" s="326"/>
      <x:c r="CW120" s="327"/>
      <x:c r="CX120" s="328"/>
      <x:c r="CY120" s="326"/>
      <x:c r="CZ120" s="327"/>
      <x:c r="DA120" s="327"/>
      <x:c r="DB120" s="327"/>
      <x:c r="DC120" s="8"/>
      <x:c r="DD120" s="8"/>
      <x:c r="DE120" s="8"/>
      <x:c r="DF120" s="8"/>
      <x:c r="DG120" s="8"/>
    </x:row>
    <x:row r="121" ht="6" customHeight="1">
      <x:c r="A121" s="1022"/>
      <x:c r="B121" s="1022"/>
      <x:c r="C121" s="1022"/>
      <x:c r="D121" s="1022"/>
      <x:c r="E121" s="1022"/>
      <x:c r="F121" s="1022"/>
      <x:c r="G121" s="1022"/>
      <x:c r="H121" s="1022"/>
      <x:c r="I121" s="1022"/>
      <x:c r="J121" s="1022"/>
      <x:c r="K121" s="1022"/>
      <x:c r="L121" s="1022"/>
      <x:c r="M121" s="1022"/>
      <x:c r="N121" s="1022"/>
      <x:c r="O121" s="1022"/>
      <x:c r="P121" s="1022"/>
      <x:c r="Q121" s="1022"/>
      <x:c r="S121" s="410"/>
      <x:c r="T121" s="411"/>
      <x:c r="U121" s="411"/>
      <x:c r="V121" s="411"/>
      <x:c r="W121" s="411"/>
      <x:c r="X121" s="411"/>
      <x:c r="Y121" s="411"/>
      <x:c r="Z121" s="411"/>
      <x:c r="AA121" s="411"/>
      <x:c r="AB121" s="411"/>
      <x:c r="AC121" s="411"/>
      <x:c r="AD121" s="411"/>
      <x:c r="AE121" s="411"/>
      <x:c r="AF121" s="411"/>
      <x:c r="AG121" s="411"/>
      <x:c r="AH121" s="411"/>
      <x:c r="AI121" s="411"/>
      <x:c r="AJ121" s="411"/>
      <x:c r="AK121" s="411"/>
      <x:c r="AL121" s="411"/>
      <x:c r="AM121" s="411"/>
      <x:c r="AN121" s="411"/>
      <x:c r="AO121" s="411"/>
      <x:c r="AP121" s="411"/>
      <x:c r="AQ121" s="412"/>
      <x:c r="AR121" s="419"/>
      <x:c r="AS121" s="420"/>
      <x:c r="AT121" s="420"/>
      <x:c r="AU121" s="420"/>
      <x:c r="AV121" s="420"/>
      <x:c r="AW121" s="420"/>
      <x:c r="AX121" s="420"/>
      <x:c r="AY121" s="420"/>
      <x:c r="AZ121" s="420"/>
      <x:c r="BA121" s="420"/>
      <x:c r="BB121" s="421"/>
      <x:c r="BD121" s="362"/>
      <x:c r="BE121" s="363"/>
      <x:c r="BF121" s="363"/>
      <x:c r="BG121" s="363"/>
      <x:c r="BH121" s="363"/>
      <x:c r="BI121" s="363"/>
      <x:c r="BJ121" s="363"/>
      <x:c r="BK121" s="354"/>
      <x:c r="BL121" s="354"/>
      <x:c r="BM121" s="354"/>
      <x:c r="BN121" s="354"/>
      <x:c r="BO121" s="354"/>
      <x:c r="BP121" s="354"/>
      <x:c r="BQ121" s="354"/>
      <x:c r="BR121" s="354"/>
      <x:c r="BS121" s="354"/>
      <x:c r="BT121" s="354"/>
      <x:c r="BU121" s="354"/>
      <x:c r="BV121" s="354"/>
      <x:c r="BW121" s="354"/>
      <x:c r="BX121" s="354"/>
      <x:c r="BY121" s="354"/>
      <x:c r="BZ121" s="354"/>
      <x:c r="CA121" s="354"/>
      <x:c r="CB121" s="354"/>
      <x:c r="CC121" s="354"/>
      <x:c r="CD121" s="354"/>
      <x:c r="CE121" s="356"/>
      <x:c r="CG121" s="1037"/>
      <x:c r="CH121" s="1038"/>
      <x:c r="CI121" s="338"/>
      <x:c r="CJ121" s="339"/>
      <x:c r="CK121" s="339"/>
      <x:c r="CL121" s="339"/>
      <x:c r="CM121" s="339"/>
      <x:c r="CN121" s="339"/>
      <x:c r="CO121" s="339"/>
      <x:c r="CP121" s="339"/>
      <x:c r="CQ121" s="339"/>
      <x:c r="CR121" s="339"/>
      <x:c r="CS121" s="340"/>
      <x:c r="CT121" s="317"/>
      <x:c r="CU121" s="1057"/>
      <x:c r="CV121" s="326"/>
      <x:c r="CW121" s="327"/>
      <x:c r="CX121" s="328"/>
      <x:c r="CY121" s="326"/>
      <x:c r="CZ121" s="327"/>
      <x:c r="DA121" s="327"/>
      <x:c r="DB121" s="327"/>
      <x:c r="DC121" s="8"/>
      <x:c r="DD121" s="8"/>
      <x:c r="DE121" s="8"/>
      <x:c r="DF121" s="8"/>
      <x:c r="DG121" s="8"/>
    </x:row>
    <x:row r="122" ht="6" customHeight="1">
      <x:c r="A122" s="108"/>
      <x:c r="B122" s="108"/>
      <x:c r="C122" s="108"/>
      <x:c r="D122" s="108"/>
      <x:c r="E122" s="108"/>
      <x:c r="F122" s="108"/>
      <x:c r="G122" s="108"/>
      <x:c r="H122" s="108"/>
      <x:c r="I122" s="108"/>
      <x:c r="J122" s="108"/>
      <x:c r="K122" s="108"/>
      <x:c r="L122" s="108"/>
      <x:c r="M122" s="108"/>
      <x:c r="N122" s="108"/>
      <x:c r="O122" s="108"/>
      <x:c r="P122" s="108"/>
      <x:c r="Q122" s="108"/>
      <x:c r="BC122" s="112" t="s">
        <x:v>333</x:v>
      </x:c>
      <x:c r="BD122" s="422" t="s">
        <x:v>335</x:v>
      </x:c>
      <x:c r="BE122" s="423"/>
      <x:c r="BF122" s="423"/>
      <x:c r="BG122" s="423"/>
      <x:c r="BH122" s="423"/>
      <x:c r="BI122" s="423"/>
      <x:c r="BJ122" s="423"/>
      <x:c r="BK122" s="423"/>
      <x:c r="BL122" s="423"/>
      <x:c r="BM122" s="423"/>
      <x:c r="BN122" s="423"/>
      <x:c r="BO122" s="423"/>
      <x:c r="BP122" s="423"/>
      <x:c r="BQ122" s="423"/>
      <x:c r="BR122" s="423"/>
      <x:c r="BS122" s="423"/>
      <x:c r="BT122" s="423"/>
      <x:c r="BU122" s="423"/>
      <x:c r="BV122" s="423"/>
      <x:c r="BW122" s="423"/>
      <x:c r="BX122" s="423"/>
      <x:c r="BY122" s="423"/>
      <x:c r="BZ122" s="423"/>
      <x:c r="CA122" s="423"/>
      <x:c r="CB122" s="423"/>
      <x:c r="CC122" s="423"/>
      <x:c r="CD122" s="423"/>
      <x:c r="CE122" s="424"/>
      <x:c r="CG122" s="1037"/>
      <x:c r="CH122" s="1038"/>
      <x:c r="CI122" s="341" t="s">
        <x:v>331</x:v>
      </x:c>
      <x:c r="CJ122" s="342"/>
      <x:c r="CK122" s="342"/>
      <x:c r="CL122" s="342"/>
      <x:c r="CM122" s="342"/>
      <x:c r="CN122" s="342"/>
      <x:c r="CO122" s="342"/>
      <x:c r="CP122" s="342"/>
      <x:c r="CQ122" s="342"/>
      <x:c r="CR122" s="342"/>
      <x:c r="CS122" s="343"/>
      <x:c r="CT122" s="317"/>
      <x:c r="CU122" s="1057"/>
      <x:c r="CV122" s="326"/>
      <x:c r="CW122" s="327"/>
      <x:c r="CX122" s="328"/>
      <x:c r="CY122" s="326"/>
      <x:c r="CZ122" s="327"/>
      <x:c r="DA122" s="327"/>
      <x:c r="DB122" s="327"/>
      <x:c r="DC122" s="8"/>
      <x:c r="DD122" s="1045" t="s">
        <x:v>336</x:v>
      </x:c>
      <x:c r="DE122" s="1033"/>
      <x:c r="DF122" s="1033"/>
      <x:c r="DG122" s="1046"/>
    </x:row>
    <x:row r="123" ht="6" customHeight="1">
      <x:c r="A123" s="108"/>
      <x:c r="B123" s="108"/>
      <x:c r="C123" s="108"/>
      <x:c r="D123" s="108"/>
      <x:c r="E123" s="108"/>
      <x:c r="F123" s="108"/>
      <x:c r="G123" s="108"/>
      <x:c r="H123" s="108"/>
      <x:c r="I123" s="108"/>
      <x:c r="J123" s="108"/>
      <x:c r="K123" s="108"/>
      <x:c r="L123" s="108"/>
      <x:c r="M123" s="108"/>
      <x:c r="N123" s="108"/>
      <x:c r="O123" s="108"/>
      <x:c r="P123" s="108"/>
      <x:c r="Q123" s="108"/>
      <x:c r="S123" s="392" t="s">
        <x:v>337</x:v>
      </x:c>
      <x:c r="T123" s="393"/>
      <x:c r="U123" s="393"/>
      <x:c r="V123" s="393"/>
      <x:c r="W123" s="393"/>
      <x:c r="X123" s="394"/>
      <x:c r="Y123" s="398" t="s">
        <x:v>338</x:v>
      </x:c>
      <x:c r="Z123" s="399"/>
      <x:c r="AA123" s="399"/>
      <x:c r="AB123" s="400"/>
      <x:c r="AC123" s="366" t="e">
        <x:f>AV74*0.2</x:f>
      </x:c>
      <x:c r="AD123" s="367"/>
      <x:c r="AE123" s="367"/>
      <x:c r="AF123" s="367"/>
      <x:c r="AG123" s="367"/>
      <x:c r="AH123" s="368"/>
      <x:c r="AI123" s="404" t="s">
        <x:v>339</x:v>
      </x:c>
      <x:c r="AJ123" s="399"/>
      <x:c r="AK123" s="399"/>
      <x:c r="AL123" s="400"/>
      <x:c r="AM123" s="366" t="e">
        <x:f>AV74*0.3</x:f>
      </x:c>
      <x:c r="AN123" s="367"/>
      <x:c r="AO123" s="367"/>
      <x:c r="AP123" s="367"/>
      <x:c r="AQ123" s="367"/>
      <x:c r="AR123" s="368"/>
      <x:c r="AS123" s="404" t="s">
        <x:v>340</x:v>
      </x:c>
      <x:c r="AT123" s="399"/>
      <x:c r="AU123" s="399"/>
      <x:c r="AV123" s="400"/>
      <x:c r="AW123" s="366" t="e">
        <x:f>AV74*0.5</x:f>
      </x:c>
      <x:c r="AX123" s="367"/>
      <x:c r="AY123" s="367"/>
      <x:c r="AZ123" s="367"/>
      <x:c r="BA123" s="367"/>
      <x:c r="BB123" s="372"/>
      <x:c r="BD123" s="425"/>
      <x:c r="BE123" s="426"/>
      <x:c r="BF123" s="426"/>
      <x:c r="BG123" s="426"/>
      <x:c r="BH123" s="426"/>
      <x:c r="BI123" s="426"/>
      <x:c r="BJ123" s="426"/>
      <x:c r="BK123" s="426"/>
      <x:c r="BL123" s="426"/>
      <x:c r="BM123" s="426"/>
      <x:c r="BN123" s="426"/>
      <x:c r="BO123" s="426"/>
      <x:c r="BP123" s="426"/>
      <x:c r="BQ123" s="426"/>
      <x:c r="BR123" s="426"/>
      <x:c r="BS123" s="426"/>
      <x:c r="BT123" s="426"/>
      <x:c r="BU123" s="426"/>
      <x:c r="BV123" s="426"/>
      <x:c r="BW123" s="426"/>
      <x:c r="BX123" s="426"/>
      <x:c r="BY123" s="426"/>
      <x:c r="BZ123" s="426"/>
      <x:c r="CA123" s="426"/>
      <x:c r="CB123" s="426"/>
      <x:c r="CC123" s="426"/>
      <x:c r="CD123" s="426"/>
      <x:c r="CE123" s="427"/>
      <x:c r="CG123" s="1037"/>
      <x:c r="CH123" s="1038"/>
      <x:c r="CI123" s="344"/>
      <x:c r="CJ123" s="345"/>
      <x:c r="CK123" s="345"/>
      <x:c r="CL123" s="345"/>
      <x:c r="CM123" s="345"/>
      <x:c r="CN123" s="345"/>
      <x:c r="CO123" s="345"/>
      <x:c r="CP123" s="345"/>
      <x:c r="CQ123" s="345"/>
      <x:c r="CR123" s="345"/>
      <x:c r="CS123" s="346"/>
      <x:c r="CT123" s="317"/>
      <x:c r="CU123" s="1057"/>
      <x:c r="CV123" s="326"/>
      <x:c r="CW123" s="327"/>
      <x:c r="CX123" s="328"/>
      <x:c r="CY123" s="326"/>
      <x:c r="CZ123" s="327"/>
      <x:c r="DA123" s="327"/>
      <x:c r="DB123" s="327"/>
      <x:c r="DC123" s="8"/>
      <x:c r="DD123" s="1047"/>
      <x:c r="DE123" s="1048"/>
      <x:c r="DF123" s="1048"/>
      <x:c r="DG123" s="1049"/>
    </x:row>
    <x:row r="124" ht="6" customHeight="1">
      <x:c r="A124" s="107"/>
      <x:c r="B124" s="107"/>
      <x:c r="C124" s="107"/>
      <x:c r="D124" s="107"/>
      <x:c r="E124" s="107"/>
      <x:c r="F124" s="107"/>
      <x:c r="G124" s="107"/>
      <x:c r="H124" s="107"/>
      <x:c r="I124" s="107"/>
      <x:c r="J124" s="107"/>
      <x:c r="K124" s="107"/>
      <x:c r="L124" s="107"/>
      <x:c r="M124" s="107"/>
      <x:c r="N124" s="107"/>
      <x:c r="O124" s="107"/>
      <x:c r="P124" s="107"/>
      <x:c r="Q124" s="107"/>
      <x:c r="S124" s="395"/>
      <x:c r="T124" s="396"/>
      <x:c r="U124" s="396"/>
      <x:c r="V124" s="396"/>
      <x:c r="W124" s="396"/>
      <x:c r="X124" s="397"/>
      <x:c r="Y124" s="401"/>
      <x:c r="Z124" s="402"/>
      <x:c r="AA124" s="402"/>
      <x:c r="AB124" s="403"/>
      <x:c r="AC124" s="369"/>
      <x:c r="AD124" s="370"/>
      <x:c r="AE124" s="370"/>
      <x:c r="AF124" s="370"/>
      <x:c r="AG124" s="370"/>
      <x:c r="AH124" s="371"/>
      <x:c r="AI124" s="405"/>
      <x:c r="AJ124" s="402"/>
      <x:c r="AK124" s="402"/>
      <x:c r="AL124" s="403"/>
      <x:c r="AM124" s="369"/>
      <x:c r="AN124" s="370"/>
      <x:c r="AO124" s="370"/>
      <x:c r="AP124" s="370"/>
      <x:c r="AQ124" s="370"/>
      <x:c r="AR124" s="371"/>
      <x:c r="AS124" s="405"/>
      <x:c r="AT124" s="402"/>
      <x:c r="AU124" s="402"/>
      <x:c r="AV124" s="403"/>
      <x:c r="AW124" s="369"/>
      <x:c r="AX124" s="370"/>
      <x:c r="AY124" s="370"/>
      <x:c r="AZ124" s="370"/>
      <x:c r="BA124" s="370"/>
      <x:c r="BB124" s="373"/>
      <x:c r="BD124" s="422"/>
      <x:c r="BE124" s="423"/>
      <x:c r="BF124" s="423"/>
      <x:c r="BG124" s="423"/>
      <x:c r="BH124" s="423"/>
      <x:c r="BI124" s="423"/>
      <x:c r="BJ124" s="423"/>
      <x:c r="BK124" s="423"/>
      <x:c r="BL124" s="423"/>
      <x:c r="BM124" s="423"/>
      <x:c r="BN124" s="423"/>
      <x:c r="BO124" s="423"/>
      <x:c r="BP124" s="423"/>
      <x:c r="BQ124" s="423"/>
      <x:c r="BR124" s="423"/>
      <x:c r="BS124" s="423"/>
      <x:c r="BT124" s="423"/>
      <x:c r="BU124" s="423"/>
      <x:c r="BV124" s="423"/>
      <x:c r="BW124" s="423"/>
      <x:c r="BX124" s="423"/>
      <x:c r="BY124" s="423"/>
      <x:c r="BZ124" s="423"/>
      <x:c r="CA124" s="423"/>
      <x:c r="CB124" s="423"/>
      <x:c r="CC124" s="423"/>
      <x:c r="CD124" s="423"/>
      <x:c r="CE124" s="424"/>
      <x:c r="CG124" s="1037"/>
      <x:c r="CH124" s="1038"/>
      <x:c r="CI124" s="357"/>
      <x:c r="CJ124" s="358"/>
      <x:c r="CK124" s="358"/>
      <x:c r="CL124" s="358"/>
      <x:c r="CM124" s="358"/>
      <x:c r="CN124" s="358"/>
      <x:c r="CO124" s="358"/>
      <x:c r="CP124" s="358"/>
      <x:c r="CQ124" s="358"/>
      <x:c r="CR124" s="358"/>
      <x:c r="CS124" s="359"/>
      <x:c r="CT124" s="1058"/>
      <x:c r="CU124" s="1059"/>
      <x:c r="CV124" s="329"/>
      <x:c r="CW124" s="330"/>
      <x:c r="CX124" s="331"/>
      <x:c r="CY124" s="329"/>
      <x:c r="CZ124" s="330"/>
      <x:c r="DA124" s="330"/>
      <x:c r="DB124" s="330"/>
      <x:c r="DC124" s="8"/>
      <x:c r="DD124" s="1043"/>
      <x:c r="DE124" s="494"/>
      <x:c r="DF124" s="494"/>
      <x:c r="DG124" s="502"/>
    </x:row>
    <x:row r="125" ht="6" customHeight="1">
      <x:c r="A125" s="107"/>
      <x:c r="B125" s="107"/>
      <x:c r="C125" s="107"/>
      <x:c r="D125" s="107"/>
      <x:c r="E125" s="107"/>
      <x:c r="F125" s="107"/>
      <x:c r="G125" s="107"/>
      <x:c r="H125" s="107"/>
      <x:c r="I125" s="107"/>
      <x:c r="J125" s="107"/>
      <x:c r="K125" s="107"/>
      <x:c r="L125" s="107"/>
      <x:c r="M125" s="107"/>
      <x:c r="N125" s="107"/>
      <x:c r="O125" s="107"/>
      <x:c r="P125" s="107"/>
      <x:c r="Q125" s="107"/>
      <x:c r="BD125" s="425"/>
      <x:c r="BE125" s="426"/>
      <x:c r="BF125" s="426"/>
      <x:c r="BG125" s="426"/>
      <x:c r="BH125" s="426"/>
      <x:c r="BI125" s="426"/>
      <x:c r="BJ125" s="426"/>
      <x:c r="BK125" s="426"/>
      <x:c r="BL125" s="426"/>
      <x:c r="BM125" s="426"/>
      <x:c r="BN125" s="426"/>
      <x:c r="BO125" s="426"/>
      <x:c r="BP125" s="426"/>
      <x:c r="BQ125" s="426"/>
      <x:c r="BR125" s="426"/>
      <x:c r="BS125" s="426"/>
      <x:c r="BT125" s="426"/>
      <x:c r="BU125" s="426"/>
      <x:c r="BV125" s="426"/>
      <x:c r="BW125" s="426"/>
      <x:c r="BX125" s="426"/>
      <x:c r="BY125" s="426"/>
      <x:c r="BZ125" s="426"/>
      <x:c r="CA125" s="426"/>
      <x:c r="CB125" s="426"/>
      <x:c r="CC125" s="426"/>
      <x:c r="CD125" s="426"/>
      <x:c r="CE125" s="427"/>
      <x:c r="CG125" s="1037" t="s">
        <x:v>341</x:v>
      </x:c>
      <x:c r="CH125" s="1038"/>
      <x:c r="CI125" s="332" t="s">
        <x:v>328</x:v>
      </x:c>
      <x:c r="CJ125" s="333"/>
      <x:c r="CK125" s="333"/>
      <x:c r="CL125" s="333"/>
      <x:c r="CM125" s="333"/>
      <x:c r="CN125" s="333"/>
      <x:c r="CO125" s="333"/>
      <x:c r="CP125" s="333"/>
      <x:c r="CQ125" s="333"/>
      <x:c r="CR125" s="333"/>
      <x:c r="CS125" s="334"/>
      <x:c r="CT125" s="314" t="s">
        <x:v>22</x:v>
      </x:c>
      <x:c r="CU125" s="1056"/>
      <x:c r="CV125" s="314"/>
      <x:c r="CW125" s="315"/>
      <x:c r="CX125" s="315"/>
      <x:c r="CY125" s="315"/>
      <x:c r="CZ125" s="315"/>
      <x:c r="DA125" s="315"/>
      <x:c r="DB125" s="316"/>
      <x:c r="DC125" s="8"/>
      <x:c r="DD125" s="344"/>
      <x:c r="DE125" s="345"/>
      <x:c r="DF125" s="345"/>
      <x:c r="DG125" s="1044"/>
    </x:row>
    <x:row r="126" ht="6" customHeight="1">
      <x:c r="A126" s="107"/>
      <x:c r="B126" s="107"/>
      <x:c r="C126" s="107"/>
      <x:c r="D126" s="107"/>
      <x:c r="E126" s="107"/>
      <x:c r="F126" s="107"/>
      <x:c r="G126" s="107"/>
      <x:c r="H126" s="107"/>
      <x:c r="I126" s="107"/>
      <x:c r="J126" s="107"/>
      <x:c r="K126" s="107"/>
      <x:c r="L126" s="107"/>
      <x:c r="M126" s="107"/>
      <x:c r="N126" s="107"/>
      <x:c r="O126" s="107"/>
      <x:c r="P126" s="107"/>
      <x:c r="Q126" s="107"/>
      <x:c r="S126" s="374" t="s">
        <x:v>211</x:v>
      </x:c>
      <x:c r="T126" s="375"/>
      <x:c r="U126" s="375"/>
      <x:c r="V126" s="375"/>
      <x:c r="W126" s="375"/>
      <x:c r="X126" s="375"/>
      <x:c r="Y126" s="375"/>
      <x:c r="Z126" s="375"/>
      <x:c r="AA126" s="375"/>
      <x:c r="AB126" s="375"/>
      <x:c r="AC126" s="375"/>
      <x:c r="AD126" s="375"/>
      <x:c r="AE126" s="375"/>
      <x:c r="AF126" s="375"/>
      <x:c r="AG126" s="375"/>
      <x:c r="AH126" s="375"/>
      <x:c r="AI126" s="375"/>
      <x:c r="AJ126" s="375"/>
      <x:c r="AK126" s="375"/>
      <x:c r="AL126" s="375"/>
      <x:c r="AM126" s="375"/>
      <x:c r="AN126" s="375"/>
      <x:c r="AO126" s="375"/>
      <x:c r="AP126" s="375"/>
      <x:c r="AQ126" s="375"/>
      <x:c r="AR126" s="375"/>
      <x:c r="AS126" s="375"/>
      <x:c r="AT126" s="375"/>
      <x:c r="AU126" s="375"/>
      <x:c r="AV126" s="375"/>
      <x:c r="AW126" s="375"/>
      <x:c r="AX126" s="375"/>
      <x:c r="AY126" s="375"/>
      <x:c r="AZ126" s="375"/>
      <x:c r="BA126" s="375"/>
      <x:c r="BB126" s="380"/>
      <x:c r="BD126" s="425"/>
      <x:c r="BE126" s="426"/>
      <x:c r="BF126" s="426"/>
      <x:c r="BG126" s="426"/>
      <x:c r="BH126" s="426"/>
      <x:c r="BI126" s="426"/>
      <x:c r="BJ126" s="426"/>
      <x:c r="BK126" s="426"/>
      <x:c r="BL126" s="426"/>
      <x:c r="BM126" s="426"/>
      <x:c r="BN126" s="426"/>
      <x:c r="BO126" s="426"/>
      <x:c r="BP126" s="426"/>
      <x:c r="BQ126" s="426"/>
      <x:c r="BR126" s="426"/>
      <x:c r="BS126" s="426"/>
      <x:c r="BT126" s="426"/>
      <x:c r="BU126" s="426"/>
      <x:c r="BV126" s="426"/>
      <x:c r="BW126" s="426"/>
      <x:c r="BX126" s="426"/>
      <x:c r="BY126" s="426"/>
      <x:c r="BZ126" s="426"/>
      <x:c r="CA126" s="426"/>
      <x:c r="CB126" s="426"/>
      <x:c r="CC126" s="426"/>
      <x:c r="CD126" s="426"/>
      <x:c r="CE126" s="427"/>
      <x:c r="CG126" s="1037"/>
      <x:c r="CH126" s="1038"/>
      <x:c r="CI126" s="335"/>
      <x:c r="CJ126" s="336"/>
      <x:c r="CK126" s="336"/>
      <x:c r="CL126" s="336"/>
      <x:c r="CM126" s="336"/>
      <x:c r="CN126" s="336"/>
      <x:c r="CO126" s="336"/>
      <x:c r="CP126" s="336"/>
      <x:c r="CQ126" s="336"/>
      <x:c r="CR126" s="336"/>
      <x:c r="CS126" s="337"/>
      <x:c r="CT126" s="317"/>
      <x:c r="CU126" s="1057"/>
      <x:c r="CV126" s="317"/>
      <x:c r="CW126" s="318"/>
      <x:c r="CX126" s="318"/>
      <x:c r="CY126" s="318"/>
      <x:c r="CZ126" s="318"/>
      <x:c r="DA126" s="318"/>
      <x:c r="DB126" s="319"/>
      <x:c r="DC126" s="8"/>
      <x:c r="DD126" s="344"/>
      <x:c r="DE126" s="345"/>
      <x:c r="DF126" s="345"/>
      <x:c r="DG126" s="1044"/>
    </x:row>
    <x:row r="127" ht="6" customHeight="1">
      <x:c r="A127" s="107"/>
      <x:c r="B127" s="107"/>
      <x:c r="C127" s="107"/>
      <x:c r="D127" s="107"/>
      <x:c r="E127" s="107"/>
      <x:c r="F127" s="107"/>
      <x:c r="G127" s="107"/>
      <x:c r="H127" s="107"/>
      <x:c r="I127" s="107"/>
      <x:c r="J127" s="107"/>
      <x:c r="K127" s="107"/>
      <x:c r="L127" s="107"/>
      <x:c r="M127" s="107"/>
      <x:c r="N127" s="107"/>
      <x:c r="O127" s="107"/>
      <x:c r="P127" s="107"/>
      <x:c r="Q127" s="107"/>
      <x:c r="S127" s="376"/>
      <x:c r="T127" s="377"/>
      <x:c r="U127" s="377"/>
      <x:c r="V127" s="377"/>
      <x:c r="W127" s="377"/>
      <x:c r="X127" s="377"/>
      <x:c r="Y127" s="377"/>
      <x:c r="Z127" s="377"/>
      <x:c r="AA127" s="377"/>
      <x:c r="AB127" s="377"/>
      <x:c r="AC127" s="377"/>
      <x:c r="AD127" s="377"/>
      <x:c r="AE127" s="377"/>
      <x:c r="AF127" s="377"/>
      <x:c r="AG127" s="377"/>
      <x:c r="AH127" s="377"/>
      <x:c r="AI127" s="377"/>
      <x:c r="AJ127" s="377"/>
      <x:c r="AK127" s="377"/>
      <x:c r="AL127" s="377"/>
      <x:c r="AM127" s="377"/>
      <x:c r="AN127" s="377"/>
      <x:c r="AO127" s="377"/>
      <x:c r="AP127" s="377"/>
      <x:c r="AQ127" s="377"/>
      <x:c r="AR127" s="377"/>
      <x:c r="AS127" s="377"/>
      <x:c r="AT127" s="377"/>
      <x:c r="AU127" s="377"/>
      <x:c r="AV127" s="377"/>
      <x:c r="AW127" s="377"/>
      <x:c r="AX127" s="377"/>
      <x:c r="AY127" s="377"/>
      <x:c r="AZ127" s="377"/>
      <x:c r="BA127" s="377"/>
      <x:c r="BB127" s="381"/>
      <x:c r="BD127" s="425"/>
      <x:c r="BE127" s="426"/>
      <x:c r="BF127" s="426"/>
      <x:c r="BG127" s="426"/>
      <x:c r="BH127" s="426"/>
      <x:c r="BI127" s="426"/>
      <x:c r="BJ127" s="426"/>
      <x:c r="BK127" s="426"/>
      <x:c r="BL127" s="426"/>
      <x:c r="BM127" s="426"/>
      <x:c r="BN127" s="426"/>
      <x:c r="BO127" s="426"/>
      <x:c r="BP127" s="426"/>
      <x:c r="BQ127" s="426"/>
      <x:c r="BR127" s="426"/>
      <x:c r="BS127" s="426"/>
      <x:c r="BT127" s="426"/>
      <x:c r="BU127" s="426"/>
      <x:c r="BV127" s="426"/>
      <x:c r="BW127" s="426"/>
      <x:c r="BX127" s="426"/>
      <x:c r="BY127" s="426"/>
      <x:c r="BZ127" s="426"/>
      <x:c r="CA127" s="426"/>
      <x:c r="CB127" s="426"/>
      <x:c r="CC127" s="426"/>
      <x:c r="CD127" s="426"/>
      <x:c r="CE127" s="427"/>
      <x:c r="CG127" s="1037"/>
      <x:c r="CH127" s="1038"/>
      <x:c r="CI127" s="338"/>
      <x:c r="CJ127" s="339"/>
      <x:c r="CK127" s="339"/>
      <x:c r="CL127" s="339"/>
      <x:c r="CM127" s="339"/>
      <x:c r="CN127" s="339"/>
      <x:c r="CO127" s="339"/>
      <x:c r="CP127" s="339"/>
      <x:c r="CQ127" s="339"/>
      <x:c r="CR127" s="339"/>
      <x:c r="CS127" s="340"/>
      <x:c r="CT127" s="317"/>
      <x:c r="CU127" s="1057"/>
      <x:c r="CV127" s="317"/>
      <x:c r="CW127" s="318"/>
      <x:c r="CX127" s="318"/>
      <x:c r="CY127" s="318"/>
      <x:c r="CZ127" s="318"/>
      <x:c r="DA127" s="318"/>
      <x:c r="DB127" s="319"/>
      <x:c r="DC127" s="8"/>
      <x:c r="DD127" s="344"/>
      <x:c r="DE127" s="345"/>
      <x:c r="DF127" s="345"/>
      <x:c r="DG127" s="1044"/>
    </x:row>
    <x:row r="128" ht="6" customHeight="1">
      <x:c r="A128" s="107"/>
      <x:c r="B128" s="107"/>
      <x:c r="C128" s="107"/>
      <x:c r="D128" s="107"/>
      <x:c r="E128" s="107"/>
      <x:c r="F128" s="107"/>
      <x:c r="G128" s="107"/>
      <x:c r="H128" s="107"/>
      <x:c r="I128" s="107"/>
      <x:c r="J128" s="107"/>
      <x:c r="K128" s="107"/>
      <x:c r="L128" s="107"/>
      <x:c r="M128" s="107"/>
      <x:c r="N128" s="107"/>
      <x:c r="O128" s="107"/>
      <x:c r="P128" s="107"/>
      <x:c r="Q128" s="107"/>
      <x:c r="S128" s="376"/>
      <x:c r="T128" s="377"/>
      <x:c r="U128" s="377"/>
      <x:c r="V128" s="377"/>
      <x:c r="W128" s="377"/>
      <x:c r="X128" s="377"/>
      <x:c r="Y128" s="377"/>
      <x:c r="Z128" s="377"/>
      <x:c r="AA128" s="377"/>
      <x:c r="AB128" s="377"/>
      <x:c r="AC128" s="377"/>
      <x:c r="AD128" s="377"/>
      <x:c r="AE128" s="377"/>
      <x:c r="AF128" s="377"/>
      <x:c r="AG128" s="377"/>
      <x:c r="AH128" s="377"/>
      <x:c r="AI128" s="377"/>
      <x:c r="AJ128" s="377"/>
      <x:c r="AK128" s="377"/>
      <x:c r="AL128" s="377"/>
      <x:c r="AM128" s="377"/>
      <x:c r="AN128" s="377"/>
      <x:c r="AO128" s="377"/>
      <x:c r="AP128" s="377"/>
      <x:c r="AQ128" s="377"/>
      <x:c r="AR128" s="377"/>
      <x:c r="AS128" s="377"/>
      <x:c r="AT128" s="377"/>
      <x:c r="AU128" s="377"/>
      <x:c r="AV128" s="377"/>
      <x:c r="AW128" s="377"/>
      <x:c r="AX128" s="377"/>
      <x:c r="AY128" s="377"/>
      <x:c r="AZ128" s="377"/>
      <x:c r="BA128" s="377"/>
      <x:c r="BB128" s="381"/>
      <x:c r="BD128" s="425"/>
      <x:c r="BE128" s="426"/>
      <x:c r="BF128" s="426"/>
      <x:c r="BG128" s="426"/>
      <x:c r="BH128" s="426"/>
      <x:c r="BI128" s="426"/>
      <x:c r="BJ128" s="426"/>
      <x:c r="BK128" s="426"/>
      <x:c r="BL128" s="426"/>
      <x:c r="BM128" s="426"/>
      <x:c r="BN128" s="426"/>
      <x:c r="BO128" s="426"/>
      <x:c r="BP128" s="426"/>
      <x:c r="BQ128" s="426"/>
      <x:c r="BR128" s="426"/>
      <x:c r="BS128" s="426"/>
      <x:c r="BT128" s="426"/>
      <x:c r="BU128" s="426"/>
      <x:c r="BV128" s="426"/>
      <x:c r="BW128" s="426"/>
      <x:c r="BX128" s="426"/>
      <x:c r="BY128" s="426"/>
      <x:c r="BZ128" s="426"/>
      <x:c r="CA128" s="426"/>
      <x:c r="CB128" s="426"/>
      <x:c r="CC128" s="426"/>
      <x:c r="CD128" s="426"/>
      <x:c r="CE128" s="427"/>
      <x:c r="CG128" s="1037"/>
      <x:c r="CH128" s="1038"/>
      <x:c r="CI128" s="341" t="s">
        <x:v>331</x:v>
      </x:c>
      <x:c r="CJ128" s="342"/>
      <x:c r="CK128" s="342"/>
      <x:c r="CL128" s="342"/>
      <x:c r="CM128" s="342"/>
      <x:c r="CN128" s="342"/>
      <x:c r="CO128" s="342"/>
      <x:c r="CP128" s="342"/>
      <x:c r="CQ128" s="342"/>
      <x:c r="CR128" s="342"/>
      <x:c r="CS128" s="343"/>
      <x:c r="CT128" s="317"/>
      <x:c r="CU128" s="1057"/>
      <x:c r="CV128" s="317"/>
      <x:c r="CW128" s="318"/>
      <x:c r="CX128" s="318"/>
      <x:c r="CY128" s="318"/>
      <x:c r="CZ128" s="318"/>
      <x:c r="DA128" s="318"/>
      <x:c r="DB128" s="319"/>
      <x:c r="DC128" s="8"/>
      <x:c r="DD128" s="344"/>
      <x:c r="DE128" s="345"/>
      <x:c r="DF128" s="345"/>
      <x:c r="DG128" s="1044"/>
    </x:row>
    <x:row r="129" ht="6" customHeight="1">
      <x:c r="A129" s="107"/>
      <x:c r="B129" s="107"/>
      <x:c r="C129" s="107"/>
      <x:c r="D129" s="107"/>
      <x:c r="E129" s="107"/>
      <x:c r="F129" s="107"/>
      <x:c r="G129" s="107"/>
      <x:c r="H129" s="107"/>
      <x:c r="I129" s="107"/>
      <x:c r="J129" s="107"/>
      <x:c r="K129" s="107"/>
      <x:c r="L129" s="107"/>
      <x:c r="M129" s="107"/>
      <x:c r="N129" s="107"/>
      <x:c r="O129" s="107"/>
      <x:c r="P129" s="107"/>
      <x:c r="Q129" s="107"/>
      <x:c r="S129" s="378"/>
      <x:c r="T129" s="379"/>
      <x:c r="U129" s="379"/>
      <x:c r="V129" s="379"/>
      <x:c r="W129" s="379"/>
      <x:c r="X129" s="379"/>
      <x:c r="Y129" s="379"/>
      <x:c r="Z129" s="379"/>
      <x:c r="AA129" s="379"/>
      <x:c r="AB129" s="379"/>
      <x:c r="AC129" s="379"/>
      <x:c r="AD129" s="379"/>
      <x:c r="AE129" s="379"/>
      <x:c r="AF129" s="379"/>
      <x:c r="AG129" s="379"/>
      <x:c r="AH129" s="379"/>
      <x:c r="AI129" s="379"/>
      <x:c r="AJ129" s="379"/>
      <x:c r="AK129" s="379"/>
      <x:c r="AL129" s="379"/>
      <x:c r="AM129" s="379"/>
      <x:c r="AN129" s="379"/>
      <x:c r="AO129" s="379"/>
      <x:c r="AP129" s="379"/>
      <x:c r="AQ129" s="379"/>
      <x:c r="AR129" s="379"/>
      <x:c r="AS129" s="379"/>
      <x:c r="AT129" s="379"/>
      <x:c r="AU129" s="379"/>
      <x:c r="AV129" s="379"/>
      <x:c r="AW129" s="379"/>
      <x:c r="AX129" s="379"/>
      <x:c r="AY129" s="379"/>
      <x:c r="AZ129" s="379"/>
      <x:c r="BA129" s="379"/>
      <x:c r="BB129" s="382"/>
      <x:c r="BD129" s="425"/>
      <x:c r="BE129" s="426"/>
      <x:c r="BF129" s="426"/>
      <x:c r="BG129" s="426"/>
      <x:c r="BH129" s="426"/>
      <x:c r="BI129" s="426"/>
      <x:c r="BJ129" s="426"/>
      <x:c r="BK129" s="426"/>
      <x:c r="BL129" s="426"/>
      <x:c r="BM129" s="426"/>
      <x:c r="BN129" s="426"/>
      <x:c r="BO129" s="426"/>
      <x:c r="BP129" s="426"/>
      <x:c r="BQ129" s="426"/>
      <x:c r="BR129" s="426"/>
      <x:c r="BS129" s="426"/>
      <x:c r="BT129" s="426"/>
      <x:c r="BU129" s="426"/>
      <x:c r="BV129" s="426"/>
      <x:c r="BW129" s="426"/>
      <x:c r="BX129" s="426"/>
      <x:c r="BY129" s="426"/>
      <x:c r="BZ129" s="426"/>
      <x:c r="CA129" s="426"/>
      <x:c r="CB129" s="426"/>
      <x:c r="CC129" s="426"/>
      <x:c r="CD129" s="426"/>
      <x:c r="CE129" s="427"/>
      <x:c r="CG129" s="1037"/>
      <x:c r="CH129" s="1038"/>
      <x:c r="CI129" s="344"/>
      <x:c r="CJ129" s="345"/>
      <x:c r="CK129" s="345"/>
      <x:c r="CL129" s="345"/>
      <x:c r="CM129" s="345"/>
      <x:c r="CN129" s="345"/>
      <x:c r="CO129" s="345"/>
      <x:c r="CP129" s="345"/>
      <x:c r="CQ129" s="345"/>
      <x:c r="CR129" s="345"/>
      <x:c r="CS129" s="346"/>
      <x:c r="CT129" s="317"/>
      <x:c r="CU129" s="1057"/>
      <x:c r="CV129" s="317"/>
      <x:c r="CW129" s="318"/>
      <x:c r="CX129" s="318"/>
      <x:c r="CY129" s="318"/>
      <x:c r="CZ129" s="318"/>
      <x:c r="DA129" s="318"/>
      <x:c r="DB129" s="319"/>
      <x:c r="DC129" s="8"/>
      <x:c r="DD129" s="344"/>
      <x:c r="DE129" s="345"/>
      <x:c r="DF129" s="345"/>
      <x:c r="DG129" s="1044"/>
    </x:row>
    <x:row r="130" ht="6" customHeight="1">
      <x:c r="S130" s="296"/>
      <x:c r="T130" s="297"/>
      <x:c r="U130" s="297"/>
      <x:c r="V130" s="297"/>
      <x:c r="W130" s="297"/>
      <x:c r="X130" s="297"/>
      <x:c r="Y130" s="297"/>
      <x:c r="Z130" s="297"/>
      <x:c r="AA130" s="297"/>
      <x:c r="AB130" s="297"/>
      <x:c r="AC130" s="297"/>
      <x:c r="AD130" s="297"/>
      <x:c r="AE130" s="297"/>
      <x:c r="AF130" s="297"/>
      <x:c r="AG130" s="297"/>
      <x:c r="AH130" s="297"/>
      <x:c r="AI130" s="297"/>
      <x:c r="AJ130" s="297"/>
      <x:c r="AK130" s="297"/>
      <x:c r="AL130" s="297"/>
      <x:c r="AM130" s="297"/>
      <x:c r="AN130" s="297"/>
      <x:c r="AO130" s="297"/>
      <x:c r="AP130" s="297"/>
      <x:c r="AQ130" s="297"/>
      <x:c r="AR130" s="297"/>
      <x:c r="AS130" s="297"/>
      <x:c r="AT130" s="297"/>
      <x:c r="AU130" s="297"/>
      <x:c r="AV130" s="297"/>
      <x:c r="AW130" s="297"/>
      <x:c r="AX130" s="297"/>
      <x:c r="AY130" s="297"/>
      <x:c r="AZ130" s="297"/>
      <x:c r="BA130" s="297"/>
      <x:c r="BB130" s="298"/>
      <x:c r="BD130" s="425"/>
      <x:c r="BE130" s="426"/>
      <x:c r="BF130" s="426"/>
      <x:c r="BG130" s="426"/>
      <x:c r="BH130" s="426"/>
      <x:c r="BI130" s="426"/>
      <x:c r="BJ130" s="426"/>
      <x:c r="BK130" s="426"/>
      <x:c r="BL130" s="426"/>
      <x:c r="BM130" s="426"/>
      <x:c r="BN130" s="426"/>
      <x:c r="BO130" s="426"/>
      <x:c r="BP130" s="426"/>
      <x:c r="BQ130" s="426"/>
      <x:c r="BR130" s="426"/>
      <x:c r="BS130" s="426"/>
      <x:c r="BT130" s="426"/>
      <x:c r="BU130" s="426"/>
      <x:c r="BV130" s="426"/>
      <x:c r="BW130" s="426"/>
      <x:c r="BX130" s="426"/>
      <x:c r="BY130" s="426"/>
      <x:c r="BZ130" s="426"/>
      <x:c r="CA130" s="426"/>
      <x:c r="CB130" s="426"/>
      <x:c r="CC130" s="426"/>
      <x:c r="CD130" s="426"/>
      <x:c r="CE130" s="427"/>
      <x:c r="CG130" s="1039"/>
      <x:c r="CH130" s="1040"/>
      <x:c r="CI130" s="347"/>
      <x:c r="CJ130" s="348"/>
      <x:c r="CK130" s="348"/>
      <x:c r="CL130" s="348"/>
      <x:c r="CM130" s="348"/>
      <x:c r="CN130" s="348"/>
      <x:c r="CO130" s="348"/>
      <x:c r="CP130" s="348"/>
      <x:c r="CQ130" s="348"/>
      <x:c r="CR130" s="348"/>
      <x:c r="CS130" s="349"/>
      <x:c r="CT130" s="320"/>
      <x:c r="CU130" s="1060"/>
      <x:c r="CV130" s="320"/>
      <x:c r="CW130" s="321"/>
      <x:c r="CX130" s="321"/>
      <x:c r="CY130" s="321"/>
      <x:c r="CZ130" s="321"/>
      <x:c r="DA130" s="321"/>
      <x:c r="DB130" s="322"/>
      <x:c r="DC130" s="8"/>
      <x:c r="DD130" s="347"/>
      <x:c r="DE130" s="348"/>
      <x:c r="DF130" s="348"/>
      <x:c r="DG130" s="503"/>
    </x:row>
    <x:row r="131" ht="6" customHeight="1">
      <x:c r="S131" s="299"/>
      <x:c r="T131" s="300"/>
      <x:c r="U131" s="300"/>
      <x:c r="V131" s="300"/>
      <x:c r="W131" s="300"/>
      <x:c r="X131" s="300"/>
      <x:c r="Y131" s="300"/>
      <x:c r="Z131" s="300"/>
      <x:c r="AA131" s="300"/>
      <x:c r="AB131" s="300"/>
      <x:c r="AC131" s="300"/>
      <x:c r="AD131" s="300"/>
      <x:c r="AE131" s="300"/>
      <x:c r="AF131" s="300"/>
      <x:c r="AG131" s="300"/>
      <x:c r="AH131" s="300"/>
      <x:c r="AI131" s="300"/>
      <x:c r="AJ131" s="300"/>
      <x:c r="AK131" s="300"/>
      <x:c r="AL131" s="300"/>
      <x:c r="AM131" s="300"/>
      <x:c r="AN131" s="300"/>
      <x:c r="AO131" s="300"/>
      <x:c r="AP131" s="300"/>
      <x:c r="AQ131" s="300"/>
      <x:c r="AR131" s="300"/>
      <x:c r="AS131" s="300"/>
      <x:c r="AT131" s="300"/>
      <x:c r="AU131" s="300"/>
      <x:c r="AV131" s="300"/>
      <x:c r="AW131" s="300"/>
      <x:c r="AX131" s="300"/>
      <x:c r="AY131" s="300"/>
      <x:c r="AZ131" s="300"/>
      <x:c r="BA131" s="300"/>
      <x:c r="BB131" s="301"/>
      <x:c r="BD131" s="425"/>
      <x:c r="BE131" s="426"/>
      <x:c r="BF131" s="426"/>
      <x:c r="BG131" s="426"/>
      <x:c r="BH131" s="426"/>
      <x:c r="BI131" s="426"/>
      <x:c r="BJ131" s="426"/>
      <x:c r="BK131" s="426"/>
      <x:c r="BL131" s="426"/>
      <x:c r="BM131" s="426"/>
      <x:c r="BN131" s="426"/>
      <x:c r="BO131" s="426"/>
      <x:c r="BP131" s="426"/>
      <x:c r="BQ131" s="426"/>
      <x:c r="BR131" s="426"/>
      <x:c r="BS131" s="426"/>
      <x:c r="BT131" s="426"/>
      <x:c r="BU131" s="426"/>
      <x:c r="BV131" s="426"/>
      <x:c r="BW131" s="426"/>
      <x:c r="BX131" s="426"/>
      <x:c r="BY131" s="426"/>
      <x:c r="BZ131" s="426"/>
      <x:c r="CA131" s="426"/>
      <x:c r="CB131" s="426"/>
      <x:c r="CC131" s="426"/>
      <x:c r="CD131" s="426"/>
      <x:c r="CE131" s="427"/>
      <x:c r="CG131" s="1023" t="s">
        <x:v>342</x:v>
      </x:c>
      <x:c r="CH131" s="1023"/>
      <x:c r="CI131" s="1023"/>
      <x:c r="CJ131" s="1023"/>
      <x:c r="CK131" s="1023"/>
      <x:c r="CL131" s="1023"/>
      <x:c r="CM131" s="1023"/>
      <x:c r="CN131" s="1023"/>
      <x:c r="CO131" s="1023"/>
      <x:c r="CP131" s="1023"/>
      <x:c r="CQ131" s="1023"/>
      <x:c r="CR131" s="1023"/>
      <x:c r="CS131" s="1023"/>
      <x:c r="CT131" s="1023"/>
      <x:c r="CU131" s="1023"/>
      <x:c r="CV131" s="1023"/>
      <x:c r="CW131" s="1023"/>
      <x:c r="CX131" s="1023"/>
      <x:c r="CY131" s="1023"/>
      <x:c r="CZ131" s="1023"/>
      <x:c r="DA131" s="1023"/>
      <x:c r="DB131" s="1023"/>
      <x:c r="DC131" s="1023"/>
      <x:c r="DD131" s="1023"/>
      <x:c r="DE131" s="1023"/>
      <x:c r="DF131" s="1023"/>
      <x:c r="DG131" s="1023"/>
    </x:row>
    <x:row r="132" ht="6" customHeight="1">
      <x:c r="S132" s="299"/>
      <x:c r="T132" s="300"/>
      <x:c r="U132" s="300"/>
      <x:c r="V132" s="300"/>
      <x:c r="W132" s="300"/>
      <x:c r="X132" s="300"/>
      <x:c r="Y132" s="300"/>
      <x:c r="Z132" s="300"/>
      <x:c r="AA132" s="300"/>
      <x:c r="AB132" s="300"/>
      <x:c r="AC132" s="300"/>
      <x:c r="AD132" s="300"/>
      <x:c r="AE132" s="300"/>
      <x:c r="AF132" s="300"/>
      <x:c r="AG132" s="300"/>
      <x:c r="AH132" s="300"/>
      <x:c r="AI132" s="300"/>
      <x:c r="AJ132" s="300"/>
      <x:c r="AK132" s="300"/>
      <x:c r="AL132" s="300"/>
      <x:c r="AM132" s="300"/>
      <x:c r="AN132" s="300"/>
      <x:c r="AO132" s="300"/>
      <x:c r="AP132" s="300"/>
      <x:c r="AQ132" s="300"/>
      <x:c r="AR132" s="300"/>
      <x:c r="AS132" s="300"/>
      <x:c r="AT132" s="300"/>
      <x:c r="AU132" s="300"/>
      <x:c r="AV132" s="300"/>
      <x:c r="AW132" s="300"/>
      <x:c r="AX132" s="300"/>
      <x:c r="AY132" s="300"/>
      <x:c r="AZ132" s="300"/>
      <x:c r="BA132" s="300"/>
      <x:c r="BB132" s="301"/>
      <x:c r="BD132" s="425"/>
      <x:c r="BE132" s="426"/>
      <x:c r="BF132" s="426"/>
      <x:c r="BG132" s="426"/>
      <x:c r="BH132" s="426"/>
      <x:c r="BI132" s="426"/>
      <x:c r="BJ132" s="426"/>
      <x:c r="BK132" s="426"/>
      <x:c r="BL132" s="426"/>
      <x:c r="BM132" s="426"/>
      <x:c r="BN132" s="426"/>
      <x:c r="BO132" s="426"/>
      <x:c r="BP132" s="426"/>
      <x:c r="BQ132" s="426"/>
      <x:c r="BR132" s="426"/>
      <x:c r="BS132" s="426"/>
      <x:c r="BT132" s="426"/>
      <x:c r="BU132" s="426"/>
      <x:c r="BV132" s="426"/>
      <x:c r="BW132" s="426"/>
      <x:c r="BX132" s="426"/>
      <x:c r="BY132" s="426"/>
      <x:c r="BZ132" s="426"/>
      <x:c r="CA132" s="426"/>
      <x:c r="CB132" s="426"/>
      <x:c r="CC132" s="426"/>
      <x:c r="CD132" s="426"/>
      <x:c r="CE132" s="427"/>
      <x:c r="CG132" s="1023"/>
      <x:c r="CH132" s="1023"/>
      <x:c r="CI132" s="1023"/>
      <x:c r="CJ132" s="1023"/>
      <x:c r="CK132" s="1023"/>
      <x:c r="CL132" s="1023"/>
      <x:c r="CM132" s="1023"/>
      <x:c r="CN132" s="1023"/>
      <x:c r="CO132" s="1023"/>
      <x:c r="CP132" s="1023"/>
      <x:c r="CQ132" s="1023"/>
      <x:c r="CR132" s="1023"/>
      <x:c r="CS132" s="1023"/>
      <x:c r="CT132" s="1023"/>
      <x:c r="CU132" s="1023"/>
      <x:c r="CV132" s="1023"/>
      <x:c r="CW132" s="1023"/>
      <x:c r="CX132" s="1023"/>
      <x:c r="CY132" s="1023"/>
      <x:c r="CZ132" s="1023"/>
      <x:c r="DA132" s="1023"/>
      <x:c r="DB132" s="1023"/>
      <x:c r="DC132" s="1023"/>
      <x:c r="DD132" s="1023"/>
      <x:c r="DE132" s="1023"/>
      <x:c r="DF132" s="1023"/>
      <x:c r="DG132" s="1023"/>
    </x:row>
    <x:row r="133" ht="6.949999809265137" customHeight="1">
      <x:c r="S133" s="302"/>
      <x:c r="T133" s="303"/>
      <x:c r="U133" s="303"/>
      <x:c r="V133" s="303"/>
      <x:c r="W133" s="303"/>
      <x:c r="X133" s="303"/>
      <x:c r="Y133" s="303"/>
      <x:c r="Z133" s="303"/>
      <x:c r="AA133" s="303"/>
      <x:c r="AB133" s="303"/>
      <x:c r="AC133" s="303"/>
      <x:c r="AD133" s="303"/>
      <x:c r="AE133" s="303"/>
      <x:c r="AF133" s="303"/>
      <x:c r="AG133" s="303"/>
      <x:c r="AH133" s="303"/>
      <x:c r="AI133" s="303"/>
      <x:c r="AJ133" s="303"/>
      <x:c r="AK133" s="303"/>
      <x:c r="AL133" s="303"/>
      <x:c r="AM133" s="303"/>
      <x:c r="AN133" s="303"/>
      <x:c r="AO133" s="303"/>
      <x:c r="AP133" s="303"/>
      <x:c r="AQ133" s="303"/>
      <x:c r="AR133" s="303"/>
      <x:c r="AS133" s="303"/>
      <x:c r="AT133" s="303"/>
      <x:c r="AU133" s="303"/>
      <x:c r="AV133" s="303"/>
      <x:c r="AW133" s="303"/>
      <x:c r="AX133" s="303"/>
      <x:c r="AY133" s="303"/>
      <x:c r="AZ133" s="303"/>
      <x:c r="BA133" s="303"/>
      <x:c r="BB133" s="304"/>
      <x:c r="BD133" s="428"/>
      <x:c r="BE133" s="429"/>
      <x:c r="BF133" s="429"/>
      <x:c r="BG133" s="429"/>
      <x:c r="BH133" s="429"/>
      <x:c r="BI133" s="429"/>
      <x:c r="BJ133" s="429"/>
      <x:c r="BK133" s="429"/>
      <x:c r="BL133" s="429"/>
      <x:c r="BM133" s="429"/>
      <x:c r="BN133" s="429"/>
      <x:c r="BO133" s="429"/>
      <x:c r="BP133" s="429"/>
      <x:c r="BQ133" s="429"/>
      <x:c r="BR133" s="429"/>
      <x:c r="BS133" s="429"/>
      <x:c r="BT133" s="429"/>
      <x:c r="BU133" s="429"/>
      <x:c r="BV133" s="429"/>
      <x:c r="BW133" s="429"/>
      <x:c r="BX133" s="429"/>
      <x:c r="BY133" s="429"/>
      <x:c r="BZ133" s="429"/>
      <x:c r="CA133" s="429"/>
      <x:c r="CB133" s="429"/>
      <x:c r="CC133" s="429"/>
      <x:c r="CD133" s="429"/>
      <x:c r="CE133" s="430"/>
      <x:c r="CG133" s="383" t="s">
        <x:v>343</x:v>
      </x:c>
      <x:c r="CH133" s="383"/>
      <x:c r="CI133" s="383"/>
      <x:c r="CJ133" s="383"/>
      <x:c r="CK133" s="383"/>
      <x:c r="CL133" s="383"/>
      <x:c r="CM133" s="383"/>
      <x:c r="CN133" s="383"/>
      <x:c r="CO133" s="383"/>
      <x:c r="CP133" s="383"/>
      <x:c r="CQ133" s="383"/>
      <x:c r="CR133" s="383"/>
      <x:c r="CS133" s="383"/>
      <x:c r="CT133" s="383"/>
      <x:c r="CU133" s="383"/>
      <x:c r="CV133" s="383"/>
      <x:c r="CW133" s="383"/>
      <x:c r="CX133" s="383"/>
      <x:c r="CY133" s="383"/>
      <x:c r="CZ133" s="383"/>
      <x:c r="DA133" s="383"/>
      <x:c r="DB133" s="383"/>
      <x:c r="DC133" s="383"/>
      <x:c r="DD133" s="383"/>
      <x:c r="DE133" s="383"/>
      <x:c r="DF133" s="383"/>
      <x:c r="DG133" s="383"/>
    </x:row>
    <x:row r="134" ht="6.949999809265137" customHeight="1">
      <x:c r="BD134" s="109"/>
      <x:c r="BE134" s="109"/>
      <x:c r="BF134" s="109"/>
      <x:c r="BG134" s="109"/>
      <x:c r="BH134" s="109"/>
      <x:c r="BI134" s="109"/>
      <x:c r="BJ134" s="109"/>
      <x:c r="BK134" s="109"/>
      <x:c r="BL134" s="109"/>
      <x:c r="BM134" s="109"/>
      <x:c r="BN134" s="109"/>
      <x:c r="BO134" s="109"/>
      <x:c r="BP134" s="109"/>
      <x:c r="BQ134" s="109"/>
      <x:c r="BR134" s="109"/>
      <x:c r="BS134" s="109"/>
      <x:c r="BT134" s="109"/>
      <x:c r="BU134" s="109"/>
      <x:c r="BV134" s="109"/>
      <x:c r="BW134" s="109"/>
      <x:c r="BX134" s="109"/>
      <x:c r="BY134" s="109"/>
      <x:c r="BZ134" s="109"/>
      <x:c r="CA134" s="109"/>
      <x:c r="CB134" s="109"/>
      <x:c r="CC134" s="109"/>
      <x:c r="CD134" s="109"/>
      <x:c r="CE134" s="109"/>
      <x:c r="CG134" s="383"/>
      <x:c r="CH134" s="383"/>
      <x:c r="CI134" s="383"/>
      <x:c r="CJ134" s="383"/>
      <x:c r="CK134" s="383"/>
      <x:c r="CL134" s="383"/>
      <x:c r="CM134" s="383"/>
      <x:c r="CN134" s="383"/>
      <x:c r="CO134" s="383"/>
      <x:c r="CP134" s="383"/>
      <x:c r="CQ134" s="383"/>
      <x:c r="CR134" s="383"/>
      <x:c r="CS134" s="383"/>
      <x:c r="CT134" s="383"/>
      <x:c r="CU134" s="383"/>
      <x:c r="CV134" s="383"/>
      <x:c r="CW134" s="383"/>
      <x:c r="CX134" s="383"/>
      <x:c r="CY134" s="383"/>
      <x:c r="CZ134" s="383"/>
      <x:c r="DA134" s="383"/>
      <x:c r="DB134" s="383"/>
      <x:c r="DC134" s="383"/>
      <x:c r="DD134" s="383"/>
      <x:c r="DE134" s="383"/>
      <x:c r="DF134" s="383"/>
      <x:c r="DG134" s="383"/>
      <x:c r="DH134" s="21"/>
      <x:c r="DI134" s="21"/>
      <x:c r="DJ134" s="21"/>
      <x:c r="DK134" s="21"/>
      <x:c r="DL134" s="21"/>
    </x:row>
    <x:row r="135" ht="6.949999809265137" customHeight="1">
      <x:c r="BD135" s="73"/>
      <x:c r="BE135" s="73"/>
      <x:c r="BF135" s="73"/>
      <x:c r="BG135" s="73"/>
      <x:c r="BH135" s="73"/>
      <x:c r="BI135" s="73"/>
      <x:c r="BJ135" s="73"/>
      <x:c r="BK135" s="73"/>
      <x:c r="BL135" s="73"/>
      <x:c r="BM135" s="73"/>
      <x:c r="BN135" s="73"/>
      <x:c r="BO135" s="73"/>
      <x:c r="BP135" s="73"/>
      <x:c r="BQ135" s="73"/>
      <x:c r="BR135" s="73"/>
      <x:c r="BS135" s="73"/>
      <x:c r="BT135" s="73"/>
      <x:c r="BU135" s="73"/>
      <x:c r="BV135" s="73"/>
      <x:c r="BW135" s="73"/>
      <x:c r="BX135" s="73"/>
      <x:c r="BY135" s="73"/>
      <x:c r="BZ135" s="73"/>
      <x:c r="CA135" s="73"/>
      <x:c r="CB135" s="73"/>
      <x:c r="CC135" s="73"/>
      <x:c r="CD135" s="73"/>
      <x:c r="CE135" s="73"/>
      <x:c r="DH135" s="21"/>
      <x:c r="DI135" s="21"/>
      <x:c r="DJ135" s="21"/>
      <x:c r="DK135" s="21"/>
      <x:c r="DL135" s="21"/>
    </x:row>
    <x:row r="136" ht="6.949999809265137" customHeight="1">
      <x:c r="BD136" s="7"/>
      <x:c r="BE136" s="7"/>
      <x:c r="BF136" s="7"/>
      <x:c r="BG136" s="7"/>
      <x:c r="BH136" s="7"/>
      <x:c r="BI136" s="7"/>
      <x:c r="BJ136" s="7"/>
      <x:c r="BK136" s="7"/>
      <x:c r="BL136" s="7"/>
      <x:c r="BM136" s="7"/>
      <x:c r="BN136" s="7"/>
      <x:c r="BO136" s="7"/>
      <x:c r="BP136" s="7"/>
      <x:c r="BQ136" s="7"/>
      <x:c r="BR136" s="7"/>
      <x:c r="BS136" s="7"/>
      <x:c r="BT136" s="7"/>
      <x:c r="BU136" s="7"/>
      <x:c r="BV136" s="7"/>
      <x:c r="BW136" s="7"/>
      <x:c r="BX136" s="7"/>
      <x:c r="BY136" s="7"/>
      <x:c r="BZ136" s="7"/>
      <x:c r="CA136" s="7"/>
      <x:c r="CB136" s="7"/>
      <x:c r="CC136" s="7"/>
      <x:c r="CD136" s="7"/>
      <x:c r="CE136" s="7"/>
      <x:c r="CF136" s="7"/>
    </x:row>
    <x:row r="137" ht="6.949999809265137" customHeight="1">
      <x:c r="BD137" s="7"/>
      <x:c r="BE137" s="7"/>
      <x:c r="BF137" s="7"/>
      <x:c r="BG137" s="23"/>
      <x:c r="BH137" s="7"/>
      <x:c r="BI137" s="7"/>
      <x:c r="BJ137" s="7"/>
      <x:c r="BK137" s="7"/>
      <x:c r="BL137" s="7"/>
      <x:c r="BM137" s="7"/>
      <x:c r="BN137" s="7"/>
      <x:c r="BO137" s="7"/>
      <x:c r="BP137" s="7"/>
      <x:c r="BQ137" s="7"/>
      <x:c r="BR137" s="7"/>
      <x:c r="BS137" s="7"/>
      <x:c r="BT137" s="7"/>
      <x:c r="BU137" s="7"/>
      <x:c r="BV137" s="7"/>
      <x:c r="BW137" s="7"/>
      <x:c r="BX137" s="7"/>
      <x:c r="BY137" s="7"/>
      <x:c r="BZ137" s="7"/>
      <x:c r="CA137" s="7"/>
      <x:c r="CB137" s="7"/>
      <x:c r="CC137" s="7"/>
      <x:c r="CD137" s="7"/>
      <x:c r="CE137" s="7"/>
      <x:c r="CF137" s="7"/>
    </x:row>
    <x:row r="138" ht="6.949999809265137" customHeight="1">
      <x:c r="AG138" s="28"/>
      <x:c r="CF138" s="7"/>
    </x:row>
    <x:row r="139" ht="6.949999809265137" customHeight="1"/>
    <x:row r="140" ht="6.949999809265137" customHeight="1"/>
    <x:row r="141" ht="6.949999809265137" customHeight="1"/>
    <x:row r="142" ht="6.949999809265137" customHeight="1">
      <x:c r="BK142" s="22"/>
    </x:row>
    <x:row r="143" ht="6.949999809265137" customHeight="1"/>
    <x:row r="144" ht="6.949999809265137" customHeight="1">
      <x:c r="T144" s="28"/>
    </x:row>
    <x:row r="145" ht="6.949999809265137" customHeight="1">
      <x:c r="AP145" s="28"/>
    </x:row>
    <x:row r="146" ht="6.949999809265137" customHeight="1"/>
    <x:row r="147" ht="6.949999809265137" customHeight="1"/>
    <x:row r="148" ht="6.949999809265137" customHeight="1"/>
    <x:row r="149" ht="6.949999809265137" customHeight="1"/>
    <x:row r="150" ht="6.949999809265137" customHeight="1"/>
    <x:row r="151" ht="6.949999809265137" customHeight="1"/>
    <x:row r="152" ht="6.949999809265137" customHeight="1"/>
    <x:row r="153" ht="6.949999809265137" customHeight="1"/>
  </x:sheetData>
  <x:mergeCells>
    <x:mergeCell ref="A55:F56"/>
    <x:mergeCell ref="U53:X54"/>
    <x:mergeCell ref="Y53:AA54"/>
    <x:mergeCell ref="A92:F93"/>
    <x:mergeCell ref="A90:F91"/>
    <x:mergeCell ref="A84:F85"/>
    <x:mergeCell ref="A82:F83"/>
    <x:mergeCell ref="A80:F81"/>
    <x:mergeCell ref="A78:F79"/>
    <x:mergeCell ref="J90:K91"/>
    <x:mergeCell ref="L90:Q91"/>
    <x:mergeCell ref="U89:AU90"/>
    <x:mergeCell ref="A88:F89"/>
    <x:mergeCell ref="A86:F87"/>
    <x:mergeCell ref="AK83:AN84"/>
    <x:mergeCell ref="G80:I81"/>
    <x:mergeCell ref="J80:K81"/>
    <x:mergeCell ref="L80:Q81"/>
    <x:mergeCell ref="AB55:AE56"/>
    <x:mergeCell ref="U87:AU88"/>
    <x:mergeCell ref="A71:F72"/>
    <x:mergeCell ref="G71:K72"/>
    <x:mergeCell ref="L71:Q72"/>
    <x:mergeCell ref="A76:F77"/>
    <x:mergeCell ref="CH64:DF66"/>
    <x:mergeCell ref="DF106:DG107"/>
    <x:mergeCell ref="DD110:DE111"/>
    <x:mergeCell ref="BQ110:BU111"/>
    <x:mergeCell ref="BD106:BJ107"/>
    <x:mergeCell ref="BK106:BP107"/>
    <x:mergeCell ref="CG110:CO111"/>
    <x:mergeCell ref="CP110:CQ111"/>
    <x:mergeCell ref="CR110:CS111"/>
    <x:mergeCell ref="CT110:DC111"/>
    <x:mergeCell ref="DF108:DG109"/>
    <x:mergeCell ref="CR104:CS105"/>
    <x:mergeCell ref="DF96:DG97"/>
    <x:mergeCell ref="CT100:DC101"/>
    <x:mergeCell ref="CR106:CS107"/>
    <x:mergeCell ref="CT106:DC107"/>
    <x:mergeCell ref="CT104:DC105"/>
    <x:mergeCell ref="DD104:DE105"/>
    <x:mergeCell ref="CP100:CQ101"/>
    <x:mergeCell ref="CR100:CS101"/>
    <x:mergeCell ref="BQ106:BU107"/>
    <x:mergeCell ref="BV106:BZ107"/>
    <x:mergeCell ref="DD96:DE97"/>
    <x:mergeCell ref="CP92:CS93"/>
    <x:mergeCell ref="BD122:CE123"/>
    <x:mergeCell ref="AV110:BB111"/>
    <x:mergeCell ref="BD83:BU84"/>
    <x:mergeCell ref="A59:F60"/>
    <x:mergeCell ref="G59:K60"/>
    <x:mergeCell ref="L59:Q60"/>
    <x:mergeCell ref="U59:X60"/>
    <x:mergeCell ref="A97:B104"/>
    <x:mergeCell ref="J103:Q104"/>
    <x:mergeCell ref="C103:I104"/>
    <x:mergeCell ref="S116:AI117"/>
    <x:mergeCell ref="AT116:AU117"/>
    <x:mergeCell ref="AV116:BB117"/>
    <x:mergeCell ref="S113:AQ114"/>
    <x:mergeCell ref="A69:F70"/>
    <x:mergeCell ref="BD85:BU86"/>
    <x:mergeCell ref="BV85:BZ86"/>
    <x:mergeCell ref="U79:AU80"/>
    <x:mergeCell ref="AR113:BB114"/>
    <x:mergeCell ref="AV108:BB109"/>
    <x:mergeCell ref="BQ108:BU109"/>
    <x:mergeCell ref="BV108:BZ109"/>
    <x:mergeCell ref="CA106:CE107"/>
    <x:mergeCell ref="CA108:CE109"/>
    <x:mergeCell ref="CG125:CH130"/>
    <x:mergeCell ref="CH61:DF63"/>
    <x:mergeCell ref="CH58:DF60"/>
    <x:mergeCell ref="CP55:DF57"/>
    <x:mergeCell ref="BD114:BJ115"/>
    <x:mergeCell ref="BK114:BP115"/>
    <x:mergeCell ref="BQ114:BU115"/>
    <x:mergeCell ref="BV114:BZ115"/>
    <x:mergeCell ref="CA114:CE115"/>
    <x:mergeCell ref="BK110:BP111"/>
    <x:mergeCell ref="DD124:DG130"/>
    <x:mergeCell ref="DD122:DG123"/>
    <x:mergeCell ref="DF110:DG111"/>
    <x:mergeCell ref="DD106:DE107"/>
    <x:mergeCell ref="DF104:DG105"/>
    <x:mergeCell ref="CG119:CH124"/>
    <x:mergeCell ref="BD116:BJ117"/>
    <x:mergeCell ref="CP104:CQ105"/>
    <x:mergeCell ref="BK116:BP117"/>
    <x:mergeCell ref="CG113:CH118"/>
    <x:mergeCell ref="CT119:CU124"/>
    <x:mergeCell ref="CT125:CU130"/>
    <x:mergeCell ref="BD110:BJ111"/>
    <x:mergeCell ref="CT102:DC103"/>
    <x:mergeCell ref="CG131:DG132"/>
    <x:mergeCell ref="BV83:BZ84"/>
    <x:mergeCell ref="CA83:CE84"/>
    <x:mergeCell ref="CA85:CE86"/>
    <x:mergeCell ref="CG104:CO105"/>
    <x:mergeCell ref="BD118:BJ119"/>
    <x:mergeCell ref="BK118:BP119"/>
    <x:mergeCell ref="BQ118:BU119"/>
    <x:mergeCell ref="BV118:BZ119"/>
    <x:mergeCell ref="CA118:CE119"/>
    <x:mergeCell ref="CG92:CO93"/>
    <x:mergeCell ref="CG86:DG87"/>
    <x:mergeCell ref="CP88:CS89"/>
    <x:mergeCell ref="CT88:DC89"/>
    <x:mergeCell ref="DD88:DE89"/>
    <x:mergeCell ref="BD100:CE102"/>
    <x:mergeCell ref="BD112:BJ113"/>
    <x:mergeCell ref="BK112:BP113"/>
    <x:mergeCell ref="BQ112:BU113"/>
    <x:mergeCell ref="BV112:BZ113"/>
    <x:mergeCell ref="DD100:DE101"/>
    <x:mergeCell ref="CG102:CO103"/>
    <x:mergeCell ref="CP102:CQ103"/>
    <x:mergeCell ref="CR102:CS103"/>
    <x:mergeCell ref="CA112:CE113"/>
    <x:mergeCell ref="DD98:DE99"/>
    <x:mergeCell ref="DF98:DG99"/>
    <x:mergeCell ref="CG100:CO101"/>
    <x:mergeCell ref="C97:I98"/>
    <x:mergeCell ref="J97:Q98"/>
    <x:mergeCell ref="CT98:DC99"/>
    <x:mergeCell ref="CG96:CO97"/>
    <x:mergeCell ref="CP96:CQ97"/>
    <x:mergeCell ref="CR96:CS97"/>
    <x:mergeCell ref="C99:I100"/>
    <x:mergeCell ref="J99:Q100"/>
    <x:mergeCell ref="S98:T111"/>
    <x:mergeCell ref="U98:AU99"/>
    <x:mergeCell ref="AV98:BB99"/>
    <x:mergeCell ref="A107:Q121"/>
    <x:mergeCell ref="CI113:CS115"/>
    <x:mergeCell ref="CI116:CS118"/>
    <x:mergeCell ref="CI119:CS121"/>
    <x:mergeCell ref="BV110:BZ111"/>
    <x:mergeCell ref="CA110:CE111"/>
    <x:mergeCell ref="DD102:DE103"/>
    <x:mergeCell ref="DF102:DG103"/>
    <x:mergeCell ref="DF100:DG101"/>
    <x:mergeCell ref="U110:AU111"/>
    <x:mergeCell ref="DD92:DE93"/>
    <x:mergeCell ref="U106:AU107"/>
    <x:mergeCell ref="AV106:BB107"/>
    <x:mergeCell ref="CG98:CO99"/>
    <x:mergeCell ref="CP98:CQ99"/>
    <x:mergeCell ref="CR98:CS99"/>
    <x:mergeCell ref="DF92:DG93"/>
    <x:mergeCell ref="C101:I102"/>
    <x:mergeCell ref="J101:Q102"/>
    <x:mergeCell ref="U100:AU101"/>
    <x:mergeCell ref="AV100:BB101"/>
    <x:mergeCell ref="BD91:BU94"/>
    <x:mergeCell ref="BV91:BZ94"/>
    <x:mergeCell ref="CA91:CE94"/>
    <x:mergeCell ref="CG94:CO95"/>
    <x:mergeCell ref="CP94:CQ95"/>
    <x:mergeCell ref="CR94:CS95"/>
    <x:mergeCell ref="CT94:DC95"/>
    <x:mergeCell ref="DD94:DE95"/>
    <x:mergeCell ref="DF94:DG95"/>
    <x:mergeCell ref="U102:AU103"/>
    <x:mergeCell ref="AV102:BB103"/>
    <x:mergeCell ref="CT96:DC97"/>
    <x:mergeCell ref="CT92:DC93"/>
    <x:mergeCell ref="CG108:CO109"/>
    <x:mergeCell ref="CT108:DC109"/>
    <x:mergeCell ref="A94:F95"/>
    <x:mergeCell ref="G94:I95"/>
    <x:mergeCell ref="J94:K95"/>
    <x:mergeCell ref="L94:Q95"/>
    <x:mergeCell ref="U93:AU94"/>
    <x:mergeCell ref="U108:AU109"/>
    <x:mergeCell ref="BD103:BJ105"/>
    <x:mergeCell ref="BK103:BP105"/>
    <x:mergeCell ref="BQ103:CE105"/>
    <x:mergeCell ref="CG106:CO107"/>
    <x:mergeCell ref="CP106:CQ107"/>
    <x:mergeCell ref="BD108:BJ109"/>
    <x:mergeCell ref="BK108:BP109"/>
    <x:mergeCell ref="CP108:CQ109"/>
    <x:mergeCell ref="BD95:CE98"/>
    <x:mergeCell ref="U95:AU96"/>
    <x:mergeCell ref="AV95:BB96"/>
    <x:mergeCell ref="U104:AU105"/>
    <x:mergeCell ref="AV104:BB105"/>
    <x:mergeCell ref="CR108:CS109"/>
    <x:mergeCell ref="AV87:BB88"/>
    <x:mergeCell ref="G86:I87"/>
    <x:mergeCell ref="J86:K87"/>
    <x:mergeCell ref="L86:Q87"/>
    <x:mergeCell ref="U85:AU86"/>
    <x:mergeCell ref="G84:I85"/>
    <x:mergeCell ref="AV93:BB94"/>
    <x:mergeCell ref="G88:I89"/>
    <x:mergeCell ref="J88:K89"/>
    <x:mergeCell ref="AV91:BB92"/>
    <x:mergeCell ref="G90:I91"/>
    <x:mergeCell ref="AV83:BB86"/>
    <x:mergeCell ref="AO83:AR84"/>
    <x:mergeCell ref="AS83:AU84"/>
    <x:mergeCell ref="AV89:BB90"/>
    <x:mergeCell ref="J84:K85"/>
    <x:mergeCell ref="L84:Q85"/>
    <x:mergeCell ref="U83:Y84"/>
    <x:mergeCell ref="L88:Q89"/>
    <x:mergeCell ref="G82:I83"/>
    <x:mergeCell ref="J82:K83"/>
    <x:mergeCell ref="L82:Q83"/>
    <x:mergeCell ref="DF88:DG89"/>
    <x:mergeCell ref="DF90:DG91"/>
    <x:mergeCell ref="BD87:BU90"/>
    <x:mergeCell ref="BV87:CE90"/>
    <x:mergeCell ref="DD90:DE91"/>
    <x:mergeCell ref="CA73:CE74"/>
    <x:mergeCell ref="CG90:CO91"/>
    <x:mergeCell ref="CP90:CS91"/>
    <x:mergeCell ref="CT90:DC91"/>
    <x:mergeCell ref="CG88:CO89"/>
    <x:mergeCell ref="CH67:DF84"/>
    <x:mergeCell ref="DG54:DG84"/>
    <x:mergeCell ref="BV75:BZ76"/>
    <x:mergeCell ref="CA75:CE76"/>
    <x:mergeCell ref="BD75:BU76"/>
    <x:mergeCell ref="CA69:CE70"/>
    <x:mergeCell ref="CA61:CE62"/>
    <x:mergeCell ref="CA67:CE68"/>
    <x:mergeCell ref="BD63:BU64"/>
    <x:mergeCell ref="BV63:BZ64"/>
    <x:mergeCell ref="CA63:CE64"/>
    <x:mergeCell ref="BV81:BZ82"/>
    <x:mergeCell ref="CA81:CE82"/>
    <x:mergeCell ref="BD81:BU82"/>
    <x:mergeCell ref="BV77:BZ78"/>
    <x:mergeCell ref="CA77:CE78"/>
    <x:mergeCell ref="CA71:CE72"/>
    <x:mergeCell ref="BV73:BZ74"/>
    <x:mergeCell ref="U77:AU78"/>
    <x:mergeCell ref="BD79:BU80"/>
    <x:mergeCell ref="BV79:BZ80"/>
    <x:mergeCell ref="CA79:CE80"/>
    <x:mergeCell ref="AV81:BB82"/>
    <x:mergeCell ref="AV77:BB78"/>
    <x:mergeCell ref="S74:AU75"/>
    <x:mergeCell ref="AV74:BB75"/>
    <x:mergeCell ref="AV79:BB80"/>
    <x:mergeCell ref="BD71:BU72"/>
    <x:mergeCell ref="BV71:BZ72"/>
    <x:mergeCell ref="AR72:AU73"/>
    <x:mergeCell ref="AV72:BB73"/>
    <x:mergeCell ref="BD77:BU78"/>
    <x:mergeCell ref="U81:AU82"/>
    <x:mergeCell ref="S72:Y73"/>
    <x:mergeCell ref="Z72:AC73"/>
    <x:mergeCell ref="AD72:AH73"/>
    <x:mergeCell ref="A74:F75"/>
    <x:mergeCell ref="AI72:AQ73"/>
    <x:mergeCell ref="G78:I79"/>
    <x:mergeCell ref="J78:K79"/>
    <x:mergeCell ref="L78:Q79"/>
    <x:mergeCell ref="S77:T96"/>
    <x:mergeCell ref="AH83:AJ84"/>
    <x:mergeCell ref="Z83:AC84"/>
    <x:mergeCell ref="AD83:AG84"/>
    <x:mergeCell ref="G92:I93"/>
    <x:mergeCell ref="J92:K93"/>
    <x:mergeCell ref="L92:Q93"/>
    <x:mergeCell ref="U91:AU92"/>
    <x:mergeCell ref="AG61:AK62"/>
    <x:mergeCell ref="G76:I77"/>
    <x:mergeCell ref="J76:K77"/>
    <x:mergeCell ref="L76:Q77"/>
    <x:mergeCell ref="BD67:BU68"/>
    <x:mergeCell ref="BV67:BZ68"/>
    <x:mergeCell ref="G74:I75"/>
    <x:mergeCell ref="J74:K75"/>
    <x:mergeCell ref="L74:Q75"/>
    <x:mergeCell ref="BD73:BU74"/>
    <x:mergeCell ref="L69:Q70"/>
    <x:mergeCell ref="U69:AU70"/>
    <x:mergeCell ref="AV69:BB70"/>
    <x:mergeCell ref="BV61:BZ62"/>
    <x:mergeCell ref="AG63:AK64"/>
    <x:mergeCell ref="AG65:AK66"/>
    <x:mergeCell ref="AS67:AU68"/>
    <x:mergeCell ref="BD69:BU70"/>
    <x:mergeCell ref="BV69:BZ70"/>
    <x:mergeCell ref="AL67:AN68"/>
    <x:mergeCell ref="AO67:AR68"/>
    <x:mergeCell ref="AS65:AU66"/>
    <x:mergeCell ref="AV65:BB66"/>
    <x:mergeCell ref="AV67:BB68"/>
    <x:mergeCell ref="CA65:CE66"/>
    <x:mergeCell ref="BD65:BU66"/>
    <x:mergeCell ref="BV65:BZ66"/>
    <x:mergeCell ref="AL65:AN66"/>
    <x:mergeCell ref="AO65:AR66"/>
    <x:mergeCell ref="AL61:AN62"/>
    <x:mergeCell ref="AO61:AR62"/>
    <x:mergeCell ref="AS61:AU62"/>
    <x:mergeCell ref="AV61:BB62"/>
    <x:mergeCell ref="AL63:AN64"/>
    <x:mergeCell ref="AO63:AR64"/>
    <x:mergeCell ref="AS63:AU64"/>
    <x:mergeCell ref="AV63:BB64"/>
    <x:mergeCell ref="BD61:BU62"/>
    <x:mergeCell ref="A61:F62"/>
    <x:mergeCell ref="G61:K62"/>
    <x:mergeCell ref="L61:Q62"/>
    <x:mergeCell ref="S61:T70"/>
    <x:mergeCell ref="U61:Z64"/>
    <x:mergeCell ref="AA61:AF62"/>
    <x:mergeCell ref="AB59:AE60"/>
    <x:mergeCell ref="AF59:AG60"/>
    <x:mergeCell ref="AH59:AK60"/>
    <x:mergeCell ref="U65:Z68"/>
    <x:mergeCell ref="A67:F68"/>
    <x:mergeCell ref="G67:K68"/>
    <x:mergeCell ref="L67:Q68"/>
    <x:mergeCell ref="AA67:AF68"/>
    <x:mergeCell ref="AG67:AK68"/>
    <x:mergeCell ref="A65:F66"/>
    <x:mergeCell ref="G65:K66"/>
    <x:mergeCell ref="L65:Q66"/>
    <x:mergeCell ref="G69:K70"/>
    <x:mergeCell ref="G63:K64"/>
    <x:mergeCell ref="L63:Q64"/>
    <x:mergeCell ref="AA63:AF64"/>
    <x:mergeCell ref="AA65:AF66"/>
    <x:mergeCell ref="A63:F64"/>
    <x:mergeCell ref="AV59:BB60"/>
    <x:mergeCell ref="AL59:AN60"/>
    <x:mergeCell ref="AO59:AR60"/>
    <x:mergeCell ref="AS59:AU60"/>
    <x:mergeCell ref="BV57:BZ58"/>
    <x:mergeCell ref="CA57:CE58"/>
    <x:mergeCell ref="CH54:CO57"/>
    <x:mergeCell ref="AB53:AE54"/>
    <x:mergeCell ref="AF53:AG54"/>
    <x:mergeCell ref="BD57:BU58"/>
    <x:mergeCell ref="BV59:BZ60"/>
    <x:mergeCell ref="CA59:CE60"/>
    <x:mergeCell ref="AH53:AK54"/>
    <x:mergeCell ref="AL53:AN54"/>
    <x:mergeCell ref="AO53:AR54"/>
    <x:mergeCell ref="AB57:AE58"/>
    <x:mergeCell ref="AF57:AG58"/>
    <x:mergeCell ref="AV55:BB56"/>
    <x:mergeCell ref="AL55:AN56"/>
    <x:mergeCell ref="AO55:AR56"/>
    <x:mergeCell ref="AS55:AU56"/>
    <x:mergeCell ref="BD54:CE56"/>
    <x:mergeCell ref="CG54:CG84"/>
    <x:mergeCell ref="BD59:BU60"/>
    <x:mergeCell ref="G55:K56"/>
    <x:mergeCell ref="L55:Q56"/>
    <x:mergeCell ref="U55:X56"/>
    <x:mergeCell ref="Y55:AA56"/>
    <x:mergeCell ref="U48:X49"/>
    <x:mergeCell ref="DD50:DE51"/>
    <x:mergeCell ref="AH57:AK58"/>
    <x:mergeCell ref="AL57:AN58"/>
    <x:mergeCell ref="AO57:AR58"/>
    <x:mergeCell ref="AS57:AU58"/>
    <x:mergeCell ref="AV57:BB58"/>
    <x:mergeCell ref="CT50:DC51"/>
    <x:mergeCell ref="CD50:CE51"/>
    <x:mergeCell ref="A53:Q54"/>
    <x:mergeCell ref="S53:T60"/>
    <x:mergeCell ref="C48:R51"/>
    <x:mergeCell ref="S48:T51"/>
    <x:mergeCell ref="A57:F58"/>
    <x:mergeCell ref="G57:K58"/>
    <x:mergeCell ref="L57:Q58"/>
    <x:mergeCell ref="U57:X58"/>
    <x:mergeCell ref="Y57:AA58"/>
    <x:mergeCell ref="Y59:AA60"/>
    <x:mergeCell ref="AH55:AK56"/>
    <x:mergeCell ref="AS53:AU54"/>
    <x:mergeCell ref="AV53:BB54"/>
    <x:mergeCell ref="BD50:BM51"/>
    <x:mergeCell ref="AF55:AG56"/>
    <x:mergeCell ref="DF46:DG47"/>
    <x:mergeCell ref="CB46:CC47"/>
    <x:mergeCell ref="CD46:CE47"/>
    <x:mergeCell ref="CF46:CO47"/>
    <x:mergeCell ref="CP46:CQ47"/>
    <x:mergeCell ref="CR46:CS47"/>
    <x:mergeCell ref="CT46:DC47"/>
    <x:mergeCell ref="DD48:DE49"/>
    <x:mergeCell ref="DF48:DG49"/>
    <x:mergeCell ref="CT48:DC49"/>
    <x:mergeCell ref="DF50:DG51"/>
    <x:mergeCell ref="CF48:CO49"/>
    <x:mergeCell ref="CP48:CQ49"/>
    <x:mergeCell ref="CR48:CS49"/>
    <x:mergeCell ref="CP50:CQ51"/>
    <x:mergeCell ref="CR50:CS51"/>
    <x:mergeCell ref="CB48:CC49"/>
    <x:mergeCell ref="CD48:CE49"/>
    <x:mergeCell ref="BR50:CA51"/>
    <x:mergeCell ref="CB50:CC51"/>
    <x:mergeCell ref="CF50:CO51"/>
    <x:mergeCell ref="BD46:BM47"/>
    <x:mergeCell ref="BN46:BO47"/>
    <x:mergeCell ref="BP46:BQ47"/>
    <x:mergeCell ref="BR46:CA47"/>
    <x:mergeCell ref="Y48:AK49"/>
    <x:mergeCell ref="AL48:BB51"/>
    <x:mergeCell ref="CT42:DC43"/>
    <x:mergeCell ref="DD42:DE43"/>
    <x:mergeCell ref="CB42:CC43"/>
    <x:mergeCell ref="CD42:CE43"/>
    <x:mergeCell ref="CF42:CO43"/>
    <x:mergeCell ref="CP42:CQ43"/>
    <x:mergeCell ref="CR42:CS43"/>
    <x:mergeCell ref="S42:AS45"/>
    <x:mergeCell ref="AT42:AV43"/>
    <x:mergeCell ref="AW42:AX43"/>
    <x:mergeCell ref="BR44:CA45"/>
    <x:mergeCell ref="CB44:CC45"/>
    <x:mergeCell ref="BR42:CA43"/>
    <x:mergeCell ref="CP44:CQ45"/>
    <x:mergeCell ref="CR44:CS45"/>
    <x:mergeCell ref="CT44:DC45"/>
    <x:mergeCell ref="DF42:DG43"/>
    <x:mergeCell ref="BD44:BM45"/>
    <x:mergeCell ref="U40:Z41"/>
    <x:mergeCell ref="AA40:AK41"/>
    <x:mergeCell ref="DF44:DG45"/>
    <x:mergeCell ref="CD44:CE45"/>
    <x:mergeCell ref="CF44:CO45"/>
    <x:mergeCell ref="CP38:CQ39"/>
    <x:mergeCell ref="DD46:DE47"/>
    <x:mergeCell ref="DF28:DG29"/>
    <x:mergeCell ref="BP32:BQ33"/>
    <x:mergeCell ref="DF34:DG35"/>
    <x:mergeCell ref="DD34:DE35"/>
    <x:mergeCell ref="DF36:DG37"/>
    <x:mergeCell ref="CD36:CE37"/>
    <x:mergeCell ref="CF36:CO37"/>
    <x:mergeCell ref="CP36:CQ37"/>
    <x:mergeCell ref="CR36:CS37"/>
    <x:mergeCell ref="CT36:DC37"/>
    <x:mergeCell ref="DD36:DE37"/>
    <x:mergeCell ref="CB28:CC29"/>
    <x:mergeCell ref="CD28:CE29"/>
    <x:mergeCell ref="BP28:BQ29"/>
    <x:mergeCell ref="DD30:DE31"/>
    <x:mergeCell ref="CP32:CQ33"/>
    <x:mergeCell ref="DF30:DG31"/>
    <x:mergeCell ref="DF32:DG33"/>
    <x:mergeCell ref="BP30:BQ31"/>
    <x:mergeCell ref="DD28:DE29"/>
    <x:mergeCell ref="CR32:CS33"/>
    <x:mergeCell ref="CP34:CQ35"/>
    <x:mergeCell ref="CR34:CS35"/>
    <x:mergeCell ref="DF38:DG39"/>
    <x:mergeCell ref="A42:B51"/>
    <x:mergeCell ref="AY42:AZ43"/>
    <x:mergeCell ref="BA42:BB43"/>
    <x:mergeCell ref="C46:AK47"/>
    <x:mergeCell ref="CB40:CC41"/>
    <x:mergeCell ref="CD40:CE41"/>
    <x:mergeCell ref="CF40:CO41"/>
    <x:mergeCell ref="A35:E41"/>
    <x:mergeCell ref="BP36:BQ37"/>
    <x:mergeCell ref="BR36:CA37"/>
    <x:mergeCell ref="CB36:CC37"/>
    <x:mergeCell ref="F38:R41"/>
    <x:mergeCell ref="S38:T41"/>
    <x:mergeCell ref="U38:Z39"/>
    <x:mergeCell ref="AA38:AK39"/>
    <x:mergeCell ref="BD34:BM35"/>
    <x:mergeCell ref="P42:R45"/>
    <x:mergeCell ref="CP40:CQ41"/>
    <x:mergeCell ref="CR40:CS41"/>
    <x:mergeCell ref="CT40:DC41"/>
    <x:mergeCell ref="DD40:DE41"/>
    <x:mergeCell ref="DF40:DG41"/>
    <x:mergeCell ref="AT44:AY45"/>
    <x:mergeCell ref="BP38:BQ39"/>
    <x:mergeCell ref="BR38:CA39"/>
    <x:mergeCell ref="CR38:CS39"/>
    <x:mergeCell ref="CT32:DC33"/>
    <x:mergeCell ref="DD32:DE33"/>
    <x:mergeCell ref="CT34:DC35"/>
    <x:mergeCell ref="CD32:CE33"/>
    <x:mergeCell ref="CF32:CO33"/>
    <x:mergeCell ref="DD44:DE45"/>
    <x:mergeCell ref="BP42:BQ43"/>
    <x:mergeCell ref="BP40:BQ41"/>
    <x:mergeCell ref="CT38:DC39"/>
    <x:mergeCell ref="DD38:DE39"/>
    <x:mergeCell ref="BN36:BO37"/>
    <x:mergeCell ref="BD38:BM39"/>
    <x:mergeCell ref="C42:G45"/>
    <x:mergeCell ref="H42:J45"/>
    <x:mergeCell ref="K42:O45"/>
    <x:mergeCell ref="F35:K37"/>
    <x:mergeCell ref="L35:N37"/>
    <x:mergeCell ref="O35:T37"/>
    <x:mergeCell ref="U35:W37"/>
    <x:mergeCell ref="X35:BB37"/>
    <x:mergeCell ref="BD36:BM37"/>
    <x:mergeCell ref="BN38:BO39"/>
    <x:mergeCell ref="AZ44:BB45"/>
    <x:mergeCell ref="BD42:BM43"/>
    <x:mergeCell ref="BN42:BO43"/>
    <x:mergeCell ref="BN40:BO41"/>
    <x:mergeCell ref="AL38:BB41"/>
    <x:mergeCell ref="AL46:BB47"/>
    <x:mergeCell ref="BN44:BO45"/>
    <x:mergeCell ref="BP44:BQ45"/>
    <x:mergeCell ref="CB34:CC35"/>
    <x:mergeCell ref="CD34:CE35"/>
    <x:mergeCell ref="CF34:CO35"/>
    <x:mergeCell ref="CT30:DC31"/>
    <x:mergeCell ref="CP28:CQ29"/>
    <x:mergeCell ref="CF28:CO29"/>
    <x:mergeCell ref="CP30:CQ31"/>
    <x:mergeCell ref="CR30:CS31"/>
    <x:mergeCell ref="CR28:CS29"/>
    <x:mergeCell ref="BN28:BO29"/>
    <x:mergeCell ref="CF30:CJ31"/>
    <x:mergeCell ref="CK30:CO31"/>
    <x:mergeCell ref="CB38:CC39"/>
    <x:mergeCell ref="CD38:CE39"/>
    <x:mergeCell ref="CF38:CO39"/>
    <x:mergeCell ref="BD40:BM41"/>
    <x:mergeCell ref="BR40:CA41"/>
    <x:mergeCell ref="BD32:BM33"/>
    <x:mergeCell ref="BN32:BO33"/>
    <x:mergeCell ref="BR32:CA33"/>
    <x:mergeCell ref="CB32:CC33"/>
    <x:mergeCell ref="A25:B34"/>
    <x:mergeCell ref="BR30:CA31"/>
    <x:mergeCell ref="CB30:CC31"/>
    <x:mergeCell ref="CD30:CE31"/>
    <x:mergeCell ref="C31:R34"/>
    <x:mergeCell ref="S31:T34"/>
    <x:mergeCell ref="U31:X32"/>
    <x:mergeCell ref="Y31:AK32"/>
    <x:mergeCell ref="BD30:BM31"/>
    <x:mergeCell ref="AL29:BB30"/>
    <x:mergeCell ref="C29:AK30"/>
    <x:mergeCell ref="BN34:BO35"/>
    <x:mergeCell ref="BP34:BQ35"/>
    <x:mergeCell ref="BR34:CA35"/>
    <x:mergeCell ref="CR24:CS25"/>
    <x:mergeCell ref="CT24:DC25"/>
    <x:mergeCell ref="C25:G28"/>
    <x:mergeCell ref="H25:J28"/>
    <x:mergeCell ref="K25:O28"/>
    <x:mergeCell ref="P25:R28"/>
    <x:mergeCell ref="S25:AS28"/>
    <x:mergeCell ref="CR26:CS27"/>
    <x:mergeCell ref="CT26:DC27"/>
    <x:mergeCell ref="BD26:BM27"/>
    <x:mergeCell ref="BN26:BO27"/>
    <x:mergeCell ref="BP26:BQ27"/>
    <x:mergeCell ref="CF26:CO27"/>
    <x:mergeCell ref="CP26:CQ27"/>
    <x:mergeCell ref="CB24:CC25"/>
    <x:mergeCell ref="CD24:CE25"/>
    <x:mergeCell ref="CF24:CO25"/>
    <x:mergeCell ref="AT27:AY28"/>
    <x:mergeCell ref="AZ27:BB28"/>
    <x:mergeCell ref="BN24:BO25"/>
    <x:mergeCell ref="BP24:BQ25"/>
    <x:mergeCell ref="BR24:CA25"/>
    <x:mergeCell ref="DF24:DG25"/>
    <x:mergeCell ref="CP24:CQ25"/>
    <x:mergeCell ref="BD28:BM29"/>
    <x:mergeCell ref="CT28:DC29"/>
    <x:mergeCell ref="DF20:DG21"/>
    <x:mergeCell ref="BN20:BO21"/>
    <x:mergeCell ref="BP20:BQ21"/>
    <x:mergeCell ref="BR20:CA21"/>
    <x:mergeCell ref="CB20:CC21"/>
    <x:mergeCell ref="CD20:CE21"/>
    <x:mergeCell ref="DF26:DG27"/>
    <x:mergeCell ref="CR22:CS23"/>
    <x:mergeCell ref="CT22:DC23"/>
    <x:mergeCell ref="DD22:DE23"/>
    <x:mergeCell ref="DF22:DG23"/>
    <x:mergeCell ref="CD22:CE23"/>
    <x:mergeCell ref="CF22:CO23"/>
    <x:mergeCell ref="CP22:CQ23"/>
    <x:mergeCell ref="DD24:DE25"/>
    <x:mergeCell ref="CB22:CC23"/>
    <x:mergeCell ref="DD26:DE27"/>
    <x:mergeCell ref="BD22:BJ23"/>
    <x:mergeCell ref="BK22:BM23"/>
    <x:mergeCell ref="BD24:BM25"/>
    <x:mergeCell ref="BP22:BQ23"/>
    <x:mergeCell ref="BR22:CA23"/>
    <x:mergeCell ref="AT25:AV26"/>
    <x:mergeCell ref="AW25:AX26"/>
    <x:mergeCell ref="AY25:AZ26"/>
    <x:mergeCell ref="BA25:BB26"/>
    <x:mergeCell ref="BN22:BO23"/>
    <x:mergeCell ref="BR28:BV29"/>
    <x:mergeCell ref="BW28:CA29"/>
    <x:mergeCell ref="A22:G23"/>
    <x:mergeCell ref="H22:Q23"/>
    <x:mergeCell ref="R22:T23"/>
    <x:mergeCell ref="U22:W23"/>
    <x:mergeCell ref="X22:AA23"/>
    <x:mergeCell ref="AC22:AG23"/>
    <x:mergeCell ref="CF18:CO19"/>
    <x:mergeCell ref="CP18:CQ19"/>
    <x:mergeCell ref="CR18:CS19"/>
    <x:mergeCell ref="AH20:AQ21"/>
    <x:mergeCell ref="AR20:AT21"/>
    <x:mergeCell ref="AU20:AW21"/>
    <x:mergeCell ref="AX20:BB21"/>
    <x:mergeCell ref="BD18:BM19"/>
    <x:mergeCell ref="BN18:BO19"/>
    <x:mergeCell ref="AH22:AQ23"/>
    <x:mergeCell ref="AR22:AT23"/>
    <x:mergeCell ref="AU22:AW23"/>
    <x:mergeCell ref="AX22:BB23"/>
    <x:mergeCell ref="A20:G21"/>
    <x:mergeCell ref="H20:Q21"/>
    <x:mergeCell ref="R20:T21"/>
    <x:mergeCell ref="U20:W21"/>
    <x:mergeCell ref="X20:AA21"/>
    <x:mergeCell ref="DF16:DG17"/>
    <x:mergeCell ref="BD16:BM17"/>
    <x:mergeCell ref="BN16:BO17"/>
    <x:mergeCell ref="BP16:BQ17"/>
    <x:mergeCell ref="BR16:CA17"/>
    <x:mergeCell ref="CB16:CC17"/>
    <x:mergeCell ref="CD16:CE17"/>
    <x:mergeCell ref="DF18:DG19"/>
    <x:mergeCell ref="BP18:BQ19"/>
    <x:mergeCell ref="BR18:BW19"/>
    <x:mergeCell ref="BX18:BY19"/>
    <x:mergeCell ref="BZ18:CA19"/>
    <x:mergeCell ref="CB18:CC19"/>
    <x:mergeCell ref="CD18:CE19"/>
    <x:mergeCell ref="CP14:CQ15"/>
    <x:mergeCell ref="CR14:CS15"/>
    <x:mergeCell ref="CT14:DC15"/>
    <x:mergeCell ref="DD14:DE15"/>
    <x:mergeCell ref="AC20:AG21"/>
    <x:mergeCell ref="CF16:CO17"/>
    <x:mergeCell ref="CP16:CQ17"/>
    <x:mergeCell ref="CR16:CS17"/>
    <x:mergeCell ref="CT16:DC17"/>
    <x:mergeCell ref="DD16:DE17"/>
    <x:mergeCell ref="CT18:DC19"/>
    <x:mergeCell ref="DD18:DE19"/>
    <x:mergeCell ref="BD20:BJ21"/>
    <x:mergeCell ref="BK20:BM21"/>
    <x:mergeCell ref="CF20:CO21"/>
    <x:mergeCell ref="CP20:CQ21"/>
    <x:mergeCell ref="CR20:CS21"/>
    <x:mergeCell ref="CT20:DC21"/>
    <x:mergeCell ref="DD20:DE21"/>
    <x:mergeCell ref="CF14:CO15"/>
    <x:mergeCell ref="A16:E18"/>
    <x:mergeCell ref="F16:Q18"/>
    <x:mergeCell ref="R16:T18"/>
    <x:mergeCell ref="U16:W18"/>
    <x:mergeCell ref="X16:AC18"/>
    <x:mergeCell ref="BN14:BO15"/>
    <x:mergeCell ref="BP14:BQ15"/>
    <x:mergeCell ref="BR14:CA15"/>
    <x:mergeCell ref="CB14:CC15"/>
    <x:mergeCell ref="AD16:AD18"/>
    <x:mergeCell ref="A14:E15"/>
    <x:mergeCell ref="AE16:AI18"/>
    <x:mergeCell ref="AJ16:AO18"/>
    <x:mergeCell ref="AP16:BB18"/>
    <x:mergeCell ref="CT8:DC9"/>
    <x:mergeCell ref="DF10:DG11"/>
    <x:mergeCell ref="BD12:BM13"/>
    <x:mergeCell ref="BN12:BO13"/>
    <x:mergeCell ref="BP12:BQ13"/>
    <x:mergeCell ref="BR12:CA13"/>
    <x:mergeCell ref="CB12:CC13"/>
    <x:mergeCell ref="DF12:DG13"/>
    <x:mergeCell ref="F14:R15"/>
    <x:mergeCell ref="S14:U15"/>
    <x:mergeCell ref="V14:X15"/>
    <x:mergeCell ref="Y14:AD15"/>
    <x:mergeCell ref="AE14:AQ15"/>
    <x:mergeCell ref="AR14:AU15"/>
    <x:mergeCell ref="AV14:BB15"/>
    <x:mergeCell ref="BD14:BM15"/>
    <x:mergeCell ref="CD12:CE13"/>
    <x:mergeCell ref="CF12:CO13"/>
    <x:mergeCell ref="CP12:CQ13"/>
    <x:mergeCell ref="CR12:CS13"/>
    <x:mergeCell ref="CT12:DC13"/>
    <x:mergeCell ref="DD12:DE13"/>
    <x:mergeCell ref="DF14:DG15"/>
    <x:mergeCell ref="CD14:CE15"/>
    <x:mergeCell ref="A1:N5"/>
    <x:mergeCell ref="BD1:CX3"/>
    <x:mergeCell ref="CY1:DG3"/>
    <x:mergeCell ref="O2:R5"/>
    <x:mergeCell ref="S2:Z5"/>
    <x:mergeCell ref="BD4:BM5"/>
    <x:mergeCell ref="BN4:BQ5"/>
    <x:mergeCell ref="BR4:CA5"/>
    <x:mergeCell ref="CB4:CE5"/>
    <x:mergeCell ref="AJ1:BB4"/>
    <x:mergeCell ref="A6:B11"/>
    <x:mergeCell ref="C6:X11"/>
    <x:mergeCell ref="Y6:Z11"/>
    <x:mergeCell ref="BD10:BM11"/>
    <x:mergeCell ref="BN10:BO11"/>
    <x:mergeCell ref="BP10:BQ11"/>
    <x:mergeCell ref="BR10:BV11"/>
    <x:mergeCell ref="BD8:BH9"/>
    <x:mergeCell ref="BI8:BM9"/>
    <x:mergeCell ref="BN8:BO9"/>
    <x:mergeCell ref="BP8:BQ9"/>
    <x:mergeCell ref="BR8:BV9"/>
    <x:mergeCell ref="AF11:AQ12"/>
    <x:mergeCell ref="BW8:CA9"/>
    <x:mergeCell ref="CB8:CC9"/>
    <x:mergeCell ref="BW10:CA11"/>
    <x:mergeCell ref="CB10:CC11"/>
    <x:mergeCell ref="CD10:CE11"/>
    <x:mergeCell ref="S123:X124"/>
    <x:mergeCell ref="Y123:AB124"/>
    <x:mergeCell ref="AI123:AL124"/>
    <x:mergeCell ref="AS123:AV124"/>
    <x:mergeCell ref="S119:AQ121"/>
    <x:mergeCell ref="AR119:BB121"/>
    <x:mergeCell ref="BD124:CE133"/>
    <x:mergeCell ref="BN30:BO31"/>
    <x:mergeCell ref="U33:X34"/>
    <x:mergeCell ref="Y33:AK34"/>
    <x:mergeCell ref="AL31:BB34"/>
    <x:mergeCell ref="U50:X51"/>
    <x:mergeCell ref="Y50:AK51"/>
    <x:mergeCell ref="BD48:BM49"/>
    <x:mergeCell ref="BN48:BO49"/>
    <x:mergeCell ref="BP48:BQ49"/>
    <x:mergeCell ref="BR48:CA49"/>
    <x:mergeCell ref="BN50:BO51"/>
    <x:mergeCell ref="BP50:BQ51"/>
    <x:mergeCell ref="S130:BB133"/>
    <x:mergeCell ref="CV113:DB118"/>
    <x:mergeCell ref="CV125:DB130"/>
    <x:mergeCell ref="CV119:CX124"/>
    <x:mergeCell ref="CY119:DB124"/>
    <x:mergeCell ref="CI125:CS127"/>
    <x:mergeCell ref="CI128:CS130"/>
    <x:mergeCell ref="CT113:CU118"/>
    <x:mergeCell ref="BV120:BZ121"/>
    <x:mergeCell ref="CA120:CE121"/>
    <x:mergeCell ref="CI122:CS124"/>
    <x:mergeCell ref="BD120:BJ121"/>
    <x:mergeCell ref="BK120:BP121"/>
    <x:mergeCell ref="BQ120:BU121"/>
    <x:mergeCell ref="AJ116:AN117"/>
    <x:mergeCell ref="AC123:AH124"/>
    <x:mergeCell ref="AM123:AR124"/>
    <x:mergeCell ref="AW123:BB124"/>
    <x:mergeCell ref="S126:V129"/>
    <x:mergeCell ref="W126:BB129"/>
    <x:mergeCell ref="CG133:DG134"/>
    <x:mergeCell ref="BQ116:BU117"/>
    <x:mergeCell ref="BV116:BZ117"/>
    <x:mergeCell ref="CA116:CE117"/>
    <x:mergeCell ref="CF6:DG7"/>
    <x:mergeCell ref="BD6:BQ7"/>
    <x:mergeCell ref="BR6:CE7"/>
    <x:mergeCell ref="BR26:CE27"/>
    <x:mergeCell ref="AD5:AL6"/>
    <x:mergeCell ref="AM5:BB6"/>
    <x:mergeCell ref="AD9:AL10"/>
    <x:mergeCell ref="AM9:BB10"/>
    <x:mergeCell ref="AF7:AQ8"/>
    <x:mergeCell ref="CF4:CO5"/>
    <x:mergeCell ref="CP4:CS5"/>
    <x:mergeCell ref="CT4:DC5"/>
    <x:mergeCell ref="DD4:DG5"/>
    <x:mergeCell ref="DF8:DG9"/>
    <x:mergeCell ref="DD8:DE9"/>
    <x:mergeCell ref="CP10:CQ11"/>
    <x:mergeCell ref="CR10:CS11"/>
    <x:mergeCell ref="CT10:DC11"/>
    <x:mergeCell ref="DD10:DE11"/>
    <x:mergeCell ref="CF10:CO11"/>
    <x:mergeCell ref="CD8:CE9"/>
    <x:mergeCell ref="CF8:CO9"/>
    <x:mergeCell ref="CP8:CQ9"/>
    <x:mergeCell ref="CR8:CS9"/>
  </x:mergeCells>
  <x:dataValidations count="8">
    <x:dataValidation type="list" allowBlank="1" showInputMessage="1" sqref="U98:AU99">
      <x:formula1>"フリー割引"</x:formula1>
    </x:dataValidation>
    <x:dataValidation type="list" allowBlank="1" showInputMessage="1" showErrorMessage="1" sqref="EK29:EM30 EA45:EC46">
      <x:formula1>"S,SD,D,Q,K,跳ね上げ"</x:formula1>
    </x:dataValidation>
    <x:dataValidation type="list" allowBlank="1" showInputMessage="1" sqref="V14:X15 AV14:BB15">
      <x:formula1>見積り者</x:formula1>
    </x:dataValidation>
    <x:dataValidation type="list" allowBlank="1" showInputMessage="1" sqref="O35:T37">
      <x:formula1>INDIRECT($F$35)</x:formula1>
    </x:dataValidation>
    <x:dataValidation type="list" allowBlank="1" showInputMessage="1" showErrorMessage="1" sqref="AE16:AI18">
      <x:formula1>見積り者</x:formula1>
    </x:dataValidation>
    <x:dataValidation type="list" allowBlank="1" showInputMessage="1" sqref="K42:O45">
      <x:formula1>INDIRECT($C$42)</x:formula1>
    </x:dataValidation>
    <x:dataValidation type="list" allowBlank="1" showInputMessage="1" sqref="K25:O28">
      <x:formula1>INDIRECT($C$25)</x:formula1>
    </x:dataValidation>
    <x:dataValidation type="list" allowBlank="1" showInputMessage="1" sqref="F35:K37 C25:G28 C42:G45">
      <x:formula1>#REF!</x:formula1>
    </x:dataValidation>
  </x:dataValidations>
  <x:pageMargins left="0.7" right="0.7" top="0.75" bottom="0.75" header="0.3" footer="0.3"/>
  <x:drawing xmlns:r="http://schemas.openxmlformats.org/officeDocument/2006/relationships" r:id="R2f78dcb383f44c4b"/>
</x:worksheet>
</file>

<file path=xl/worksheets/sheet3.xml><?xml version="1.0" encoding="utf-8"?>
<x:worksheet xmlns:x="http://schemas.openxmlformats.org/spreadsheetml/2006/main">
  <x:sheetFormatPr defaultRowHeight="18.75"/>
  <x:sheetData>
    <x:row r="1">
      <x:c r="A1" t="s">
        <x:v>344</x:v>
      </x:c>
    </x:row>
    <x:row r="2">
      <x:c r="A2" t="s">
        <x:v>345</x:v>
      </x:c>
    </x:row>
    <x:row r="3">
      <x:c r="A3" s="28" t="s">
        <x:v>346</x:v>
      </x:c>
      <x:c r="B3" s="28"/>
      <x:c r="C3" s="28"/>
      <x:c r="D3" s="28"/>
      <x:c r="E3" s="28"/>
      <x:c r="F3" s="28"/>
      <x:c r="G3" s="28"/>
      <x:c r="H3" s="28"/>
      <x:c r="I3" s="28"/>
      <x:c r="J3" s="28"/>
      <x:c r="K3" s="28"/>
      <x:c r="L3" s="28"/>
      <x:c r="M3" s="28"/>
    </x:row>
    <x:row r="4">
      <x:c r="A4" s="28" t="s">
        <x:v>347</x:v>
      </x:c>
    </x:row>
  </x:sheetData>
  <x:pageMargins left="0.7" right="0.7" top="0.75" bottom="0.75" header="0.3" footer="0.3"/>
</x:worksheet>
</file>

<file path=xl/worksheets/sheet4.xml><?xml version="1.0" encoding="utf-8"?>
<x:worksheet xmlns:x="http://schemas.openxmlformats.org/spreadsheetml/2006/main">
  <x:sheetFormatPr defaultRowHeight="18.75"/>
  <x:cols>
    <x:col min="1" max="1" width="3.875" style="28" customWidth="1"/>
    <x:col min="2" max="9" width="9" style="28" customWidth="0"/>
    <x:col min="10" max="12" width="13.5" style="28" customWidth="1"/>
    <x:col min="13" max="13" width="13.875" style="28" customWidth="1"/>
    <x:col min="14" max="14" width="3.875" style="28" customWidth="1"/>
    <x:col min="15" max="23" width="9" style="28" customWidth="0"/>
    <x:col min="24" max="24" width="13.875" style="28" customWidth="1"/>
    <x:col min="25" max="16384" width="9" style="28" customWidth="0"/>
  </x:cols>
  <x:sheetData>
    <x:row r="1" ht="30" customHeight="1">
      <x:c r="A1" s="1134" t="s">
        <x:v>348</x:v>
      </x:c>
      <x:c r="B1" s="1134"/>
      <x:c r="C1" s="1134"/>
      <x:c r="D1" s="1134"/>
      <x:c r="E1" s="1134"/>
      <x:c r="F1" s="1134"/>
      <x:c r="G1" s="1134"/>
      <x:c r="H1" s="1134"/>
      <x:c r="I1" s="1134"/>
      <x:c r="J1" s="1134"/>
      <x:c r="K1" s="113"/>
      <x:c r="L1" s="113"/>
    </x:row>
    <x:row r="2" ht="30" customHeight="1">
      <x:c r="A2" s="1134"/>
      <x:c r="B2" s="1134"/>
      <x:c r="C2" s="1134"/>
      <x:c r="D2" s="1134"/>
      <x:c r="E2" s="1134"/>
      <x:c r="F2" s="1134"/>
      <x:c r="G2" s="1134"/>
      <x:c r="H2" s="1134"/>
      <x:c r="I2" s="1134"/>
      <x:c r="J2" s="1134"/>
      <x:c r="K2" s="113"/>
      <x:c r="L2" s="113"/>
    </x:row>
    <x:row r="3" ht="30" customHeight="1">
      <x:c r="A3" s="1134"/>
      <x:c r="B3" s="1134"/>
      <x:c r="C3" s="1134"/>
      <x:c r="D3" s="1134"/>
      <x:c r="E3" s="1134"/>
      <x:c r="F3" s="1134"/>
      <x:c r="G3" s="1134"/>
      <x:c r="H3" s="1134"/>
      <x:c r="I3" s="1134"/>
      <x:c r="J3" s="1134"/>
      <x:c r="K3" s="113"/>
      <x:c r="L3" s="113"/>
    </x:row>
    <x:row r="4" ht="30" customHeight="1">
      <x:c r="A4" s="1134" t="s">
        <x:v>349</x:v>
      </x:c>
      <x:c r="B4" s="1134"/>
      <x:c r="C4" s="1134"/>
      <x:c r="D4" s="1134"/>
      <x:c r="E4" s="1134"/>
      <x:c r="F4" s="1134"/>
      <x:c r="G4" s="1134"/>
      <x:c r="H4" s="1134"/>
      <x:c r="I4" s="1134"/>
      <x:c r="J4" s="1134"/>
      <x:c r="K4" s="113"/>
      <x:c r="L4" s="113"/>
      <x:c r="N4" s="1134" t="s">
        <x:v>350</x:v>
      </x:c>
      <x:c r="O4" s="1134"/>
      <x:c r="P4" s="1134"/>
      <x:c r="Q4" s="1134"/>
      <x:c r="R4" s="1134"/>
      <x:c r="S4" s="1134"/>
      <x:c r="T4" s="1134"/>
      <x:c r="U4" s="1134"/>
      <x:c r="V4" s="1134"/>
      <x:c r="W4" s="1134"/>
      <x:c r="X4" s="1134"/>
    </x:row>
    <x:row r="5" ht="30" customHeight="1">
      <x:c r="A5" s="1134"/>
      <x:c r="B5" s="1134"/>
      <x:c r="C5" s="1134"/>
      <x:c r="D5" s="1134"/>
      <x:c r="E5" s="1134"/>
      <x:c r="F5" s="1134"/>
      <x:c r="G5" s="1134"/>
      <x:c r="H5" s="1134"/>
      <x:c r="I5" s="1134"/>
      <x:c r="J5" s="1134"/>
      <x:c r="K5" s="113"/>
      <x:c r="L5" s="113"/>
      <x:c r="N5" s="1134"/>
      <x:c r="O5" s="1134"/>
      <x:c r="P5" s="1134"/>
      <x:c r="Q5" s="1134"/>
      <x:c r="R5" s="1134"/>
      <x:c r="S5" s="1134"/>
      <x:c r="T5" s="1134"/>
      <x:c r="U5" s="1134"/>
      <x:c r="V5" s="1134"/>
      <x:c r="W5" s="1134"/>
      <x:c r="X5" s="1134"/>
    </x:row>
    <x:row r="6" ht="30" customHeight="1">
      <x:c r="A6" s="114" t="s">
        <x:v>351</x:v>
      </x:c>
      <x:c r="B6" s="1132" t="s">
        <x:v>352</x:v>
      </x:c>
      <x:c r="C6" s="1132"/>
      <x:c r="D6" s="1132"/>
      <x:c r="E6" s="1132"/>
      <x:c r="F6" s="1132"/>
      <x:c r="G6" s="1132"/>
      <x:c r="H6" s="1132"/>
      <x:c r="I6" s="1132"/>
      <x:c r="J6" s="1132"/>
      <x:c r="K6" s="115"/>
      <x:c r="L6" s="115"/>
      <x:c r="N6" s="114" t="s">
        <x:v>351</x:v>
      </x:c>
      <x:c r="O6" s="1132" t="s">
        <x:v>353</x:v>
      </x:c>
      <x:c r="P6" s="1132"/>
      <x:c r="Q6" s="1132"/>
      <x:c r="R6" s="1132"/>
      <x:c r="S6" s="1132"/>
      <x:c r="T6" s="1132"/>
      <x:c r="U6" s="1132"/>
      <x:c r="V6" s="1132"/>
      <x:c r="W6" s="1132"/>
      <x:c r="X6" s="1132"/>
    </x:row>
    <x:row r="7" ht="30" customHeight="1">
      <x:c r="A7" s="114" t="s">
        <x:v>351</x:v>
      </x:c>
      <x:c r="B7" s="1133" t="s">
        <x:v>354</x:v>
      </x:c>
      <x:c r="C7" s="1133"/>
      <x:c r="D7" s="1133"/>
      <x:c r="E7" s="1133"/>
      <x:c r="F7" s="1133"/>
      <x:c r="G7" s="1133"/>
      <x:c r="H7" s="1133"/>
      <x:c r="I7" s="1133"/>
      <x:c r="J7" s="1133"/>
      <x:c r="K7" s="116"/>
      <x:c r="L7" s="116"/>
      <x:c r="N7" s="114"/>
      <x:c r="O7" s="1132" t="s">
        <x:v>355</x:v>
      </x:c>
      <x:c r="P7" s="1132"/>
      <x:c r="Q7" s="1132"/>
      <x:c r="R7" s="1132"/>
      <x:c r="S7" s="1132"/>
      <x:c r="T7" s="1132"/>
      <x:c r="U7" s="1132"/>
      <x:c r="V7" s="1132"/>
      <x:c r="W7" s="1132"/>
      <x:c r="X7" s="1132"/>
    </x:row>
    <x:row r="8" ht="30" customHeight="1">
      <x:c r="A8" s="116"/>
      <x:c r="B8" s="1133" t="s">
        <x:v>356</x:v>
      </x:c>
      <x:c r="C8" s="1133"/>
      <x:c r="D8" s="1133"/>
      <x:c r="E8" s="1133"/>
      <x:c r="F8" s="1133"/>
      <x:c r="G8" s="1133"/>
      <x:c r="H8" s="1133"/>
      <x:c r="I8" s="1133"/>
      <x:c r="J8" s="1133"/>
      <x:c r="K8" s="116"/>
      <x:c r="L8" s="116"/>
      <x:c r="N8" s="114"/>
      <x:c r="O8" s="1132" t="s">
        <x:v>357</x:v>
      </x:c>
      <x:c r="P8" s="1132"/>
      <x:c r="Q8" s="1132"/>
      <x:c r="R8" s="1132"/>
      <x:c r="S8" s="1132"/>
      <x:c r="T8" s="1132"/>
      <x:c r="U8" s="1132"/>
      <x:c r="V8" s="1132"/>
      <x:c r="W8" s="1132"/>
      <x:c r="X8" s="1132"/>
    </x:row>
    <x:row r="9" ht="30" customHeight="1">
      <x:c r="A9" s="116"/>
      <x:c r="B9" s="1133" t="s">
        <x:v>358</x:v>
      </x:c>
      <x:c r="C9" s="1133"/>
      <x:c r="D9" s="1133"/>
      <x:c r="E9" s="1133"/>
      <x:c r="F9" s="1133"/>
      <x:c r="G9" s="1133"/>
      <x:c r="H9" s="1133"/>
      <x:c r="I9" s="1133"/>
      <x:c r="J9" s="1133"/>
      <x:c r="K9" s="116"/>
      <x:c r="L9" s="116"/>
      <x:c r="N9" s="114"/>
      <x:c r="O9" s="1132" t="s">
        <x:v>359</x:v>
      </x:c>
      <x:c r="P9" s="1132"/>
      <x:c r="Q9" s="1132"/>
      <x:c r="R9" s="1132"/>
      <x:c r="S9" s="1132"/>
      <x:c r="T9" s="1132"/>
      <x:c r="U9" s="1132"/>
      <x:c r="V9" s="1132"/>
      <x:c r="W9" s="1132"/>
      <x:c r="X9" s="1132"/>
    </x:row>
    <x:row r="10" ht="30" customHeight="1">
      <x:c r="A10" s="116"/>
      <x:c r="B10" s="1133" t="s">
        <x:v>360</x:v>
      </x:c>
      <x:c r="C10" s="1133"/>
      <x:c r="D10" s="1133"/>
      <x:c r="E10" s="1133"/>
      <x:c r="F10" s="1133"/>
      <x:c r="G10" s="1133"/>
      <x:c r="H10" s="1133"/>
      <x:c r="I10" s="1133"/>
      <x:c r="J10" s="1133"/>
      <x:c r="K10" s="116"/>
      <x:c r="L10" s="116"/>
      <x:c r="N10" s="114" t="s">
        <x:v>351</x:v>
      </x:c>
      <x:c r="O10" s="1133" t="s">
        <x:v>361</x:v>
      </x:c>
      <x:c r="P10" s="1133"/>
      <x:c r="Q10" s="1133"/>
      <x:c r="R10" s="1133"/>
      <x:c r="S10" s="1133"/>
      <x:c r="T10" s="1133"/>
      <x:c r="U10" s="1133"/>
      <x:c r="V10" s="1133"/>
      <x:c r="W10" s="1133"/>
      <x:c r="X10" s="1133"/>
    </x:row>
    <x:row r="11" ht="30" customHeight="1">
      <x:c r="A11" s="116"/>
      <x:c r="B11" s="1128" t="s">
        <x:v>362</x:v>
      </x:c>
      <x:c r="C11" s="1128"/>
      <x:c r="D11" s="1128"/>
      <x:c r="E11" s="1128"/>
      <x:c r="F11" s="1128"/>
      <x:c r="G11" s="1128"/>
      <x:c r="H11" s="1128"/>
      <x:c r="I11" s="1128"/>
      <x:c r="J11" s="1128"/>
      <x:c r="K11" s="117"/>
      <x:c r="L11" s="117"/>
      <x:c r="N11" s="114"/>
      <x:c r="O11" s="1132" t="s">
        <x:v>363</x:v>
      </x:c>
      <x:c r="P11" s="1132"/>
      <x:c r="Q11" s="1132"/>
      <x:c r="R11" s="1132"/>
      <x:c r="S11" s="1132"/>
      <x:c r="T11" s="1132"/>
      <x:c r="U11" s="1132"/>
      <x:c r="V11" s="1132"/>
      <x:c r="W11" s="1132"/>
      <x:c r="X11" s="1132"/>
    </x:row>
    <x:row r="12" ht="30" customHeight="1">
      <x:c r="A12" s="116"/>
      <x:c r="B12" s="1128" t="s">
        <x:v>364</x:v>
      </x:c>
      <x:c r="C12" s="1128"/>
      <x:c r="D12" s="1128"/>
      <x:c r="E12" s="1128"/>
      <x:c r="F12" s="1128"/>
      <x:c r="G12" s="1128"/>
      <x:c r="H12" s="1128"/>
      <x:c r="I12" s="1128"/>
      <x:c r="J12" s="1128"/>
      <x:c r="K12" s="117"/>
      <x:c r="L12" s="117"/>
      <x:c r="N12" s="114"/>
      <x:c r="O12" s="1132" t="s">
        <x:v>365</x:v>
      </x:c>
      <x:c r="P12" s="1132"/>
      <x:c r="Q12" s="1132"/>
      <x:c r="R12" s="1132"/>
      <x:c r="S12" s="1132"/>
      <x:c r="T12" s="1132"/>
      <x:c r="U12" s="1132"/>
      <x:c r="V12" s="1132"/>
      <x:c r="W12" s="1132"/>
      <x:c r="X12" s="1132"/>
    </x:row>
    <x:row r="13" ht="30" customHeight="1">
      <x:c r="A13" s="116"/>
      <x:c r="B13" s="1130" t="s">
        <x:v>366</x:v>
      </x:c>
      <x:c r="C13" s="1130"/>
      <x:c r="D13" s="1130"/>
      <x:c r="E13" s="1130"/>
      <x:c r="F13" s="1130"/>
      <x:c r="G13" s="1130"/>
      <x:c r="H13" s="1130"/>
      <x:c r="I13" s="1130"/>
      <x:c r="J13" s="1130"/>
      <x:c r="K13" s="118"/>
      <x:c r="L13" s="118"/>
      <x:c r="N13" s="114" t="s">
        <x:v>351</x:v>
      </x:c>
      <x:c r="O13" s="1133" t="s">
        <x:v>367</x:v>
      </x:c>
      <x:c r="P13" s="1133"/>
      <x:c r="Q13" s="1133"/>
      <x:c r="R13" s="1133"/>
      <x:c r="S13" s="1133"/>
      <x:c r="T13" s="1133"/>
      <x:c r="U13" s="1133"/>
      <x:c r="V13" s="1133"/>
      <x:c r="W13" s="1133"/>
      <x:c r="X13" s="1133"/>
    </x:row>
    <x:row r="14" ht="30" customHeight="1">
      <x:c r="A14" s="114" t="s">
        <x:v>351</x:v>
      </x:c>
      <x:c r="B14" s="1128" t="s">
        <x:v>368</x:v>
      </x:c>
      <x:c r="C14" s="1128"/>
      <x:c r="D14" s="1128"/>
      <x:c r="E14" s="1128"/>
      <x:c r="F14" s="1128"/>
      <x:c r="G14" s="1128"/>
      <x:c r="H14" s="1128"/>
      <x:c r="I14" s="1128"/>
      <x:c r="J14" s="1128"/>
      <x:c r="K14" s="117"/>
      <x:c r="L14" s="117"/>
      <x:c r="N14" s="114"/>
      <x:c r="O14" s="1132" t="s">
        <x:v>369</x:v>
      </x:c>
      <x:c r="P14" s="1132"/>
      <x:c r="Q14" s="1132"/>
      <x:c r="R14" s="1132"/>
      <x:c r="S14" s="1132"/>
      <x:c r="T14" s="1132"/>
      <x:c r="U14" s="1132"/>
      <x:c r="V14" s="1132"/>
      <x:c r="W14" s="1132"/>
      <x:c r="X14" s="1132"/>
    </x:row>
    <x:row r="15" ht="30" customHeight="1">
      <x:c r="A15" s="114"/>
      <x:c r="B15" s="1128" t="s">
        <x:v>370</x:v>
      </x:c>
      <x:c r="C15" s="1128"/>
      <x:c r="D15" s="1128"/>
      <x:c r="E15" s="1128"/>
      <x:c r="F15" s="1128"/>
      <x:c r="G15" s="1128"/>
      <x:c r="H15" s="1128"/>
      <x:c r="I15" s="1128"/>
      <x:c r="J15" s="1128"/>
      <x:c r="K15" s="117"/>
      <x:c r="L15" s="117"/>
      <x:c r="N15" s="114" t="s">
        <x:v>351</x:v>
      </x:c>
      <x:c r="O15" s="1133" t="s">
        <x:v>371</x:v>
      </x:c>
      <x:c r="P15" s="1133"/>
      <x:c r="Q15" s="1133"/>
      <x:c r="R15" s="1133"/>
      <x:c r="S15" s="1133"/>
      <x:c r="T15" s="1133"/>
      <x:c r="U15" s="1133"/>
      <x:c r="V15" s="1133"/>
      <x:c r="W15" s="1133"/>
      <x:c r="X15" s="1133"/>
    </x:row>
    <x:row r="16" ht="30" customHeight="1">
      <x:c r="A16" s="114" t="s">
        <x:v>351</x:v>
      </x:c>
      <x:c r="B16" s="1128" t="s">
        <x:v>372</x:v>
      </x:c>
      <x:c r="C16" s="1128"/>
      <x:c r="D16" s="1128"/>
      <x:c r="E16" s="1128"/>
      <x:c r="F16" s="1128"/>
      <x:c r="G16" s="1128"/>
      <x:c r="H16" s="1128"/>
      <x:c r="I16" s="1128"/>
      <x:c r="J16" s="1128"/>
      <x:c r="K16" s="117"/>
      <x:c r="L16" s="117"/>
    </x:row>
    <x:row r="17" ht="30" customHeight="1">
      <x:c r="A17" s="114" t="s">
        <x:v>351</x:v>
      </x:c>
      <x:c r="B17" s="1128" t="s">
        <x:v>373</x:v>
      </x:c>
      <x:c r="C17" s="1128"/>
      <x:c r="D17" s="1128"/>
      <x:c r="E17" s="1128"/>
      <x:c r="F17" s="1128"/>
      <x:c r="G17" s="1128"/>
      <x:c r="H17" s="1128"/>
      <x:c r="I17" s="1128"/>
      <x:c r="J17" s="1128"/>
      <x:c r="K17" s="117"/>
      <x:c r="L17" s="117"/>
    </x:row>
    <x:row r="18" ht="30" customHeight="1">
      <x:c r="B18" s="1128" t="s">
        <x:v>374</x:v>
      </x:c>
      <x:c r="C18" s="1128"/>
      <x:c r="D18" s="1128"/>
      <x:c r="E18" s="1128"/>
      <x:c r="F18" s="1128"/>
      <x:c r="G18" s="1128"/>
      <x:c r="H18" s="1128"/>
      <x:c r="I18" s="1128"/>
      <x:c r="J18" s="1128"/>
      <x:c r="K18" s="117"/>
      <x:c r="L18" s="117"/>
    </x:row>
    <x:row r="19" ht="30" customHeight="1">
      <x:c r="B19" s="1130" t="s">
        <x:v>375</x:v>
      </x:c>
      <x:c r="C19" s="1130"/>
      <x:c r="D19" s="1130"/>
      <x:c r="E19" s="1130"/>
      <x:c r="F19" s="1130"/>
      <x:c r="G19" s="1130"/>
      <x:c r="H19" s="1130"/>
      <x:c r="I19" s="1130"/>
      <x:c r="J19" s="1130"/>
      <x:c r="K19" s="117"/>
      <x:c r="L19" s="117"/>
    </x:row>
    <x:row r="20" ht="30" customHeight="1">
      <x:c r="A20" s="114" t="s">
        <x:v>351</x:v>
      </x:c>
      <x:c r="B20" s="1128" t="s">
        <x:v>376</x:v>
      </x:c>
      <x:c r="C20" s="1128"/>
      <x:c r="D20" s="1128"/>
      <x:c r="E20" s="1128"/>
      <x:c r="F20" s="1128"/>
      <x:c r="G20" s="1128"/>
      <x:c r="H20" s="1128"/>
      <x:c r="I20" s="1128"/>
      <x:c r="J20" s="1128"/>
      <x:c r="K20" s="117"/>
      <x:c r="L20" s="117"/>
    </x:row>
    <x:row r="21" ht="30" customHeight="1">
      <x:c r="A21" s="116"/>
      <x:c r="B21" s="1128" t="s">
        <x:v>377</x:v>
      </x:c>
      <x:c r="C21" s="1128"/>
      <x:c r="D21" s="1128"/>
      <x:c r="E21" s="1128"/>
      <x:c r="F21" s="1128"/>
      <x:c r="G21" s="1128"/>
      <x:c r="H21" s="1128"/>
      <x:c r="I21" s="1128"/>
      <x:c r="J21" s="1128"/>
      <x:c r="K21" s="117"/>
      <x:c r="L21" s="117"/>
    </x:row>
    <x:row r="22" ht="30" customHeight="1">
      <x:c r="A22" s="114" t="s">
        <x:v>351</x:v>
      </x:c>
      <x:c r="B22" s="1128" t="s">
        <x:v>378</x:v>
      </x:c>
      <x:c r="C22" s="1128"/>
      <x:c r="D22" s="1128"/>
      <x:c r="E22" s="1128"/>
      <x:c r="F22" s="1128"/>
      <x:c r="G22" s="1128"/>
      <x:c r="H22" s="1128"/>
      <x:c r="I22" s="1128"/>
      <x:c r="J22" s="1128"/>
      <x:c r="K22" s="117"/>
      <x:c r="L22" s="117"/>
    </x:row>
    <x:row r="23" ht="30" customHeight="1">
      <x:c r="A23" s="116"/>
      <x:c r="B23" s="1128" t="s">
        <x:v>379</x:v>
      </x:c>
      <x:c r="C23" s="1128"/>
      <x:c r="D23" s="1128"/>
      <x:c r="E23" s="1128"/>
      <x:c r="F23" s="1128"/>
      <x:c r="G23" s="1128"/>
      <x:c r="H23" s="1128"/>
      <x:c r="I23" s="1128"/>
      <x:c r="J23" s="1128"/>
      <x:c r="K23" s="117"/>
      <x:c r="L23" s="117"/>
    </x:row>
    <x:row r="24" ht="30" customHeight="1">
      <x:c r="A24" s="114"/>
      <x:c r="B24" s="1130" t="s">
        <x:v>380</x:v>
      </x:c>
      <x:c r="C24" s="1130"/>
      <x:c r="D24" s="1130"/>
      <x:c r="E24" s="1130"/>
      <x:c r="F24" s="1130"/>
      <x:c r="G24" s="1130"/>
      <x:c r="H24" s="1130"/>
      <x:c r="I24" s="1130"/>
      <x:c r="J24" s="1130"/>
      <x:c r="K24" s="118"/>
      <x:c r="L24" s="118"/>
    </x:row>
    <x:row r="25" ht="30" customHeight="1">
      <x:c r="A25" s="114" t="s">
        <x:v>351</x:v>
      </x:c>
      <x:c r="B25" s="1128" t="s">
        <x:v>381</x:v>
      </x:c>
      <x:c r="C25" s="1128"/>
      <x:c r="D25" s="1128"/>
      <x:c r="E25" s="1128"/>
      <x:c r="F25" s="1128"/>
      <x:c r="G25" s="1128"/>
      <x:c r="H25" s="1128"/>
      <x:c r="I25" s="1128"/>
      <x:c r="J25" s="1128"/>
      <x:c r="K25" s="117"/>
      <x:c r="L25" s="117"/>
    </x:row>
    <x:row r="26" ht="30" customHeight="1">
      <x:c r="A26" s="114" t="s">
        <x:v>351</x:v>
      </x:c>
      <x:c r="B26" s="1128" t="s">
        <x:v>382</x:v>
      </x:c>
      <x:c r="C26" s="1128"/>
      <x:c r="D26" s="1128"/>
      <x:c r="E26" s="1128"/>
      <x:c r="F26" s="1128"/>
      <x:c r="G26" s="1128"/>
      <x:c r="H26" s="1128"/>
      <x:c r="I26" s="1128"/>
      <x:c r="J26" s="1128"/>
      <x:c r="K26" s="117"/>
      <x:c r="L26" s="117"/>
      <x:c r="S26" s="1131" t="s">
        <x:v>383</x:v>
      </x:c>
      <x:c r="T26" s="1131"/>
      <x:c r="U26" s="1131"/>
      <x:c r="V26" s="1131"/>
      <x:c r="W26" s="1131"/>
    </x:row>
    <x:row r="27" ht="30" customHeight="1">
      <x:c r="A27" s="116"/>
      <x:c r="B27" s="1128" t="s">
        <x:v>384</x:v>
      </x:c>
      <x:c r="C27" s="1128"/>
      <x:c r="D27" s="1128"/>
      <x:c r="E27" s="1128"/>
      <x:c r="F27" s="1128"/>
      <x:c r="G27" s="1128"/>
      <x:c r="H27" s="1128"/>
      <x:c r="I27" s="1128"/>
      <x:c r="J27" s="1128"/>
      <x:c r="K27" s="117"/>
      <x:c r="L27" s="117"/>
    </x:row>
    <x:row r="28" ht="30" customHeight="1">
      <x:c r="A28" s="114"/>
      <x:c r="B28" s="1128" t="s">
        <x:v>385</x:v>
      </x:c>
      <x:c r="C28" s="1128"/>
      <x:c r="D28" s="1128"/>
      <x:c r="E28" s="1128"/>
      <x:c r="F28" s="1128"/>
      <x:c r="G28" s="1128"/>
      <x:c r="H28" s="1128"/>
      <x:c r="I28" s="1128"/>
      <x:c r="J28" s="1128"/>
      <x:c r="K28" s="117"/>
      <x:c r="L28" s="117"/>
    </x:row>
    <x:row r="29" ht="30" customHeight="1">
      <x:c r="A29" s="116"/>
      <x:c r="B29" s="1128" t="s">
        <x:v>386</x:v>
      </x:c>
      <x:c r="C29" s="1128"/>
      <x:c r="D29" s="1128"/>
      <x:c r="E29" s="1128"/>
      <x:c r="F29" s="1128"/>
      <x:c r="G29" s="1128"/>
      <x:c r="H29" s="1128"/>
      <x:c r="I29" s="1128"/>
      <x:c r="J29" s="1128"/>
      <x:c r="K29" s="117"/>
      <x:c r="L29" s="117"/>
    </x:row>
    <x:row r="30" ht="30" customHeight="1">
      <x:c r="B30" s="1128" t="s">
        <x:v>387</x:v>
      </x:c>
      <x:c r="C30" s="1128"/>
      <x:c r="D30" s="1128"/>
      <x:c r="E30" s="1128"/>
      <x:c r="F30" s="1128"/>
      <x:c r="G30" s="1128"/>
      <x:c r="H30" s="1128"/>
      <x:c r="I30" s="1128"/>
      <x:c r="J30" s="1128"/>
      <x:c r="K30" s="117"/>
      <x:c r="L30" s="117"/>
    </x:row>
    <x:row r="31">
      <x:c r="B31" s="1129"/>
      <x:c r="C31" s="1129"/>
      <x:c r="D31" s="1129"/>
      <x:c r="E31" s="1129"/>
      <x:c r="F31" s="1129"/>
      <x:c r="G31" s="1129"/>
      <x:c r="H31" s="1129"/>
      <x:c r="I31" s="1129"/>
      <x:c r="J31" s="1129"/>
    </x:row>
  </x:sheetData>
  <x:mergeCells>
    <x:mergeCell ref="B7:J7"/>
    <x:mergeCell ref="O7:X7"/>
    <x:mergeCell ref="A1:J3"/>
    <x:mergeCell ref="A4:J5"/>
    <x:mergeCell ref="N4:X5"/>
    <x:mergeCell ref="B6:J6"/>
    <x:mergeCell ref="O6:X6"/>
    <x:mergeCell ref="B8:J8"/>
    <x:mergeCell ref="O8:X8"/>
    <x:mergeCell ref="B9:J9"/>
    <x:mergeCell ref="O9:X9"/>
    <x:mergeCell ref="B10:J10"/>
    <x:mergeCell ref="O10:X10"/>
    <x:mergeCell ref="B17:J17"/>
    <x:mergeCell ref="B11:J11"/>
    <x:mergeCell ref="O11:X11"/>
    <x:mergeCell ref="B12:J12"/>
    <x:mergeCell ref="O12:X12"/>
    <x:mergeCell ref="B13:J13"/>
    <x:mergeCell ref="O13:X13"/>
    <x:mergeCell ref="B14:J14"/>
    <x:mergeCell ref="O14:X14"/>
    <x:mergeCell ref="B15:J15"/>
    <x:mergeCell ref="O15:X15"/>
    <x:mergeCell ref="B16:J16"/>
    <x:mergeCell ref="S26:W26"/>
    <x:mergeCell ref="B27:J27"/>
    <x:mergeCell ref="B28:J28"/>
    <x:mergeCell ref="B18:J18"/>
    <x:mergeCell ref="B19:J19"/>
    <x:mergeCell ref="B20:J20"/>
    <x:mergeCell ref="B21:J21"/>
    <x:mergeCell ref="B22:J22"/>
    <x:mergeCell ref="B23:J23"/>
    <x:mergeCell ref="B29:J29"/>
    <x:mergeCell ref="B30:J30"/>
    <x:mergeCell ref="B31:J31"/>
    <x:mergeCell ref="B24:J24"/>
    <x:mergeCell ref="B25:J25"/>
    <x:mergeCell ref="B26:J26"/>
  </x:mergeCells>
  <x:pageMargins left="0.7" right="0.7" top="0.75" bottom="0.75" header="0.3" footer="0.3"/>
  <x:drawing xmlns:r="http://schemas.openxmlformats.org/officeDocument/2006/relationships" r:id="R214c45796fd545a0"/>
</x:worksheet>
</file>

<file path=xl/worksheets/sheet5.xml><?xml version="1.0" encoding="utf-8"?>
<x:worksheet xmlns:x="http://schemas.openxmlformats.org/spreadsheetml/2006/main">
  <x:sheetFormatPr defaultRowHeight="18.75"/>
  <x:cols>
    <x:col min="1" max="1" width="4.375" style="28" customWidth="1"/>
    <x:col min="2" max="2" width="11" style="28" customWidth="1"/>
    <x:col min="3" max="8" width="9" style="28" customWidth="0"/>
    <x:col min="9" max="9" width="11" style="28" customWidth="1"/>
    <x:col min="10" max="17" width="9" style="28" customWidth="0"/>
    <x:col min="18" max="18" width="9.375" style="28" customWidth="1"/>
    <x:col min="19" max="16384" width="9" style="28" customWidth="0"/>
  </x:cols>
  <x:sheetData>
    <x:row r="1" ht="19.5"/>
    <x:row r="2" ht="19.5">
      <x:c r="B2" s="39" t="s">
        <x:v>388</x:v>
      </x:c>
      <x:c r="C2" s="40">
        <x:v>1</x:v>
      </x:c>
      <x:c r="D2" s="41">
        <x:v>2</x:v>
      </x:c>
      <x:c r="E2" s="41">
        <x:v>3</x:v>
      </x:c>
      <x:c r="F2" s="42">
        <x:v>4</x:v>
      </x:c>
      <x:c r="G2" s="43"/>
      <x:c r="I2" s="39" t="s">
        <x:v>388</x:v>
      </x:c>
      <x:c r="J2" s="44">
        <x:v>1</x:v>
      </x:c>
      <x:c r="K2" s="45">
        <x:v>2</x:v>
      </x:c>
      <x:c r="L2" s="45">
        <x:v>3</x:v>
      </x:c>
      <x:c r="M2" s="46">
        <x:v>4</x:v>
      </x:c>
      <x:c r="N2" s="43"/>
    </x:row>
    <x:row r="3">
      <x:c r="B3" s="47">
        <x:v>101</x:v>
      </x:c>
      <x:c r="C3" s="48">
        <x:v>39500</x:v>
      </x:c>
      <x:c r="D3" s="49">
        <x:v>44000</x:v>
      </x:c>
      <x:c r="E3" s="49">
        <x:v>47000</x:v>
      </x:c>
      <x:c r="F3" s="50">
        <x:v>50000</x:v>
      </x:c>
      <x:c r="G3" s="23"/>
      <x:c r="H3" s="51">
        <x:v>1</x:v>
      </x:c>
      <x:c r="I3" s="52">
        <x:v>50</x:v>
      </x:c>
      <x:c r="J3" s="53">
        <x:v>7300</x:v>
      </x:c>
      <x:c r="K3" s="54">
        <x:v>8100</x:v>
      </x:c>
      <x:c r="L3" s="54">
        <x:v>8700</x:v>
      </x:c>
      <x:c r="M3" s="55">
        <x:v>9300</x:v>
      </x:c>
      <x:c r="N3" s="23"/>
      <x:c r="Q3" s="28" t="s">
        <x:v>389</x:v>
      </x:c>
      <x:c r="R3" s="28" t="s">
        <x:v>390</x:v>
      </x:c>
    </x:row>
    <x:row r="4">
      <x:c r="B4" s="56">
        <x:v>102</x:v>
      </x:c>
      <x:c r="C4" s="57">
        <x:v>39500</x:v>
      </x:c>
      <x:c r="D4" s="25">
        <x:v>44000</x:v>
      </x:c>
      <x:c r="E4" s="25">
        <x:v>47000</x:v>
      </x:c>
      <x:c r="F4" s="58">
        <x:v>50000</x:v>
      </x:c>
      <x:c r="G4" s="23"/>
      <x:c r="H4" s="51">
        <x:v>2</x:v>
      </x:c>
      <x:c r="I4" s="56">
        <x:v>100</x:v>
      </x:c>
      <x:c r="J4" s="57" t="n">
        <x:f>$J$3*H4</x:f>
        <x:v>14600</x:v>
      </x:c>
      <x:c r="K4" s="25" t="n">
        <x:f>$K$3*H4</x:f>
        <x:v>16200</x:v>
      </x:c>
      <x:c r="L4" s="25" t="n">
        <x:f>$L$3*H4</x:f>
        <x:v>17400</x:v>
      </x:c>
      <x:c r="M4" s="58" t="n">
        <x:f>$M$3*H4</x:f>
        <x:v>18600</x:v>
      </x:c>
      <x:c r="O4" s="28" t="s">
        <x:v>391</x:v>
      </x:c>
      <x:c r="P4" s="28" t="s">
        <x:v>392</x:v>
      </x:c>
      <x:c r="Q4" s="28" t="s">
        <x:v>393</x:v>
      </x:c>
      <x:c r="R4" s="28" t="s">
        <x:v>244</x:v>
      </x:c>
    </x:row>
    <x:row r="5">
      <x:c r="B5" s="56">
        <x:v>103</x:v>
      </x:c>
      <x:c r="C5" s="57">
        <x:v>39500</x:v>
      </x:c>
      <x:c r="D5" s="25">
        <x:v>44000</x:v>
      </x:c>
      <x:c r="E5" s="25">
        <x:v>47000</x:v>
      </x:c>
      <x:c r="F5" s="58">
        <x:v>50000</x:v>
      </x:c>
      <x:c r="G5" s="23"/>
      <x:c r="H5" s="51">
        <x:v>3</x:v>
      </x:c>
      <x:c r="I5" s="56">
        <x:v>150</x:v>
      </x:c>
      <x:c r="J5" s="57" t="n">
        <x:f>$J$3*H5</x:f>
        <x:v>21900</x:v>
      </x:c>
      <x:c r="K5" s="25" t="n">
        <x:f t="shared" ref="K5:K42" si="0">$K$3*H5</x:f>
        <x:v>24300</x:v>
      </x:c>
      <x:c r="L5" s="25" t="n">
        <x:f t="shared" ref="L5:L42" si="1">$L$3*H5</x:f>
        <x:v>26100</x:v>
      </x:c>
      <x:c r="M5" s="58" t="n">
        <x:f t="shared" ref="M5:M42" si="2">$M$3*H5</x:f>
        <x:v>27900</x:v>
      </x:c>
      <x:c r="O5" s="28">
        <x:v>2</x:v>
      </x:c>
      <x:c r="P5" s="28">
        <x:v>1</x:v>
      </x:c>
      <x:c r="Q5" s="28">
        <x:v>500</x:v>
      </x:c>
      <x:c r="R5" s="28" t="n">
        <x:f>IF($Q$5&gt;=1,INDEX($C$3:$F$1902,MATCH($Q$5,$B$3:$B$1902,0),MATCH($O$5,$C$2:$F$2,0))*$P$5,(P5*34500))</x:f>
        <x:v>109500</x:v>
      </x:c>
      <x:c r="S5" s="28" t="s">
        <x:v>394</x:v>
      </x:c>
    </x:row>
    <x:row r="6">
      <x:c r="B6" s="56">
        <x:v>104</x:v>
      </x:c>
      <x:c r="C6" s="57">
        <x:v>39500</x:v>
      </x:c>
      <x:c r="D6" s="25">
        <x:v>44000</x:v>
      </x:c>
      <x:c r="E6" s="25">
        <x:v>47000</x:v>
      </x:c>
      <x:c r="F6" s="58">
        <x:v>50000</x:v>
      </x:c>
      <x:c r="G6" s="23"/>
      <x:c r="H6" s="51">
        <x:v>4</x:v>
      </x:c>
      <x:c r="I6" s="56">
        <x:v>200</x:v>
      </x:c>
      <x:c r="J6" s="57" t="n">
        <x:f t="shared" ref="J6:J42" si="3">$J$3*H6</x:f>
        <x:v>29200</x:v>
      </x:c>
      <x:c r="K6" s="25">
        <x:f t="shared" si="0"/>
        <x:v>32400</x:v>
      </x:c>
      <x:c r="L6" s="25">
        <x:f t="shared" si="1"/>
        <x:v>34800</x:v>
      </x:c>
      <x:c r="M6" s="58">
        <x:f t="shared" si="2"/>
        <x:v>37200</x:v>
      </x:c>
      <x:c r="R6" s="28" t="n">
        <x:f>IF($Q$5&gt;=1,INDEX($C$3:$F$1902,MATCH($Q$5,$B$3:$B$1902,0),MATCH($O$5,$C$2:$F$2,0))*$P$5*1.2,(P5*44500))</x:f>
        <x:v>131400</x:v>
      </x:c>
      <x:c r="S6" s="28" t="s">
        <x:v>395</x:v>
      </x:c>
    </x:row>
    <x:row r="7">
      <x:c r="B7" s="56">
        <x:v>105</x:v>
      </x:c>
      <x:c r="C7" s="57">
        <x:v>39500</x:v>
      </x:c>
      <x:c r="D7" s="25">
        <x:v>44000</x:v>
      </x:c>
      <x:c r="E7" s="25">
        <x:v>47000</x:v>
      </x:c>
      <x:c r="F7" s="58">
        <x:v>50000</x:v>
      </x:c>
      <x:c r="G7" s="23"/>
      <x:c r="H7" s="51">
        <x:v>5</x:v>
      </x:c>
      <x:c r="I7" s="56">
        <x:v>250</x:v>
      </x:c>
      <x:c r="J7" s="57">
        <x:f t="shared" si="3"/>
        <x:v>36500</x:v>
      </x:c>
      <x:c r="K7" s="25">
        <x:f t="shared" si="0"/>
        <x:v>40500</x:v>
      </x:c>
      <x:c r="L7" s="25">
        <x:f t="shared" si="1"/>
        <x:v>43500</x:v>
      </x:c>
      <x:c r="M7" s="58">
        <x:f t="shared" si="2"/>
        <x:v>46500</x:v>
      </x:c>
      <x:c r="R7" s="28" t="n">
        <x:f>IF($Q$5&gt;=1,INDEX($C$3:$F$1902,MATCH($Q$5,$B$3:$B$1902,0),MATCH($O$5,$C$2:$F$2,0))*$P$5*1.4,(P5*62500))</x:f>
        <x:v>153300</x:v>
      </x:c>
      <x:c r="S7" s="28" t="s">
        <x:v>396</x:v>
      </x:c>
    </x:row>
    <x:row r="8">
      <x:c r="B8" s="56">
        <x:v>106</x:v>
      </x:c>
      <x:c r="C8" s="57">
        <x:v>39500</x:v>
      </x:c>
      <x:c r="D8" s="25">
        <x:v>44000</x:v>
      </x:c>
      <x:c r="E8" s="25">
        <x:v>47000</x:v>
      </x:c>
      <x:c r="F8" s="58">
        <x:v>50000</x:v>
      </x:c>
      <x:c r="G8" s="23"/>
      <x:c r="H8" s="51">
        <x:v>6</x:v>
      </x:c>
      <x:c r="I8" s="56">
        <x:v>300</x:v>
      </x:c>
      <x:c r="J8" s="57">
        <x:f t="shared" si="3"/>
        <x:v>43800</x:v>
      </x:c>
      <x:c r="K8" s="25">
        <x:f t="shared" si="0"/>
        <x:v>48600</x:v>
      </x:c>
      <x:c r="L8" s="25">
        <x:f t="shared" si="1"/>
        <x:v>52200</x:v>
      </x:c>
      <x:c r="M8" s="58">
        <x:f t="shared" si="2"/>
        <x:v>55800</x:v>
      </x:c>
    </x:row>
    <x:row r="9">
      <x:c r="B9" s="56">
        <x:v>107</x:v>
      </x:c>
      <x:c r="C9" s="57">
        <x:v>39500</x:v>
      </x:c>
      <x:c r="D9" s="25">
        <x:v>44000</x:v>
      </x:c>
      <x:c r="E9" s="25">
        <x:v>47000</x:v>
      </x:c>
      <x:c r="F9" s="58">
        <x:v>50000</x:v>
      </x:c>
      <x:c r="G9" s="23"/>
      <x:c r="H9" s="51">
        <x:v>7</x:v>
      </x:c>
      <x:c r="I9" s="56">
        <x:v>350</x:v>
      </x:c>
      <x:c r="J9" s="57">
        <x:f t="shared" si="3"/>
        <x:v>51100</x:v>
      </x:c>
      <x:c r="K9" s="25">
        <x:f t="shared" si="0"/>
        <x:v>56700</x:v>
      </x:c>
      <x:c r="L9" s="25">
        <x:f t="shared" si="1"/>
        <x:v>60900</x:v>
      </x:c>
      <x:c r="M9" s="58">
        <x:f t="shared" si="2"/>
        <x:v>65100</x:v>
      </x:c>
    </x:row>
    <x:row r="10">
      <x:c r="B10" s="56">
        <x:v>108</x:v>
      </x:c>
      <x:c r="C10" s="57">
        <x:v>39500</x:v>
      </x:c>
      <x:c r="D10" s="25">
        <x:v>44000</x:v>
      </x:c>
      <x:c r="E10" s="25">
        <x:v>47000</x:v>
      </x:c>
      <x:c r="F10" s="58">
        <x:v>50000</x:v>
      </x:c>
      <x:c r="G10" s="23"/>
      <x:c r="H10" s="51">
        <x:v>8</x:v>
      </x:c>
      <x:c r="I10" s="56">
        <x:v>400</x:v>
      </x:c>
      <x:c r="J10" s="57">
        <x:f t="shared" si="3"/>
        <x:v>58400</x:v>
      </x:c>
      <x:c r="K10" s="25">
        <x:f t="shared" si="0"/>
        <x:v>64800</x:v>
      </x:c>
      <x:c r="L10" s="25">
        <x:f t="shared" si="1"/>
        <x:v>69600</x:v>
      </x:c>
      <x:c r="M10" s="58">
        <x:f t="shared" si="2"/>
        <x:v>74400</x:v>
      </x:c>
      <x:c r="R10" s="66" t="e">
        <x:f>IF(AP52&gt;=1,(AP52*AC52*5500),IF(AI52&gt;=1,INDEX(長距離料金表!$C$3:$F$1902,MATCH($V$52,長距離料金表!$B$3:$F$1902,0),MATCH(AI52,長距離料金表!$C$2:$F$2,0)),(AC52*34500)))</x:f>
      </x:c>
    </x:row>
    <x:row r="11">
      <x:c r="B11" s="56">
        <x:v>109</x:v>
      </x:c>
      <x:c r="C11" s="57">
        <x:v>39500</x:v>
      </x:c>
      <x:c r="D11" s="25">
        <x:v>44000</x:v>
      </x:c>
      <x:c r="E11" s="25">
        <x:v>47000</x:v>
      </x:c>
      <x:c r="F11" s="58">
        <x:v>50000</x:v>
      </x:c>
      <x:c r="G11" s="23"/>
      <x:c r="H11" s="51">
        <x:v>9</x:v>
      </x:c>
      <x:c r="I11" s="56">
        <x:v>450</x:v>
      </x:c>
      <x:c r="J11" s="57">
        <x:f t="shared" si="3"/>
        <x:v>65700</x:v>
      </x:c>
      <x:c r="K11" s="25">
        <x:f t="shared" si="0"/>
        <x:v>72900</x:v>
      </x:c>
      <x:c r="L11" s="25">
        <x:f t="shared" si="1"/>
        <x:v>78300</x:v>
      </x:c>
      <x:c r="M11" s="58">
        <x:f t="shared" si="2"/>
        <x:v>83700</x:v>
      </x:c>
    </x:row>
    <x:row r="12">
      <x:c r="B12" s="56">
        <x:v>110</x:v>
      </x:c>
      <x:c r="C12" s="57">
        <x:v>39500</x:v>
      </x:c>
      <x:c r="D12" s="25">
        <x:v>44000</x:v>
      </x:c>
      <x:c r="E12" s="25">
        <x:v>47000</x:v>
      </x:c>
      <x:c r="F12" s="58">
        <x:v>50000</x:v>
      </x:c>
      <x:c r="G12" s="23"/>
      <x:c r="H12" s="51">
        <x:v>10</x:v>
      </x:c>
      <x:c r="I12" s="56">
        <x:v>500</x:v>
      </x:c>
      <x:c r="J12" s="57">
        <x:f t="shared" si="3"/>
        <x:v>73000</x:v>
      </x:c>
      <x:c r="K12" s="25">
        <x:f t="shared" si="0"/>
        <x:v>81000</x:v>
      </x:c>
      <x:c r="L12" s="25">
        <x:f t="shared" si="1"/>
        <x:v>87000</x:v>
      </x:c>
      <x:c r="M12" s="58">
        <x:f t="shared" si="2"/>
        <x:v>93000</x:v>
      </x:c>
    </x:row>
    <x:row r="13">
      <x:c r="B13" s="56">
        <x:v>111</x:v>
      </x:c>
      <x:c r="C13" s="57">
        <x:v>41000</x:v>
      </x:c>
      <x:c r="D13" s="25">
        <x:v>46000</x:v>
      </x:c>
      <x:c r="E13" s="25">
        <x:v>48500</x:v>
      </x:c>
      <x:c r="F13" s="58">
        <x:v>52000</x:v>
      </x:c>
      <x:c r="G13" s="23"/>
      <x:c r="H13" s="51">
        <x:v>11</x:v>
      </x:c>
      <x:c r="I13" s="56">
        <x:v>550</x:v>
      </x:c>
      <x:c r="J13" s="57">
        <x:f t="shared" si="3"/>
        <x:v>80300</x:v>
      </x:c>
      <x:c r="K13" s="25">
        <x:f t="shared" si="0"/>
        <x:v>89100</x:v>
      </x:c>
      <x:c r="L13" s="25">
        <x:f t="shared" si="1"/>
        <x:v>95700</x:v>
      </x:c>
      <x:c r="M13" s="58">
        <x:f t="shared" si="2"/>
        <x:v>102300</x:v>
      </x:c>
    </x:row>
    <x:row r="14">
      <x:c r="B14" s="56">
        <x:v>112</x:v>
      </x:c>
      <x:c r="C14" s="57">
        <x:v>41000</x:v>
      </x:c>
      <x:c r="D14" s="25">
        <x:v>46000</x:v>
      </x:c>
      <x:c r="E14" s="25">
        <x:v>48500</x:v>
      </x:c>
      <x:c r="F14" s="58">
        <x:v>52000</x:v>
      </x:c>
      <x:c r="G14" s="23"/>
      <x:c r="H14" s="51">
        <x:v>12</x:v>
      </x:c>
      <x:c r="I14" s="56">
        <x:v>600</x:v>
      </x:c>
      <x:c r="J14" s="57">
        <x:f t="shared" si="3"/>
        <x:v>87600</x:v>
      </x:c>
      <x:c r="K14" s="25">
        <x:f t="shared" si="0"/>
        <x:v>97200</x:v>
      </x:c>
      <x:c r="L14" s="25">
        <x:f t="shared" si="1"/>
        <x:v>104400</x:v>
      </x:c>
      <x:c r="M14" s="58">
        <x:f t="shared" si="2"/>
        <x:v>111600</x:v>
      </x:c>
    </x:row>
    <x:row r="15">
      <x:c r="B15" s="56">
        <x:v>113</x:v>
      </x:c>
      <x:c r="C15" s="57">
        <x:v>41000</x:v>
      </x:c>
      <x:c r="D15" s="25">
        <x:v>46000</x:v>
      </x:c>
      <x:c r="E15" s="25">
        <x:v>48500</x:v>
      </x:c>
      <x:c r="F15" s="58">
        <x:v>52000</x:v>
      </x:c>
      <x:c r="G15" s="23"/>
      <x:c r="H15" s="51">
        <x:v>13</x:v>
      </x:c>
      <x:c r="I15" s="56">
        <x:v>650</x:v>
      </x:c>
      <x:c r="J15" s="57">
        <x:f t="shared" si="3"/>
        <x:v>94900</x:v>
      </x:c>
      <x:c r="K15" s="25">
        <x:f t="shared" si="0"/>
        <x:v>105300</x:v>
      </x:c>
      <x:c r="L15" s="25">
        <x:f t="shared" si="1"/>
        <x:v>113100</x:v>
      </x:c>
      <x:c r="M15" s="58">
        <x:f t="shared" si="2"/>
        <x:v>120900</x:v>
      </x:c>
    </x:row>
    <x:row r="16">
      <x:c r="B16" s="56">
        <x:v>114</x:v>
      </x:c>
      <x:c r="C16" s="57">
        <x:v>41000</x:v>
      </x:c>
      <x:c r="D16" s="25">
        <x:v>46000</x:v>
      </x:c>
      <x:c r="E16" s="25">
        <x:v>48500</x:v>
      </x:c>
      <x:c r="F16" s="58">
        <x:v>52000</x:v>
      </x:c>
      <x:c r="G16" s="23"/>
      <x:c r="H16" s="51">
        <x:v>14</x:v>
      </x:c>
      <x:c r="I16" s="56">
        <x:v>700</x:v>
      </x:c>
      <x:c r="J16" s="57">
        <x:f t="shared" si="3"/>
        <x:v>102200</x:v>
      </x:c>
      <x:c r="K16" s="25">
        <x:f t="shared" si="0"/>
        <x:v>113400</x:v>
      </x:c>
      <x:c r="L16" s="25">
        <x:f t="shared" si="1"/>
        <x:v>121800</x:v>
      </x:c>
      <x:c r="M16" s="58">
        <x:f t="shared" si="2"/>
        <x:v>130200</x:v>
      </x:c>
    </x:row>
    <x:row r="17">
      <x:c r="B17" s="56">
        <x:v>115</x:v>
      </x:c>
      <x:c r="C17" s="57">
        <x:v>41000</x:v>
      </x:c>
      <x:c r="D17" s="25">
        <x:v>46000</x:v>
      </x:c>
      <x:c r="E17" s="25">
        <x:v>48500</x:v>
      </x:c>
      <x:c r="F17" s="58">
        <x:v>52000</x:v>
      </x:c>
      <x:c r="G17" s="23"/>
      <x:c r="H17" s="51">
        <x:v>15</x:v>
      </x:c>
      <x:c r="I17" s="56">
        <x:v>750</x:v>
      </x:c>
      <x:c r="J17" s="57">
        <x:f t="shared" si="3"/>
        <x:v>109500</x:v>
      </x:c>
      <x:c r="K17" s="25">
        <x:f t="shared" si="0"/>
        <x:v>121500</x:v>
      </x:c>
      <x:c r="L17" s="25">
        <x:f t="shared" si="1"/>
        <x:v>130500</x:v>
      </x:c>
      <x:c r="M17" s="58">
        <x:f t="shared" si="2"/>
        <x:v>139500</x:v>
      </x:c>
    </x:row>
    <x:row r="18">
      <x:c r="B18" s="56">
        <x:v>116</x:v>
      </x:c>
      <x:c r="C18" s="57">
        <x:v>41000</x:v>
      </x:c>
      <x:c r="D18" s="25">
        <x:v>46000</x:v>
      </x:c>
      <x:c r="E18" s="25">
        <x:v>48500</x:v>
      </x:c>
      <x:c r="F18" s="58">
        <x:v>52000</x:v>
      </x:c>
      <x:c r="G18" s="23"/>
      <x:c r="H18" s="51">
        <x:v>16</x:v>
      </x:c>
      <x:c r="I18" s="56">
        <x:v>800</x:v>
      </x:c>
      <x:c r="J18" s="57">
        <x:f t="shared" si="3"/>
        <x:v>116800</x:v>
      </x:c>
      <x:c r="K18" s="25">
        <x:f t="shared" si="0"/>
        <x:v>129600</x:v>
      </x:c>
      <x:c r="L18" s="25">
        <x:f t="shared" si="1"/>
        <x:v>139200</x:v>
      </x:c>
      <x:c r="M18" s="58">
        <x:f t="shared" si="2"/>
        <x:v>148800</x:v>
      </x:c>
    </x:row>
    <x:row r="19">
      <x:c r="B19" s="56">
        <x:v>117</x:v>
      </x:c>
      <x:c r="C19" s="57">
        <x:v>41000</x:v>
      </x:c>
      <x:c r="D19" s="25">
        <x:v>46000</x:v>
      </x:c>
      <x:c r="E19" s="25">
        <x:v>48500</x:v>
      </x:c>
      <x:c r="F19" s="58">
        <x:v>52000</x:v>
      </x:c>
      <x:c r="G19" s="23"/>
      <x:c r="H19" s="51">
        <x:v>17</x:v>
      </x:c>
      <x:c r="I19" s="56">
        <x:v>850</x:v>
      </x:c>
      <x:c r="J19" s="57">
        <x:f t="shared" si="3"/>
        <x:v>124100</x:v>
      </x:c>
      <x:c r="K19" s="25">
        <x:f t="shared" si="0"/>
        <x:v>137700</x:v>
      </x:c>
      <x:c r="L19" s="25">
        <x:f t="shared" si="1"/>
        <x:v>147900</x:v>
      </x:c>
      <x:c r="M19" s="58">
        <x:f t="shared" si="2"/>
        <x:v>158100</x:v>
      </x:c>
    </x:row>
    <x:row r="20">
      <x:c r="B20" s="56">
        <x:v>118</x:v>
      </x:c>
      <x:c r="C20" s="57">
        <x:v>41000</x:v>
      </x:c>
      <x:c r="D20" s="25">
        <x:v>46000</x:v>
      </x:c>
      <x:c r="E20" s="25">
        <x:v>48500</x:v>
      </x:c>
      <x:c r="F20" s="58">
        <x:v>52000</x:v>
      </x:c>
      <x:c r="G20" s="23"/>
      <x:c r="H20" s="51">
        <x:v>18</x:v>
      </x:c>
      <x:c r="I20" s="56">
        <x:v>900</x:v>
      </x:c>
      <x:c r="J20" s="57">
        <x:f t="shared" si="3"/>
        <x:v>131400</x:v>
      </x:c>
      <x:c r="K20" s="25">
        <x:f t="shared" si="0"/>
        <x:v>145800</x:v>
      </x:c>
      <x:c r="L20" s="25">
        <x:f t="shared" si="1"/>
        <x:v>156600</x:v>
      </x:c>
      <x:c r="M20" s="58">
        <x:f t="shared" si="2"/>
        <x:v>167400</x:v>
      </x:c>
    </x:row>
    <x:row r="21">
      <x:c r="B21" s="56">
        <x:v>119</x:v>
      </x:c>
      <x:c r="C21" s="57">
        <x:v>41000</x:v>
      </x:c>
      <x:c r="D21" s="25">
        <x:v>46000</x:v>
      </x:c>
      <x:c r="E21" s="25">
        <x:v>48500</x:v>
      </x:c>
      <x:c r="F21" s="58">
        <x:v>52000</x:v>
      </x:c>
      <x:c r="G21" s="23"/>
      <x:c r="H21" s="51">
        <x:v>19</x:v>
      </x:c>
      <x:c r="I21" s="56">
        <x:v>950</x:v>
      </x:c>
      <x:c r="J21" s="57">
        <x:f t="shared" si="3"/>
        <x:v>138700</x:v>
      </x:c>
      <x:c r="K21" s="25">
        <x:f t="shared" si="0"/>
        <x:v>153900</x:v>
      </x:c>
      <x:c r="L21" s="25">
        <x:f t="shared" si="1"/>
        <x:v>165300</x:v>
      </x:c>
      <x:c r="M21" s="58">
        <x:f t="shared" si="2"/>
        <x:v>176700</x:v>
      </x:c>
    </x:row>
    <x:row r="22">
      <x:c r="B22" s="56">
        <x:v>120</x:v>
      </x:c>
      <x:c r="C22" s="57">
        <x:v>41000</x:v>
      </x:c>
      <x:c r="D22" s="25">
        <x:v>46000</x:v>
      </x:c>
      <x:c r="E22" s="25">
        <x:v>48500</x:v>
      </x:c>
      <x:c r="F22" s="58">
        <x:v>52000</x:v>
      </x:c>
      <x:c r="G22" s="23"/>
      <x:c r="H22" s="51">
        <x:v>20</x:v>
      </x:c>
      <x:c r="I22" s="56">
        <x:v>1000</x:v>
      </x:c>
      <x:c r="J22" s="57">
        <x:f t="shared" si="3"/>
        <x:v>146000</x:v>
      </x:c>
      <x:c r="K22" s="25">
        <x:f t="shared" si="0"/>
        <x:v>162000</x:v>
      </x:c>
      <x:c r="L22" s="25">
        <x:f t="shared" si="1"/>
        <x:v>174000</x:v>
      </x:c>
      <x:c r="M22" s="58">
        <x:f t="shared" si="2"/>
        <x:v>186000</x:v>
      </x:c>
    </x:row>
    <x:row r="23">
      <x:c r="B23" s="56">
        <x:v>121</x:v>
      </x:c>
      <x:c r="C23" s="57">
        <x:v>43000</x:v>
      </x:c>
      <x:c r="D23" s="25">
        <x:v>47500</x:v>
      </x:c>
      <x:c r="E23" s="25">
        <x:v>50500</x:v>
      </x:c>
      <x:c r="F23" s="58">
        <x:v>54500</x:v>
      </x:c>
      <x:c r="G23" s="23"/>
      <x:c r="H23" s="51">
        <x:v>21</x:v>
      </x:c>
      <x:c r="I23" s="56">
        <x:v>1050</x:v>
      </x:c>
      <x:c r="J23" s="57">
        <x:f t="shared" si="3"/>
        <x:v>153300</x:v>
      </x:c>
      <x:c r="K23" s="25">
        <x:f t="shared" si="0"/>
        <x:v>170100</x:v>
      </x:c>
      <x:c r="L23" s="25">
        <x:f t="shared" si="1"/>
        <x:v>182700</x:v>
      </x:c>
      <x:c r="M23" s="58">
        <x:f t="shared" si="2"/>
        <x:v>195300</x:v>
      </x:c>
    </x:row>
    <x:row r="24">
      <x:c r="B24" s="56">
        <x:v>122</x:v>
      </x:c>
      <x:c r="C24" s="57">
        <x:v>43000</x:v>
      </x:c>
      <x:c r="D24" s="25">
        <x:v>47500</x:v>
      </x:c>
      <x:c r="E24" s="25">
        <x:v>50500</x:v>
      </x:c>
      <x:c r="F24" s="58">
        <x:v>54500</x:v>
      </x:c>
      <x:c r="G24" s="23"/>
      <x:c r="H24" s="51">
        <x:v>22</x:v>
      </x:c>
      <x:c r="I24" s="56">
        <x:v>1100</x:v>
      </x:c>
      <x:c r="J24" s="57">
        <x:f t="shared" si="3"/>
        <x:v>160600</x:v>
      </x:c>
      <x:c r="K24" s="25">
        <x:f t="shared" si="0"/>
        <x:v>178200</x:v>
      </x:c>
      <x:c r="L24" s="25">
        <x:f t="shared" si="1"/>
        <x:v>191400</x:v>
      </x:c>
      <x:c r="M24" s="58">
        <x:f t="shared" si="2"/>
        <x:v>204600</x:v>
      </x:c>
    </x:row>
    <x:row r="25">
      <x:c r="B25" s="56">
        <x:v>123</x:v>
      </x:c>
      <x:c r="C25" s="57">
        <x:v>43000</x:v>
      </x:c>
      <x:c r="D25" s="25">
        <x:v>47500</x:v>
      </x:c>
      <x:c r="E25" s="25">
        <x:v>50500</x:v>
      </x:c>
      <x:c r="F25" s="58">
        <x:v>54500</x:v>
      </x:c>
      <x:c r="G25" s="23"/>
      <x:c r="H25" s="51">
        <x:v>23</x:v>
      </x:c>
      <x:c r="I25" s="56">
        <x:v>1150</x:v>
      </x:c>
      <x:c r="J25" s="57">
        <x:f t="shared" si="3"/>
        <x:v>167900</x:v>
      </x:c>
      <x:c r="K25" s="25">
        <x:f t="shared" si="0"/>
        <x:v>186300</x:v>
      </x:c>
      <x:c r="L25" s="25">
        <x:f t="shared" si="1"/>
        <x:v>200100</x:v>
      </x:c>
      <x:c r="M25" s="58">
        <x:f t="shared" si="2"/>
        <x:v>213900</x:v>
      </x:c>
    </x:row>
    <x:row r="26">
      <x:c r="B26" s="56">
        <x:v>124</x:v>
      </x:c>
      <x:c r="C26" s="57">
        <x:v>43000</x:v>
      </x:c>
      <x:c r="D26" s="25">
        <x:v>47500</x:v>
      </x:c>
      <x:c r="E26" s="25">
        <x:v>50500</x:v>
      </x:c>
      <x:c r="F26" s="58">
        <x:v>54500</x:v>
      </x:c>
      <x:c r="G26" s="23"/>
      <x:c r="H26" s="51">
        <x:v>24</x:v>
      </x:c>
      <x:c r="I26" s="56">
        <x:v>1200</x:v>
      </x:c>
      <x:c r="J26" s="57">
        <x:f t="shared" si="3"/>
        <x:v>175200</x:v>
      </x:c>
      <x:c r="K26" s="25">
        <x:f t="shared" si="0"/>
        <x:v>194400</x:v>
      </x:c>
      <x:c r="L26" s="25">
        <x:f t="shared" si="1"/>
        <x:v>208800</x:v>
      </x:c>
      <x:c r="M26" s="58">
        <x:f t="shared" si="2"/>
        <x:v>223200</x:v>
      </x:c>
    </x:row>
    <x:row r="27">
      <x:c r="B27" s="56">
        <x:v>125</x:v>
      </x:c>
      <x:c r="C27" s="57">
        <x:v>43000</x:v>
      </x:c>
      <x:c r="D27" s="25">
        <x:v>47500</x:v>
      </x:c>
      <x:c r="E27" s="25">
        <x:v>50500</x:v>
      </x:c>
      <x:c r="F27" s="58">
        <x:v>54500</x:v>
      </x:c>
      <x:c r="G27" s="23"/>
      <x:c r="H27" s="51">
        <x:v>25</x:v>
      </x:c>
      <x:c r="I27" s="56">
        <x:v>1250</x:v>
      </x:c>
      <x:c r="J27" s="57">
        <x:f t="shared" si="3"/>
        <x:v>182500</x:v>
      </x:c>
      <x:c r="K27" s="25">
        <x:f t="shared" si="0"/>
        <x:v>202500</x:v>
      </x:c>
      <x:c r="L27" s="25">
        <x:f t="shared" si="1"/>
        <x:v>217500</x:v>
      </x:c>
      <x:c r="M27" s="58">
        <x:f t="shared" si="2"/>
        <x:v>232500</x:v>
      </x:c>
    </x:row>
    <x:row r="28">
      <x:c r="B28" s="56">
        <x:v>126</x:v>
      </x:c>
      <x:c r="C28" s="57">
        <x:v>43000</x:v>
      </x:c>
      <x:c r="D28" s="25">
        <x:v>47500</x:v>
      </x:c>
      <x:c r="E28" s="25">
        <x:v>50500</x:v>
      </x:c>
      <x:c r="F28" s="58">
        <x:v>54500</x:v>
      </x:c>
      <x:c r="G28" s="23"/>
      <x:c r="H28" s="51">
        <x:v>26</x:v>
      </x:c>
      <x:c r="I28" s="56">
        <x:v>1300</x:v>
      </x:c>
      <x:c r="J28" s="57">
        <x:f t="shared" si="3"/>
        <x:v>189800</x:v>
      </x:c>
      <x:c r="K28" s="25">
        <x:f t="shared" si="0"/>
        <x:v>210600</x:v>
      </x:c>
      <x:c r="L28" s="25">
        <x:f t="shared" si="1"/>
        <x:v>226200</x:v>
      </x:c>
      <x:c r="M28" s="58">
        <x:f t="shared" si="2"/>
        <x:v>241800</x:v>
      </x:c>
    </x:row>
    <x:row r="29">
      <x:c r="B29" s="56">
        <x:v>127</x:v>
      </x:c>
      <x:c r="C29" s="57">
        <x:v>43000</x:v>
      </x:c>
      <x:c r="D29" s="25">
        <x:v>47500</x:v>
      </x:c>
      <x:c r="E29" s="25">
        <x:v>50500</x:v>
      </x:c>
      <x:c r="F29" s="58">
        <x:v>54500</x:v>
      </x:c>
      <x:c r="G29" s="23"/>
      <x:c r="H29" s="51">
        <x:v>27</x:v>
      </x:c>
      <x:c r="I29" s="56">
        <x:v>1350</x:v>
      </x:c>
      <x:c r="J29" s="57">
        <x:f t="shared" si="3"/>
        <x:v>197100</x:v>
      </x:c>
      <x:c r="K29" s="25">
        <x:f t="shared" si="0"/>
        <x:v>218700</x:v>
      </x:c>
      <x:c r="L29" s="25">
        <x:f t="shared" si="1"/>
        <x:v>234900</x:v>
      </x:c>
      <x:c r="M29" s="58">
        <x:f t="shared" si="2"/>
        <x:v>251100</x:v>
      </x:c>
    </x:row>
    <x:row r="30">
      <x:c r="B30" s="56">
        <x:v>128</x:v>
      </x:c>
      <x:c r="C30" s="57">
        <x:v>43000</x:v>
      </x:c>
      <x:c r="D30" s="25">
        <x:v>47500</x:v>
      </x:c>
      <x:c r="E30" s="25">
        <x:v>50500</x:v>
      </x:c>
      <x:c r="F30" s="58">
        <x:v>54500</x:v>
      </x:c>
      <x:c r="G30" s="23"/>
      <x:c r="H30" s="51">
        <x:v>28</x:v>
      </x:c>
      <x:c r="I30" s="56">
        <x:v>1400</x:v>
      </x:c>
      <x:c r="J30" s="57">
        <x:f t="shared" si="3"/>
        <x:v>204400</x:v>
      </x:c>
      <x:c r="K30" s="25">
        <x:f t="shared" si="0"/>
        <x:v>226800</x:v>
      </x:c>
      <x:c r="L30" s="25">
        <x:f t="shared" si="1"/>
        <x:v>243600</x:v>
      </x:c>
      <x:c r="M30" s="58">
        <x:f t="shared" si="2"/>
        <x:v>260400</x:v>
      </x:c>
    </x:row>
    <x:row r="31">
      <x:c r="B31" s="56">
        <x:v>129</x:v>
      </x:c>
      <x:c r="C31" s="57">
        <x:v>43000</x:v>
      </x:c>
      <x:c r="D31" s="25">
        <x:v>47500</x:v>
      </x:c>
      <x:c r="E31" s="25">
        <x:v>50500</x:v>
      </x:c>
      <x:c r="F31" s="58">
        <x:v>54500</x:v>
      </x:c>
      <x:c r="G31" s="23"/>
      <x:c r="H31" s="51">
        <x:v>29</x:v>
      </x:c>
      <x:c r="I31" s="56">
        <x:v>1450</x:v>
      </x:c>
      <x:c r="J31" s="57">
        <x:f t="shared" si="3"/>
        <x:v>211700</x:v>
      </x:c>
      <x:c r="K31" s="25">
        <x:f t="shared" si="0"/>
        <x:v>234900</x:v>
      </x:c>
      <x:c r="L31" s="25">
        <x:f t="shared" si="1"/>
        <x:v>252300</x:v>
      </x:c>
      <x:c r="M31" s="58">
        <x:f t="shared" si="2"/>
        <x:v>269700</x:v>
      </x:c>
    </x:row>
    <x:row r="32">
      <x:c r="B32" s="56">
        <x:v>130</x:v>
      </x:c>
      <x:c r="C32" s="57">
        <x:v>43000</x:v>
      </x:c>
      <x:c r="D32" s="25">
        <x:v>47500</x:v>
      </x:c>
      <x:c r="E32" s="25">
        <x:v>50500</x:v>
      </x:c>
      <x:c r="F32" s="58">
        <x:v>54500</x:v>
      </x:c>
      <x:c r="G32" s="23"/>
      <x:c r="H32" s="51">
        <x:v>30</x:v>
      </x:c>
      <x:c r="I32" s="56">
        <x:v>1500</x:v>
      </x:c>
      <x:c r="J32" s="57">
        <x:f t="shared" si="3"/>
        <x:v>219000</x:v>
      </x:c>
      <x:c r="K32" s="25">
        <x:f t="shared" si="0"/>
        <x:v>243000</x:v>
      </x:c>
      <x:c r="L32" s="25">
        <x:f t="shared" si="1"/>
        <x:v>261000</x:v>
      </x:c>
      <x:c r="M32" s="58">
        <x:f t="shared" si="2"/>
        <x:v>279000</x:v>
      </x:c>
    </x:row>
    <x:row r="33">
      <x:c r="B33" s="56">
        <x:v>131</x:v>
      </x:c>
      <x:c r="C33" s="57">
        <x:v>44500</x:v>
      </x:c>
      <x:c r="D33" s="25">
        <x:v>49000</x:v>
      </x:c>
      <x:c r="E33" s="25">
        <x:v>52500</x:v>
      </x:c>
      <x:c r="F33" s="58">
        <x:v>56500</x:v>
      </x:c>
      <x:c r="G33" s="23"/>
      <x:c r="H33" s="51">
        <x:v>31</x:v>
      </x:c>
      <x:c r="I33" s="56">
        <x:v>1550</x:v>
      </x:c>
      <x:c r="J33" s="57">
        <x:f t="shared" si="3"/>
        <x:v>226300</x:v>
      </x:c>
      <x:c r="K33" s="25">
        <x:f t="shared" si="0"/>
        <x:v>251100</x:v>
      </x:c>
      <x:c r="L33" s="25">
        <x:f t="shared" si="1"/>
        <x:v>269700</x:v>
      </x:c>
      <x:c r="M33" s="58">
        <x:f t="shared" si="2"/>
        <x:v>288300</x:v>
      </x:c>
    </x:row>
    <x:row r="34">
      <x:c r="B34" s="56">
        <x:v>132</x:v>
      </x:c>
      <x:c r="C34" s="57">
        <x:v>44500</x:v>
      </x:c>
      <x:c r="D34" s="25">
        <x:v>49000</x:v>
      </x:c>
      <x:c r="E34" s="25">
        <x:v>52500</x:v>
      </x:c>
      <x:c r="F34" s="58">
        <x:v>56500</x:v>
      </x:c>
      <x:c r="G34" s="23"/>
      <x:c r="H34" s="51">
        <x:v>32</x:v>
      </x:c>
      <x:c r="I34" s="56">
        <x:v>1600</x:v>
      </x:c>
      <x:c r="J34" s="57">
        <x:f t="shared" si="3"/>
        <x:v>233600</x:v>
      </x:c>
      <x:c r="K34" s="25">
        <x:f t="shared" si="0"/>
        <x:v>259200</x:v>
      </x:c>
      <x:c r="L34" s="25">
        <x:f t="shared" si="1"/>
        <x:v>278400</x:v>
      </x:c>
      <x:c r="M34" s="58">
        <x:f t="shared" si="2"/>
        <x:v>297600</x:v>
      </x:c>
    </x:row>
    <x:row r="35">
      <x:c r="B35" s="56">
        <x:v>133</x:v>
      </x:c>
      <x:c r="C35" s="57">
        <x:v>44500</x:v>
      </x:c>
      <x:c r="D35" s="25">
        <x:v>49000</x:v>
      </x:c>
      <x:c r="E35" s="25">
        <x:v>52500</x:v>
      </x:c>
      <x:c r="F35" s="58">
        <x:v>56500</x:v>
      </x:c>
      <x:c r="G35" s="23"/>
      <x:c r="H35" s="51">
        <x:v>33</x:v>
      </x:c>
      <x:c r="I35" s="56">
        <x:v>1650</x:v>
      </x:c>
      <x:c r="J35" s="57">
        <x:f t="shared" si="3"/>
        <x:v>240900</x:v>
      </x:c>
      <x:c r="K35" s="25">
        <x:f t="shared" si="0"/>
        <x:v>267300</x:v>
      </x:c>
      <x:c r="L35" s="25">
        <x:f t="shared" si="1"/>
        <x:v>287100</x:v>
      </x:c>
      <x:c r="M35" s="58">
        <x:f t="shared" si="2"/>
        <x:v>306900</x:v>
      </x:c>
    </x:row>
    <x:row r="36">
      <x:c r="B36" s="56">
        <x:v>134</x:v>
      </x:c>
      <x:c r="C36" s="57">
        <x:v>44500</x:v>
      </x:c>
      <x:c r="D36" s="25">
        <x:v>49000</x:v>
      </x:c>
      <x:c r="E36" s="25">
        <x:v>52500</x:v>
      </x:c>
      <x:c r="F36" s="58">
        <x:v>56500</x:v>
      </x:c>
      <x:c r="G36" s="23"/>
      <x:c r="H36" s="51">
        <x:v>34</x:v>
      </x:c>
      <x:c r="I36" s="56">
        <x:v>1700</x:v>
      </x:c>
      <x:c r="J36" s="57">
        <x:f t="shared" si="3"/>
        <x:v>248200</x:v>
      </x:c>
      <x:c r="K36" s="25">
        <x:f t="shared" si="0"/>
        <x:v>275400</x:v>
      </x:c>
      <x:c r="L36" s="25">
        <x:f t="shared" si="1"/>
        <x:v>295800</x:v>
      </x:c>
      <x:c r="M36" s="58">
        <x:f t="shared" si="2"/>
        <x:v>316200</x:v>
      </x:c>
    </x:row>
    <x:row r="37">
      <x:c r="B37" s="56">
        <x:v>135</x:v>
      </x:c>
      <x:c r="C37" s="57">
        <x:v>44500</x:v>
      </x:c>
      <x:c r="D37" s="25">
        <x:v>49000</x:v>
      </x:c>
      <x:c r="E37" s="25">
        <x:v>52500</x:v>
      </x:c>
      <x:c r="F37" s="58">
        <x:v>56500</x:v>
      </x:c>
      <x:c r="G37" s="23"/>
      <x:c r="H37" s="51">
        <x:v>35</x:v>
      </x:c>
      <x:c r="I37" s="56">
        <x:v>1750</x:v>
      </x:c>
      <x:c r="J37" s="57">
        <x:f t="shared" si="3"/>
        <x:v>255500</x:v>
      </x:c>
      <x:c r="K37" s="25">
        <x:f t="shared" si="0"/>
        <x:v>283500</x:v>
      </x:c>
      <x:c r="L37" s="25">
        <x:f t="shared" si="1"/>
        <x:v>304500</x:v>
      </x:c>
      <x:c r="M37" s="58">
        <x:f t="shared" si="2"/>
        <x:v>325500</x:v>
      </x:c>
    </x:row>
    <x:row r="38">
      <x:c r="B38" s="56">
        <x:v>136</x:v>
      </x:c>
      <x:c r="C38" s="57">
        <x:v>44500</x:v>
      </x:c>
      <x:c r="D38" s="25">
        <x:v>49000</x:v>
      </x:c>
      <x:c r="E38" s="25">
        <x:v>52500</x:v>
      </x:c>
      <x:c r="F38" s="58">
        <x:v>56500</x:v>
      </x:c>
      <x:c r="G38" s="23"/>
      <x:c r="H38" s="51">
        <x:v>36</x:v>
      </x:c>
      <x:c r="I38" s="56">
        <x:v>1800</x:v>
      </x:c>
      <x:c r="J38" s="57">
        <x:f t="shared" si="3"/>
        <x:v>262800</x:v>
      </x:c>
      <x:c r="K38" s="25">
        <x:f t="shared" si="0"/>
        <x:v>291600</x:v>
      </x:c>
      <x:c r="L38" s="25">
        <x:f t="shared" si="1"/>
        <x:v>313200</x:v>
      </x:c>
      <x:c r="M38" s="58">
        <x:f t="shared" si="2"/>
        <x:v>334800</x:v>
      </x:c>
    </x:row>
    <x:row r="39">
      <x:c r="B39" s="56">
        <x:v>137</x:v>
      </x:c>
      <x:c r="C39" s="57">
        <x:v>44500</x:v>
      </x:c>
      <x:c r="D39" s="25">
        <x:v>49000</x:v>
      </x:c>
      <x:c r="E39" s="25">
        <x:v>52500</x:v>
      </x:c>
      <x:c r="F39" s="58">
        <x:v>56500</x:v>
      </x:c>
      <x:c r="G39" s="23"/>
      <x:c r="H39" s="51">
        <x:v>37</x:v>
      </x:c>
      <x:c r="I39" s="56">
        <x:v>1850</x:v>
      </x:c>
      <x:c r="J39" s="57">
        <x:f t="shared" si="3"/>
        <x:v>270100</x:v>
      </x:c>
      <x:c r="K39" s="25">
        <x:f t="shared" si="0"/>
        <x:v>299700</x:v>
      </x:c>
      <x:c r="L39" s="25">
        <x:f t="shared" si="1"/>
        <x:v>321900</x:v>
      </x:c>
      <x:c r="M39" s="58">
        <x:f t="shared" si="2"/>
        <x:v>344100</x:v>
      </x:c>
    </x:row>
    <x:row r="40">
      <x:c r="B40" s="56">
        <x:v>138</x:v>
      </x:c>
      <x:c r="C40" s="57">
        <x:v>44500</x:v>
      </x:c>
      <x:c r="D40" s="25">
        <x:v>49000</x:v>
      </x:c>
      <x:c r="E40" s="25">
        <x:v>52500</x:v>
      </x:c>
      <x:c r="F40" s="58">
        <x:v>56500</x:v>
      </x:c>
      <x:c r="G40" s="23"/>
      <x:c r="H40" s="51">
        <x:v>38</x:v>
      </x:c>
      <x:c r="I40" s="56">
        <x:v>1900</x:v>
      </x:c>
      <x:c r="J40" s="57">
        <x:f t="shared" si="3"/>
        <x:v>277400</x:v>
      </x:c>
      <x:c r="K40" s="25">
        <x:f t="shared" si="0"/>
        <x:v>307800</x:v>
      </x:c>
      <x:c r="L40" s="25">
        <x:f t="shared" si="1"/>
        <x:v>330600</x:v>
      </x:c>
      <x:c r="M40" s="58">
        <x:f t="shared" si="2"/>
        <x:v>353400</x:v>
      </x:c>
    </x:row>
    <x:row r="41">
      <x:c r="B41" s="56">
        <x:v>139</x:v>
      </x:c>
      <x:c r="C41" s="57">
        <x:v>44500</x:v>
      </x:c>
      <x:c r="D41" s="25">
        <x:v>49000</x:v>
      </x:c>
      <x:c r="E41" s="25">
        <x:v>52500</x:v>
      </x:c>
      <x:c r="F41" s="58">
        <x:v>56500</x:v>
      </x:c>
      <x:c r="G41" s="23"/>
      <x:c r="H41" s="51">
        <x:v>39</x:v>
      </x:c>
      <x:c r="I41" s="56">
        <x:v>1950</x:v>
      </x:c>
      <x:c r="J41" s="57">
        <x:f t="shared" si="3"/>
        <x:v>284700</x:v>
      </x:c>
      <x:c r="K41" s="25">
        <x:f t="shared" si="0"/>
        <x:v>315900</x:v>
      </x:c>
      <x:c r="L41" s="25">
        <x:f t="shared" si="1"/>
        <x:v>339300</x:v>
      </x:c>
      <x:c r="M41" s="58">
        <x:f t="shared" si="2"/>
        <x:v>362700</x:v>
      </x:c>
    </x:row>
    <x:row r="42" ht="19.5">
      <x:c r="B42" s="56">
        <x:v>140</x:v>
      </x:c>
      <x:c r="C42" s="57">
        <x:v>44500</x:v>
      </x:c>
      <x:c r="D42" s="25">
        <x:v>49000</x:v>
      </x:c>
      <x:c r="E42" s="25">
        <x:v>52500</x:v>
      </x:c>
      <x:c r="F42" s="58">
        <x:v>56500</x:v>
      </x:c>
      <x:c r="G42" s="23"/>
      <x:c r="H42" s="51">
        <x:v>40</x:v>
      </x:c>
      <x:c r="I42" s="59">
        <x:v>2000</x:v>
      </x:c>
      <x:c r="J42" s="60">
        <x:f t="shared" si="3"/>
        <x:v>292000</x:v>
      </x:c>
      <x:c r="K42" s="61">
        <x:f t="shared" si="0"/>
        <x:v>324000</x:v>
      </x:c>
      <x:c r="L42" s="61">
        <x:f t="shared" si="1"/>
        <x:v>348000</x:v>
      </x:c>
      <x:c r="M42" s="62">
        <x:f t="shared" si="2"/>
        <x:v>372000</x:v>
      </x:c>
    </x:row>
    <x:row r="43">
      <x:c r="B43" s="56">
        <x:v>141</x:v>
      </x:c>
      <x:c r="C43" s="57">
        <x:v>46500</x:v>
      </x:c>
      <x:c r="D43" s="25">
        <x:v>51000</x:v>
      </x:c>
      <x:c r="E43" s="25">
        <x:v>54500</x:v>
      </x:c>
      <x:c r="F43" s="58">
        <x:v>58500</x:v>
      </x:c>
      <x:c r="G43" s="23"/>
    </x:row>
    <x:row r="44">
      <x:c r="B44" s="56">
        <x:v>142</x:v>
      </x:c>
      <x:c r="C44" s="57">
        <x:v>46500</x:v>
      </x:c>
      <x:c r="D44" s="25">
        <x:v>51000</x:v>
      </x:c>
      <x:c r="E44" s="25">
        <x:v>54500</x:v>
      </x:c>
      <x:c r="F44" s="58">
        <x:v>58500</x:v>
      </x:c>
      <x:c r="G44" s="23"/>
    </x:row>
    <x:row r="45">
      <x:c r="B45" s="56">
        <x:v>143</x:v>
      </x:c>
      <x:c r="C45" s="57">
        <x:v>46500</x:v>
      </x:c>
      <x:c r="D45" s="25">
        <x:v>51000</x:v>
      </x:c>
      <x:c r="E45" s="25">
        <x:v>54500</x:v>
      </x:c>
      <x:c r="F45" s="58">
        <x:v>58500</x:v>
      </x:c>
      <x:c r="G45" s="23"/>
    </x:row>
    <x:row r="46">
      <x:c r="B46" s="56">
        <x:v>144</x:v>
      </x:c>
      <x:c r="C46" s="57">
        <x:v>46500</x:v>
      </x:c>
      <x:c r="D46" s="25">
        <x:v>51000</x:v>
      </x:c>
      <x:c r="E46" s="25">
        <x:v>54500</x:v>
      </x:c>
      <x:c r="F46" s="58">
        <x:v>58500</x:v>
      </x:c>
      <x:c r="G46" s="23"/>
    </x:row>
    <x:row r="47">
      <x:c r="B47" s="56">
        <x:v>145</x:v>
      </x:c>
      <x:c r="C47" s="57">
        <x:v>46500</x:v>
      </x:c>
      <x:c r="D47" s="25">
        <x:v>51000</x:v>
      </x:c>
      <x:c r="E47" s="25">
        <x:v>54500</x:v>
      </x:c>
      <x:c r="F47" s="58">
        <x:v>58500</x:v>
      </x:c>
      <x:c r="G47" s="23"/>
    </x:row>
    <x:row r="48">
      <x:c r="B48" s="56">
        <x:v>146</x:v>
      </x:c>
      <x:c r="C48" s="57">
        <x:v>46500</x:v>
      </x:c>
      <x:c r="D48" s="25">
        <x:v>51000</x:v>
      </x:c>
      <x:c r="E48" s="25">
        <x:v>54500</x:v>
      </x:c>
      <x:c r="F48" s="58">
        <x:v>58500</x:v>
      </x:c>
      <x:c r="G48" s="23"/>
    </x:row>
    <x:row r="49">
      <x:c r="B49" s="56">
        <x:v>147</x:v>
      </x:c>
      <x:c r="C49" s="57">
        <x:v>46500</x:v>
      </x:c>
      <x:c r="D49" s="25">
        <x:v>51000</x:v>
      </x:c>
      <x:c r="E49" s="25">
        <x:v>54500</x:v>
      </x:c>
      <x:c r="F49" s="58">
        <x:v>58500</x:v>
      </x:c>
      <x:c r="G49" s="23"/>
    </x:row>
    <x:row r="50">
      <x:c r="B50" s="56">
        <x:v>148</x:v>
      </x:c>
      <x:c r="C50" s="57">
        <x:v>46500</x:v>
      </x:c>
      <x:c r="D50" s="25">
        <x:v>51000</x:v>
      </x:c>
      <x:c r="E50" s="25">
        <x:v>54500</x:v>
      </x:c>
      <x:c r="F50" s="58">
        <x:v>58500</x:v>
      </x:c>
      <x:c r="G50" s="23"/>
    </x:row>
    <x:row r="51">
      <x:c r="B51" s="56">
        <x:v>149</x:v>
      </x:c>
      <x:c r="C51" s="57">
        <x:v>46500</x:v>
      </x:c>
      <x:c r="D51" s="25">
        <x:v>51000</x:v>
      </x:c>
      <x:c r="E51" s="25">
        <x:v>54500</x:v>
      </x:c>
      <x:c r="F51" s="58">
        <x:v>58500</x:v>
      </x:c>
      <x:c r="G51" s="23"/>
    </x:row>
    <x:row r="52">
      <x:c r="B52" s="56">
        <x:v>150</x:v>
      </x:c>
      <x:c r="C52" s="57">
        <x:v>46500</x:v>
      </x:c>
      <x:c r="D52" s="25">
        <x:v>51000</x:v>
      </x:c>
      <x:c r="E52" s="25">
        <x:v>54500</x:v>
      </x:c>
      <x:c r="F52" s="58">
        <x:v>58500</x:v>
      </x:c>
      <x:c r="G52" s="23"/>
    </x:row>
    <x:row r="53">
      <x:c r="B53" s="56">
        <x:v>151</x:v>
      </x:c>
      <x:c r="C53" s="57">
        <x:v>48000</x:v>
      </x:c>
      <x:c r="D53" s="25">
        <x:v>52500</x:v>
      </x:c>
      <x:c r="E53" s="25">
        <x:v>56500</x:v>
      </x:c>
      <x:c r="F53" s="58">
        <x:v>60000</x:v>
      </x:c>
      <x:c r="G53" s="23"/>
    </x:row>
    <x:row r="54">
      <x:c r="B54" s="56">
        <x:v>152</x:v>
      </x:c>
      <x:c r="C54" s="57">
        <x:v>48000</x:v>
      </x:c>
      <x:c r="D54" s="25">
        <x:v>52500</x:v>
      </x:c>
      <x:c r="E54" s="25">
        <x:v>56500</x:v>
      </x:c>
      <x:c r="F54" s="58">
        <x:v>60000</x:v>
      </x:c>
      <x:c r="G54" s="23"/>
    </x:row>
    <x:row r="55">
      <x:c r="B55" s="56">
        <x:v>153</x:v>
      </x:c>
      <x:c r="C55" s="57">
        <x:v>48000</x:v>
      </x:c>
      <x:c r="D55" s="25">
        <x:v>52500</x:v>
      </x:c>
      <x:c r="E55" s="25">
        <x:v>56500</x:v>
      </x:c>
      <x:c r="F55" s="58">
        <x:v>60000</x:v>
      </x:c>
      <x:c r="G55" s="23"/>
    </x:row>
    <x:row r="56">
      <x:c r="B56" s="56">
        <x:v>154</x:v>
      </x:c>
      <x:c r="C56" s="57">
        <x:v>48000</x:v>
      </x:c>
      <x:c r="D56" s="25">
        <x:v>52500</x:v>
      </x:c>
      <x:c r="E56" s="25">
        <x:v>56500</x:v>
      </x:c>
      <x:c r="F56" s="58">
        <x:v>60000</x:v>
      </x:c>
      <x:c r="G56" s="23"/>
    </x:row>
    <x:row r="57">
      <x:c r="B57" s="56">
        <x:v>155</x:v>
      </x:c>
      <x:c r="C57" s="57">
        <x:v>48000</x:v>
      </x:c>
      <x:c r="D57" s="25">
        <x:v>52500</x:v>
      </x:c>
      <x:c r="E57" s="25">
        <x:v>56500</x:v>
      </x:c>
      <x:c r="F57" s="58">
        <x:v>60000</x:v>
      </x:c>
      <x:c r="G57" s="23"/>
    </x:row>
    <x:row r="58">
      <x:c r="B58" s="56">
        <x:v>156</x:v>
      </x:c>
      <x:c r="C58" s="57">
        <x:v>48000</x:v>
      </x:c>
      <x:c r="D58" s="25">
        <x:v>52500</x:v>
      </x:c>
      <x:c r="E58" s="25">
        <x:v>56500</x:v>
      </x:c>
      <x:c r="F58" s="58">
        <x:v>60000</x:v>
      </x:c>
      <x:c r="G58" s="23"/>
    </x:row>
    <x:row r="59">
      <x:c r="B59" s="56">
        <x:v>157</x:v>
      </x:c>
      <x:c r="C59" s="57">
        <x:v>48000</x:v>
      </x:c>
      <x:c r="D59" s="25">
        <x:v>52500</x:v>
      </x:c>
      <x:c r="E59" s="25">
        <x:v>56500</x:v>
      </x:c>
      <x:c r="F59" s="58">
        <x:v>60000</x:v>
      </x:c>
      <x:c r="G59" s="23"/>
    </x:row>
    <x:row r="60">
      <x:c r="B60" s="56">
        <x:v>158</x:v>
      </x:c>
      <x:c r="C60" s="57">
        <x:v>48000</x:v>
      </x:c>
      <x:c r="D60" s="25">
        <x:v>52500</x:v>
      </x:c>
      <x:c r="E60" s="25">
        <x:v>56500</x:v>
      </x:c>
      <x:c r="F60" s="58">
        <x:v>60000</x:v>
      </x:c>
      <x:c r="G60" s="23"/>
    </x:row>
    <x:row r="61">
      <x:c r="B61" s="56">
        <x:v>159</x:v>
      </x:c>
      <x:c r="C61" s="57">
        <x:v>48000</x:v>
      </x:c>
      <x:c r="D61" s="25">
        <x:v>52500</x:v>
      </x:c>
      <x:c r="E61" s="25">
        <x:v>56500</x:v>
      </x:c>
      <x:c r="F61" s="58">
        <x:v>60000</x:v>
      </x:c>
      <x:c r="G61" s="23"/>
    </x:row>
    <x:row r="62">
      <x:c r="B62" s="56">
        <x:v>160</x:v>
      </x:c>
      <x:c r="C62" s="57">
        <x:v>48000</x:v>
      </x:c>
      <x:c r="D62" s="25">
        <x:v>52500</x:v>
      </x:c>
      <x:c r="E62" s="25">
        <x:v>56500</x:v>
      </x:c>
      <x:c r="F62" s="58">
        <x:v>60000</x:v>
      </x:c>
      <x:c r="G62" s="23"/>
    </x:row>
    <x:row r="63">
      <x:c r="B63" s="56">
        <x:v>161</x:v>
      </x:c>
      <x:c r="C63" s="57">
        <x:v>49500</x:v>
      </x:c>
      <x:c r="D63" s="25">
        <x:v>55000</x:v>
      </x:c>
      <x:c r="E63" s="25">
        <x:v>58500</x:v>
      </x:c>
      <x:c r="F63" s="58">
        <x:v>62000</x:v>
      </x:c>
      <x:c r="G63" s="23"/>
    </x:row>
    <x:row r="64">
      <x:c r="B64" s="56">
        <x:v>162</x:v>
      </x:c>
      <x:c r="C64" s="57">
        <x:v>49500</x:v>
      </x:c>
      <x:c r="D64" s="25">
        <x:v>55000</x:v>
      </x:c>
      <x:c r="E64" s="25">
        <x:v>58500</x:v>
      </x:c>
      <x:c r="F64" s="58">
        <x:v>62000</x:v>
      </x:c>
      <x:c r="G64" s="23"/>
    </x:row>
    <x:row r="65">
      <x:c r="B65" s="56">
        <x:v>163</x:v>
      </x:c>
      <x:c r="C65" s="57">
        <x:v>49500</x:v>
      </x:c>
      <x:c r="D65" s="25">
        <x:v>55000</x:v>
      </x:c>
      <x:c r="E65" s="25">
        <x:v>58500</x:v>
      </x:c>
      <x:c r="F65" s="58">
        <x:v>62000</x:v>
      </x:c>
      <x:c r="G65" s="23"/>
    </x:row>
    <x:row r="66">
      <x:c r="B66" s="56">
        <x:v>164</x:v>
      </x:c>
      <x:c r="C66" s="57">
        <x:v>49500</x:v>
      </x:c>
      <x:c r="D66" s="25">
        <x:v>55000</x:v>
      </x:c>
      <x:c r="E66" s="25">
        <x:v>58500</x:v>
      </x:c>
      <x:c r="F66" s="58">
        <x:v>62000</x:v>
      </x:c>
      <x:c r="G66" s="23"/>
    </x:row>
    <x:row r="67">
      <x:c r="B67" s="56">
        <x:v>165</x:v>
      </x:c>
      <x:c r="C67" s="57">
        <x:v>49500</x:v>
      </x:c>
      <x:c r="D67" s="25">
        <x:v>55000</x:v>
      </x:c>
      <x:c r="E67" s="25">
        <x:v>58500</x:v>
      </x:c>
      <x:c r="F67" s="58">
        <x:v>62000</x:v>
      </x:c>
      <x:c r="G67" s="23"/>
    </x:row>
    <x:row r="68">
      <x:c r="B68" s="56">
        <x:v>166</x:v>
      </x:c>
      <x:c r="C68" s="57">
        <x:v>49500</x:v>
      </x:c>
      <x:c r="D68" s="25">
        <x:v>55000</x:v>
      </x:c>
      <x:c r="E68" s="25">
        <x:v>58500</x:v>
      </x:c>
      <x:c r="F68" s="58">
        <x:v>62000</x:v>
      </x:c>
      <x:c r="G68" s="23"/>
    </x:row>
    <x:row r="69">
      <x:c r="B69" s="56">
        <x:v>167</x:v>
      </x:c>
      <x:c r="C69" s="57">
        <x:v>49500</x:v>
      </x:c>
      <x:c r="D69" s="25">
        <x:v>55000</x:v>
      </x:c>
      <x:c r="E69" s="25">
        <x:v>58500</x:v>
      </x:c>
      <x:c r="F69" s="58">
        <x:v>62000</x:v>
      </x:c>
      <x:c r="G69" s="23"/>
    </x:row>
    <x:row r="70">
      <x:c r="B70" s="56">
        <x:v>168</x:v>
      </x:c>
      <x:c r="C70" s="57">
        <x:v>49500</x:v>
      </x:c>
      <x:c r="D70" s="25">
        <x:v>55000</x:v>
      </x:c>
      <x:c r="E70" s="25">
        <x:v>58500</x:v>
      </x:c>
      <x:c r="F70" s="58">
        <x:v>62000</x:v>
      </x:c>
      <x:c r="G70" s="23"/>
    </x:row>
    <x:row r="71">
      <x:c r="B71" s="56">
        <x:v>169</x:v>
      </x:c>
      <x:c r="C71" s="57">
        <x:v>49500</x:v>
      </x:c>
      <x:c r="D71" s="25">
        <x:v>55000</x:v>
      </x:c>
      <x:c r="E71" s="25">
        <x:v>58500</x:v>
      </x:c>
      <x:c r="F71" s="58">
        <x:v>62000</x:v>
      </x:c>
      <x:c r="G71" s="23"/>
    </x:row>
    <x:row r="72">
      <x:c r="B72" s="56">
        <x:v>170</x:v>
      </x:c>
      <x:c r="C72" s="57">
        <x:v>49500</x:v>
      </x:c>
      <x:c r="D72" s="25">
        <x:v>55000</x:v>
      </x:c>
      <x:c r="E72" s="25">
        <x:v>58500</x:v>
      </x:c>
      <x:c r="F72" s="58">
        <x:v>62000</x:v>
      </x:c>
      <x:c r="G72" s="23"/>
    </x:row>
    <x:row r="73">
      <x:c r="B73" s="56">
        <x:v>171</x:v>
      </x:c>
      <x:c r="C73" s="57">
        <x:v>51000</x:v>
      </x:c>
      <x:c r="D73" s="25">
        <x:v>56500</x:v>
      </x:c>
      <x:c r="E73" s="25">
        <x:v>60000</x:v>
      </x:c>
      <x:c r="F73" s="58">
        <x:v>64500</x:v>
      </x:c>
      <x:c r="G73" s="23"/>
    </x:row>
    <x:row r="74">
      <x:c r="B74" s="56">
        <x:v>172</x:v>
      </x:c>
      <x:c r="C74" s="57">
        <x:v>51000</x:v>
      </x:c>
      <x:c r="D74" s="25">
        <x:v>56500</x:v>
      </x:c>
      <x:c r="E74" s="25">
        <x:v>60000</x:v>
      </x:c>
      <x:c r="F74" s="58">
        <x:v>64500</x:v>
      </x:c>
      <x:c r="G74" s="23"/>
    </x:row>
    <x:row r="75">
      <x:c r="B75" s="56">
        <x:v>173</x:v>
      </x:c>
      <x:c r="C75" s="57">
        <x:v>51000</x:v>
      </x:c>
      <x:c r="D75" s="25">
        <x:v>56500</x:v>
      </x:c>
      <x:c r="E75" s="25">
        <x:v>60000</x:v>
      </x:c>
      <x:c r="F75" s="58">
        <x:v>64500</x:v>
      </x:c>
      <x:c r="G75" s="23"/>
    </x:row>
    <x:row r="76">
      <x:c r="B76" s="56">
        <x:v>174</x:v>
      </x:c>
      <x:c r="C76" s="57">
        <x:v>51000</x:v>
      </x:c>
      <x:c r="D76" s="25">
        <x:v>56500</x:v>
      </x:c>
      <x:c r="E76" s="25">
        <x:v>60000</x:v>
      </x:c>
      <x:c r="F76" s="58">
        <x:v>64500</x:v>
      </x:c>
      <x:c r="G76" s="23"/>
    </x:row>
    <x:row r="77">
      <x:c r="B77" s="56">
        <x:v>175</x:v>
      </x:c>
      <x:c r="C77" s="57">
        <x:v>51000</x:v>
      </x:c>
      <x:c r="D77" s="25">
        <x:v>56500</x:v>
      </x:c>
      <x:c r="E77" s="25">
        <x:v>60000</x:v>
      </x:c>
      <x:c r="F77" s="58">
        <x:v>64500</x:v>
      </x:c>
      <x:c r="G77" s="23"/>
    </x:row>
    <x:row r="78">
      <x:c r="B78" s="56">
        <x:v>176</x:v>
      </x:c>
      <x:c r="C78" s="57">
        <x:v>51000</x:v>
      </x:c>
      <x:c r="D78" s="25">
        <x:v>56500</x:v>
      </x:c>
      <x:c r="E78" s="25">
        <x:v>60000</x:v>
      </x:c>
      <x:c r="F78" s="58">
        <x:v>64500</x:v>
      </x:c>
      <x:c r="G78" s="23"/>
    </x:row>
    <x:row r="79">
      <x:c r="B79" s="56">
        <x:v>177</x:v>
      </x:c>
      <x:c r="C79" s="57">
        <x:v>51000</x:v>
      </x:c>
      <x:c r="D79" s="25">
        <x:v>56500</x:v>
      </x:c>
      <x:c r="E79" s="25">
        <x:v>60000</x:v>
      </x:c>
      <x:c r="F79" s="58">
        <x:v>64500</x:v>
      </x:c>
      <x:c r="G79" s="23"/>
    </x:row>
    <x:row r="80">
      <x:c r="B80" s="56">
        <x:v>178</x:v>
      </x:c>
      <x:c r="C80" s="57">
        <x:v>51000</x:v>
      </x:c>
      <x:c r="D80" s="25">
        <x:v>56500</x:v>
      </x:c>
      <x:c r="E80" s="25">
        <x:v>60000</x:v>
      </x:c>
      <x:c r="F80" s="58">
        <x:v>64500</x:v>
      </x:c>
      <x:c r="G80" s="23"/>
    </x:row>
    <x:row r="81">
      <x:c r="B81" s="56">
        <x:v>179</x:v>
      </x:c>
      <x:c r="C81" s="57">
        <x:v>51000</x:v>
      </x:c>
      <x:c r="D81" s="25">
        <x:v>56500</x:v>
      </x:c>
      <x:c r="E81" s="25">
        <x:v>60000</x:v>
      </x:c>
      <x:c r="F81" s="58">
        <x:v>64500</x:v>
      </x:c>
      <x:c r="G81" s="23"/>
    </x:row>
    <x:row r="82">
      <x:c r="B82" s="56">
        <x:v>180</x:v>
      </x:c>
      <x:c r="C82" s="57">
        <x:v>51000</x:v>
      </x:c>
      <x:c r="D82" s="25">
        <x:v>56500</x:v>
      </x:c>
      <x:c r="E82" s="25">
        <x:v>60000</x:v>
      </x:c>
      <x:c r="F82" s="58">
        <x:v>64500</x:v>
      </x:c>
      <x:c r="G82" s="23"/>
    </x:row>
    <x:row r="83">
      <x:c r="B83" s="56">
        <x:v>181</x:v>
      </x:c>
      <x:c r="C83" s="57">
        <x:v>52500</x:v>
      </x:c>
      <x:c r="D83" s="25">
        <x:v>58500</x:v>
      </x:c>
      <x:c r="E83" s="25">
        <x:v>62000</x:v>
      </x:c>
      <x:c r="F83" s="58">
        <x:v>66500</x:v>
      </x:c>
      <x:c r="G83" s="23"/>
    </x:row>
    <x:row r="84">
      <x:c r="B84" s="56">
        <x:v>182</x:v>
      </x:c>
      <x:c r="C84" s="57">
        <x:v>52500</x:v>
      </x:c>
      <x:c r="D84" s="25">
        <x:v>58500</x:v>
      </x:c>
      <x:c r="E84" s="25">
        <x:v>62000</x:v>
      </x:c>
      <x:c r="F84" s="58">
        <x:v>66500</x:v>
      </x:c>
      <x:c r="G84" s="23"/>
    </x:row>
    <x:row r="85">
      <x:c r="B85" s="56">
        <x:v>183</x:v>
      </x:c>
      <x:c r="C85" s="57">
        <x:v>52500</x:v>
      </x:c>
      <x:c r="D85" s="25">
        <x:v>58500</x:v>
      </x:c>
      <x:c r="E85" s="25">
        <x:v>62000</x:v>
      </x:c>
      <x:c r="F85" s="58">
        <x:v>66500</x:v>
      </x:c>
      <x:c r="G85" s="23"/>
    </x:row>
    <x:row r="86">
      <x:c r="B86" s="56">
        <x:v>184</x:v>
      </x:c>
      <x:c r="C86" s="57">
        <x:v>52500</x:v>
      </x:c>
      <x:c r="D86" s="25">
        <x:v>58500</x:v>
      </x:c>
      <x:c r="E86" s="25">
        <x:v>62000</x:v>
      </x:c>
      <x:c r="F86" s="58">
        <x:v>66500</x:v>
      </x:c>
      <x:c r="G86" s="23"/>
    </x:row>
    <x:row r="87">
      <x:c r="B87" s="56">
        <x:v>185</x:v>
      </x:c>
      <x:c r="C87" s="57">
        <x:v>52500</x:v>
      </x:c>
      <x:c r="D87" s="25">
        <x:v>58500</x:v>
      </x:c>
      <x:c r="E87" s="25">
        <x:v>62000</x:v>
      </x:c>
      <x:c r="F87" s="58">
        <x:v>66500</x:v>
      </x:c>
      <x:c r="G87" s="23"/>
    </x:row>
    <x:row r="88">
      <x:c r="B88" s="56">
        <x:v>186</x:v>
      </x:c>
      <x:c r="C88" s="57">
        <x:v>52500</x:v>
      </x:c>
      <x:c r="D88" s="25">
        <x:v>58500</x:v>
      </x:c>
      <x:c r="E88" s="25">
        <x:v>62000</x:v>
      </x:c>
      <x:c r="F88" s="58">
        <x:v>66500</x:v>
      </x:c>
      <x:c r="G88" s="23"/>
    </x:row>
    <x:row r="89">
      <x:c r="B89" s="56">
        <x:v>187</x:v>
      </x:c>
      <x:c r="C89" s="57">
        <x:v>52500</x:v>
      </x:c>
      <x:c r="D89" s="25">
        <x:v>58500</x:v>
      </x:c>
      <x:c r="E89" s="25">
        <x:v>62000</x:v>
      </x:c>
      <x:c r="F89" s="58">
        <x:v>66500</x:v>
      </x:c>
      <x:c r="G89" s="23"/>
    </x:row>
    <x:row r="90">
      <x:c r="B90" s="56">
        <x:v>188</x:v>
      </x:c>
      <x:c r="C90" s="57">
        <x:v>52500</x:v>
      </x:c>
      <x:c r="D90" s="25">
        <x:v>58500</x:v>
      </x:c>
      <x:c r="E90" s="25">
        <x:v>62000</x:v>
      </x:c>
      <x:c r="F90" s="58">
        <x:v>66500</x:v>
      </x:c>
      <x:c r="G90" s="23"/>
    </x:row>
    <x:row r="91">
      <x:c r="B91" s="56">
        <x:v>189</x:v>
      </x:c>
      <x:c r="C91" s="57">
        <x:v>52500</x:v>
      </x:c>
      <x:c r="D91" s="25">
        <x:v>58500</x:v>
      </x:c>
      <x:c r="E91" s="25">
        <x:v>62000</x:v>
      </x:c>
      <x:c r="F91" s="58">
        <x:v>66500</x:v>
      </x:c>
      <x:c r="G91" s="23"/>
    </x:row>
    <x:row r="92">
      <x:c r="B92" s="56">
        <x:v>190</x:v>
      </x:c>
      <x:c r="C92" s="57">
        <x:v>52500</x:v>
      </x:c>
      <x:c r="D92" s="25">
        <x:v>58500</x:v>
      </x:c>
      <x:c r="E92" s="25">
        <x:v>62000</x:v>
      </x:c>
      <x:c r="F92" s="58">
        <x:v>66500</x:v>
      </x:c>
      <x:c r="G92" s="23"/>
    </x:row>
    <x:row r="93">
      <x:c r="B93" s="56">
        <x:v>191</x:v>
      </x:c>
      <x:c r="C93" s="57">
        <x:v>54500</x:v>
      </x:c>
      <x:c r="D93" s="25">
        <x:v>60000</x:v>
      </x:c>
      <x:c r="E93" s="25">
        <x:v>64500</x:v>
      </x:c>
      <x:c r="F93" s="58">
        <x:v>68500</x:v>
      </x:c>
      <x:c r="G93" s="23"/>
    </x:row>
    <x:row r="94">
      <x:c r="B94" s="56">
        <x:v>192</x:v>
      </x:c>
      <x:c r="C94" s="57">
        <x:v>54500</x:v>
      </x:c>
      <x:c r="D94" s="25">
        <x:v>60000</x:v>
      </x:c>
      <x:c r="E94" s="25">
        <x:v>64500</x:v>
      </x:c>
      <x:c r="F94" s="58">
        <x:v>68500</x:v>
      </x:c>
      <x:c r="G94" s="23"/>
    </x:row>
    <x:row r="95">
      <x:c r="B95" s="56">
        <x:v>193</x:v>
      </x:c>
      <x:c r="C95" s="57">
        <x:v>54500</x:v>
      </x:c>
      <x:c r="D95" s="25">
        <x:v>60000</x:v>
      </x:c>
      <x:c r="E95" s="25">
        <x:v>64500</x:v>
      </x:c>
      <x:c r="F95" s="58">
        <x:v>68500</x:v>
      </x:c>
      <x:c r="G95" s="23"/>
    </x:row>
    <x:row r="96">
      <x:c r="B96" s="56">
        <x:v>194</x:v>
      </x:c>
      <x:c r="C96" s="57">
        <x:v>54500</x:v>
      </x:c>
      <x:c r="D96" s="25">
        <x:v>60000</x:v>
      </x:c>
      <x:c r="E96" s="25">
        <x:v>64500</x:v>
      </x:c>
      <x:c r="F96" s="58">
        <x:v>68500</x:v>
      </x:c>
      <x:c r="G96" s="23"/>
    </x:row>
    <x:row r="97">
      <x:c r="B97" s="56">
        <x:v>195</x:v>
      </x:c>
      <x:c r="C97" s="57">
        <x:v>54500</x:v>
      </x:c>
      <x:c r="D97" s="25">
        <x:v>60000</x:v>
      </x:c>
      <x:c r="E97" s="25">
        <x:v>64500</x:v>
      </x:c>
      <x:c r="F97" s="58">
        <x:v>68500</x:v>
      </x:c>
      <x:c r="G97" s="23"/>
    </x:row>
    <x:row r="98">
      <x:c r="B98" s="56">
        <x:v>196</x:v>
      </x:c>
      <x:c r="C98" s="57">
        <x:v>54500</x:v>
      </x:c>
      <x:c r="D98" s="25">
        <x:v>60000</x:v>
      </x:c>
      <x:c r="E98" s="25">
        <x:v>64500</x:v>
      </x:c>
      <x:c r="F98" s="58">
        <x:v>68500</x:v>
      </x:c>
      <x:c r="G98" s="23"/>
    </x:row>
    <x:row r="99">
      <x:c r="B99" s="56">
        <x:v>197</x:v>
      </x:c>
      <x:c r="C99" s="57">
        <x:v>54500</x:v>
      </x:c>
      <x:c r="D99" s="25">
        <x:v>60000</x:v>
      </x:c>
      <x:c r="E99" s="25">
        <x:v>64500</x:v>
      </x:c>
      <x:c r="F99" s="58">
        <x:v>68500</x:v>
      </x:c>
      <x:c r="G99" s="23"/>
    </x:row>
    <x:row r="100">
      <x:c r="B100" s="56">
        <x:v>198</x:v>
      </x:c>
      <x:c r="C100" s="57">
        <x:v>54500</x:v>
      </x:c>
      <x:c r="D100" s="25">
        <x:v>60000</x:v>
      </x:c>
      <x:c r="E100" s="25">
        <x:v>64500</x:v>
      </x:c>
      <x:c r="F100" s="58">
        <x:v>68500</x:v>
      </x:c>
      <x:c r="G100" s="23"/>
    </x:row>
    <x:row r="101">
      <x:c r="B101" s="56">
        <x:v>199</x:v>
      </x:c>
      <x:c r="C101" s="57">
        <x:v>54500</x:v>
      </x:c>
      <x:c r="D101" s="25">
        <x:v>60000</x:v>
      </x:c>
      <x:c r="E101" s="25">
        <x:v>64500</x:v>
      </x:c>
      <x:c r="F101" s="58">
        <x:v>68500</x:v>
      </x:c>
      <x:c r="G101" s="23"/>
    </x:row>
    <x:row r="102">
      <x:c r="B102" s="56">
        <x:v>200</x:v>
      </x:c>
      <x:c r="C102" s="57">
        <x:v>54500</x:v>
      </x:c>
      <x:c r="D102" s="25">
        <x:v>60000</x:v>
      </x:c>
      <x:c r="E102" s="25">
        <x:v>64500</x:v>
      </x:c>
      <x:c r="F102" s="58">
        <x:v>68500</x:v>
      </x:c>
      <x:c r="G102" s="23"/>
    </x:row>
    <x:row r="103">
      <x:c r="B103" s="56">
        <x:v>201</x:v>
      </x:c>
      <x:c r="C103" s="57">
        <x:v>57500</x:v>
      </x:c>
      <x:c r="D103" s="25">
        <x:v>63300</x:v>
      </x:c>
      <x:c r="E103" s="25">
        <x:v>68000</x:v>
      </x:c>
      <x:c r="F103" s="58">
        <x:v>72200</x:v>
      </x:c>
      <x:c r="G103" s="23"/>
    </x:row>
    <x:row r="104">
      <x:c r="B104" s="56">
        <x:v>202</x:v>
      </x:c>
      <x:c r="C104" s="57">
        <x:v>57500</x:v>
      </x:c>
      <x:c r="D104" s="25">
        <x:v>63300</x:v>
      </x:c>
      <x:c r="E104" s="25">
        <x:v>68000</x:v>
      </x:c>
      <x:c r="F104" s="58">
        <x:v>72200</x:v>
      </x:c>
      <x:c r="G104" s="23"/>
    </x:row>
    <x:row r="105">
      <x:c r="B105" s="56">
        <x:v>203</x:v>
      </x:c>
      <x:c r="C105" s="57">
        <x:v>57500</x:v>
      </x:c>
      <x:c r="D105" s="25">
        <x:v>63300</x:v>
      </x:c>
      <x:c r="E105" s="25">
        <x:v>68000</x:v>
      </x:c>
      <x:c r="F105" s="58">
        <x:v>72200</x:v>
      </x:c>
      <x:c r="G105" s="23"/>
    </x:row>
    <x:row r="106">
      <x:c r="B106" s="56">
        <x:v>204</x:v>
      </x:c>
      <x:c r="C106" s="57">
        <x:v>57500</x:v>
      </x:c>
      <x:c r="D106" s="25">
        <x:v>63300</x:v>
      </x:c>
      <x:c r="E106" s="25">
        <x:v>68000</x:v>
      </x:c>
      <x:c r="F106" s="58">
        <x:v>72200</x:v>
      </x:c>
      <x:c r="G106" s="23"/>
    </x:row>
    <x:row r="107">
      <x:c r="B107" s="56">
        <x:v>205</x:v>
      </x:c>
      <x:c r="C107" s="57">
        <x:v>57500</x:v>
      </x:c>
      <x:c r="D107" s="25">
        <x:v>63300</x:v>
      </x:c>
      <x:c r="E107" s="25">
        <x:v>68000</x:v>
      </x:c>
      <x:c r="F107" s="58">
        <x:v>72200</x:v>
      </x:c>
      <x:c r="G107" s="23"/>
    </x:row>
    <x:row r="108">
      <x:c r="B108" s="56">
        <x:v>206</x:v>
      </x:c>
      <x:c r="C108" s="57">
        <x:v>57500</x:v>
      </x:c>
      <x:c r="D108" s="25">
        <x:v>63300</x:v>
      </x:c>
      <x:c r="E108" s="25">
        <x:v>68000</x:v>
      </x:c>
      <x:c r="F108" s="58">
        <x:v>72200</x:v>
      </x:c>
      <x:c r="G108" s="23"/>
    </x:row>
    <x:row r="109">
      <x:c r="B109" s="56">
        <x:v>207</x:v>
      </x:c>
      <x:c r="C109" s="57">
        <x:v>57500</x:v>
      </x:c>
      <x:c r="D109" s="25">
        <x:v>63300</x:v>
      </x:c>
      <x:c r="E109" s="25">
        <x:v>68000</x:v>
      </x:c>
      <x:c r="F109" s="58">
        <x:v>72200</x:v>
      </x:c>
      <x:c r="G109" s="23"/>
    </x:row>
    <x:row r="110">
      <x:c r="B110" s="56">
        <x:v>208</x:v>
      </x:c>
      <x:c r="C110" s="57">
        <x:v>57500</x:v>
      </x:c>
      <x:c r="D110" s="25">
        <x:v>63300</x:v>
      </x:c>
      <x:c r="E110" s="25">
        <x:v>68000</x:v>
      </x:c>
      <x:c r="F110" s="58">
        <x:v>72200</x:v>
      </x:c>
      <x:c r="G110" s="23"/>
    </x:row>
    <x:row r="111">
      <x:c r="B111" s="56">
        <x:v>209</x:v>
      </x:c>
      <x:c r="C111" s="57">
        <x:v>57500</x:v>
      </x:c>
      <x:c r="D111" s="25">
        <x:v>63300</x:v>
      </x:c>
      <x:c r="E111" s="25">
        <x:v>68000</x:v>
      </x:c>
      <x:c r="F111" s="58">
        <x:v>72200</x:v>
      </x:c>
      <x:c r="G111" s="23"/>
    </x:row>
    <x:row r="112">
      <x:c r="B112" s="56">
        <x:v>210</x:v>
      </x:c>
      <x:c r="C112" s="57">
        <x:v>57500</x:v>
      </x:c>
      <x:c r="D112" s="25">
        <x:v>63300</x:v>
      </x:c>
      <x:c r="E112" s="25">
        <x:v>68000</x:v>
      </x:c>
      <x:c r="F112" s="58">
        <x:v>72200</x:v>
      </x:c>
      <x:c r="G112" s="23"/>
    </x:row>
    <x:row r="113">
      <x:c r="B113" s="56">
        <x:v>211</x:v>
      </x:c>
      <x:c r="C113" s="57">
        <x:v>57500</x:v>
      </x:c>
      <x:c r="D113" s="25">
        <x:v>63300</x:v>
      </x:c>
      <x:c r="E113" s="25">
        <x:v>68000</x:v>
      </x:c>
      <x:c r="F113" s="58">
        <x:v>72200</x:v>
      </x:c>
      <x:c r="G113" s="23"/>
    </x:row>
    <x:row r="114">
      <x:c r="B114" s="56">
        <x:v>212</x:v>
      </x:c>
      <x:c r="C114" s="57">
        <x:v>57500</x:v>
      </x:c>
      <x:c r="D114" s="25">
        <x:v>63300</x:v>
      </x:c>
      <x:c r="E114" s="25">
        <x:v>68000</x:v>
      </x:c>
      <x:c r="F114" s="58">
        <x:v>72200</x:v>
      </x:c>
      <x:c r="G114" s="23"/>
    </x:row>
    <x:row r="115">
      <x:c r="B115" s="56">
        <x:v>213</x:v>
      </x:c>
      <x:c r="C115" s="57">
        <x:v>57500</x:v>
      </x:c>
      <x:c r="D115" s="25">
        <x:v>63300</x:v>
      </x:c>
      <x:c r="E115" s="25">
        <x:v>68000</x:v>
      </x:c>
      <x:c r="F115" s="58">
        <x:v>72200</x:v>
      </x:c>
      <x:c r="G115" s="23"/>
    </x:row>
    <x:row r="116">
      <x:c r="B116" s="56">
        <x:v>214</x:v>
      </x:c>
      <x:c r="C116" s="57">
        <x:v>57500</x:v>
      </x:c>
      <x:c r="D116" s="25">
        <x:v>63300</x:v>
      </x:c>
      <x:c r="E116" s="25">
        <x:v>68000</x:v>
      </x:c>
      <x:c r="F116" s="58">
        <x:v>72200</x:v>
      </x:c>
      <x:c r="G116" s="23"/>
    </x:row>
    <x:row r="117">
      <x:c r="B117" s="56">
        <x:v>215</x:v>
      </x:c>
      <x:c r="C117" s="57">
        <x:v>57500</x:v>
      </x:c>
      <x:c r="D117" s="25">
        <x:v>63300</x:v>
      </x:c>
      <x:c r="E117" s="25">
        <x:v>68000</x:v>
      </x:c>
      <x:c r="F117" s="58">
        <x:v>72200</x:v>
      </x:c>
      <x:c r="G117" s="23"/>
    </x:row>
    <x:row r="118">
      <x:c r="B118" s="56">
        <x:v>216</x:v>
      </x:c>
      <x:c r="C118" s="57">
        <x:v>57500</x:v>
      </x:c>
      <x:c r="D118" s="25">
        <x:v>63300</x:v>
      </x:c>
      <x:c r="E118" s="25">
        <x:v>68000</x:v>
      </x:c>
      <x:c r="F118" s="58">
        <x:v>72200</x:v>
      </x:c>
      <x:c r="G118" s="23"/>
    </x:row>
    <x:row r="119">
      <x:c r="B119" s="56">
        <x:v>217</x:v>
      </x:c>
      <x:c r="C119" s="57">
        <x:v>57500</x:v>
      </x:c>
      <x:c r="D119" s="25">
        <x:v>63300</x:v>
      </x:c>
      <x:c r="E119" s="25">
        <x:v>68000</x:v>
      </x:c>
      <x:c r="F119" s="58">
        <x:v>72200</x:v>
      </x:c>
      <x:c r="G119" s="23"/>
    </x:row>
    <x:row r="120">
      <x:c r="B120" s="56">
        <x:v>218</x:v>
      </x:c>
      <x:c r="C120" s="57">
        <x:v>57500</x:v>
      </x:c>
      <x:c r="D120" s="25">
        <x:v>63300</x:v>
      </x:c>
      <x:c r="E120" s="25">
        <x:v>68000</x:v>
      </x:c>
      <x:c r="F120" s="58">
        <x:v>72200</x:v>
      </x:c>
      <x:c r="G120" s="23"/>
    </x:row>
    <x:row r="121">
      <x:c r="B121" s="56">
        <x:v>219</x:v>
      </x:c>
      <x:c r="C121" s="57">
        <x:v>57500</x:v>
      </x:c>
      <x:c r="D121" s="25">
        <x:v>63300</x:v>
      </x:c>
      <x:c r="E121" s="25">
        <x:v>68000</x:v>
      </x:c>
      <x:c r="F121" s="58">
        <x:v>72200</x:v>
      </x:c>
      <x:c r="G121" s="23"/>
    </x:row>
    <x:row r="122">
      <x:c r="B122" s="56">
        <x:v>220</x:v>
      </x:c>
      <x:c r="C122" s="57">
        <x:v>57500</x:v>
      </x:c>
      <x:c r="D122" s="25">
        <x:v>63300</x:v>
      </x:c>
      <x:c r="E122" s="25">
        <x:v>68000</x:v>
      </x:c>
      <x:c r="F122" s="58">
        <x:v>72200</x:v>
      </x:c>
      <x:c r="G122" s="23"/>
    </x:row>
    <x:row r="123">
      <x:c r="B123" s="56">
        <x:v>221</x:v>
      </x:c>
      <x:c r="C123" s="57">
        <x:v>60500</x:v>
      </x:c>
      <x:c r="D123" s="25">
        <x:v>66600</x:v>
      </x:c>
      <x:c r="E123" s="25">
        <x:v>71500</x:v>
      </x:c>
      <x:c r="F123" s="58">
        <x:v>75900</x:v>
      </x:c>
      <x:c r="G123" s="23"/>
    </x:row>
    <x:row r="124">
      <x:c r="B124" s="56">
        <x:v>222</x:v>
      </x:c>
      <x:c r="C124" s="57">
        <x:v>60500</x:v>
      </x:c>
      <x:c r="D124" s="25">
        <x:v>66600</x:v>
      </x:c>
      <x:c r="E124" s="25">
        <x:v>71500</x:v>
      </x:c>
      <x:c r="F124" s="58">
        <x:v>75900</x:v>
      </x:c>
      <x:c r="G124" s="23"/>
    </x:row>
    <x:row r="125">
      <x:c r="B125" s="56">
        <x:v>223</x:v>
      </x:c>
      <x:c r="C125" s="57">
        <x:v>60500</x:v>
      </x:c>
      <x:c r="D125" s="25">
        <x:v>66600</x:v>
      </x:c>
      <x:c r="E125" s="25">
        <x:v>71500</x:v>
      </x:c>
      <x:c r="F125" s="58">
        <x:v>75900</x:v>
      </x:c>
      <x:c r="G125" s="23"/>
    </x:row>
    <x:row r="126">
      <x:c r="B126" s="56">
        <x:v>224</x:v>
      </x:c>
      <x:c r="C126" s="57">
        <x:v>60500</x:v>
      </x:c>
      <x:c r="D126" s="25">
        <x:v>66600</x:v>
      </x:c>
      <x:c r="E126" s="25">
        <x:v>71500</x:v>
      </x:c>
      <x:c r="F126" s="58">
        <x:v>75900</x:v>
      </x:c>
      <x:c r="G126" s="23"/>
    </x:row>
    <x:row r="127">
      <x:c r="B127" s="56">
        <x:v>225</x:v>
      </x:c>
      <x:c r="C127" s="57">
        <x:v>60500</x:v>
      </x:c>
      <x:c r="D127" s="25">
        <x:v>66600</x:v>
      </x:c>
      <x:c r="E127" s="25">
        <x:v>71500</x:v>
      </x:c>
      <x:c r="F127" s="58">
        <x:v>75900</x:v>
      </x:c>
      <x:c r="G127" s="23"/>
    </x:row>
    <x:row r="128">
      <x:c r="B128" s="56">
        <x:v>226</x:v>
      </x:c>
      <x:c r="C128" s="57">
        <x:v>60500</x:v>
      </x:c>
      <x:c r="D128" s="25">
        <x:v>66600</x:v>
      </x:c>
      <x:c r="E128" s="25">
        <x:v>71500</x:v>
      </x:c>
      <x:c r="F128" s="58">
        <x:v>75900</x:v>
      </x:c>
      <x:c r="G128" s="23"/>
    </x:row>
    <x:row r="129">
      <x:c r="B129" s="56">
        <x:v>227</x:v>
      </x:c>
      <x:c r="C129" s="57">
        <x:v>60500</x:v>
      </x:c>
      <x:c r="D129" s="25">
        <x:v>66600</x:v>
      </x:c>
      <x:c r="E129" s="25">
        <x:v>71500</x:v>
      </x:c>
      <x:c r="F129" s="58">
        <x:v>75900</x:v>
      </x:c>
      <x:c r="G129" s="23"/>
    </x:row>
    <x:row r="130">
      <x:c r="B130" s="56">
        <x:v>228</x:v>
      </x:c>
      <x:c r="C130" s="57">
        <x:v>60500</x:v>
      </x:c>
      <x:c r="D130" s="25">
        <x:v>66600</x:v>
      </x:c>
      <x:c r="E130" s="25">
        <x:v>71500</x:v>
      </x:c>
      <x:c r="F130" s="58">
        <x:v>75900</x:v>
      </x:c>
      <x:c r="G130" s="23"/>
    </x:row>
    <x:row r="131">
      <x:c r="B131" s="56">
        <x:v>229</x:v>
      </x:c>
      <x:c r="C131" s="57">
        <x:v>60500</x:v>
      </x:c>
      <x:c r="D131" s="25">
        <x:v>66600</x:v>
      </x:c>
      <x:c r="E131" s="25">
        <x:v>71500</x:v>
      </x:c>
      <x:c r="F131" s="58">
        <x:v>75900</x:v>
      </x:c>
      <x:c r="G131" s="23"/>
    </x:row>
    <x:row r="132">
      <x:c r="B132" s="56">
        <x:v>230</x:v>
      </x:c>
      <x:c r="C132" s="57">
        <x:v>60500</x:v>
      </x:c>
      <x:c r="D132" s="25">
        <x:v>66600</x:v>
      </x:c>
      <x:c r="E132" s="25">
        <x:v>71500</x:v>
      </x:c>
      <x:c r="F132" s="58">
        <x:v>75900</x:v>
      </x:c>
      <x:c r="G132" s="23"/>
    </x:row>
    <x:row r="133">
      <x:c r="B133" s="56">
        <x:v>231</x:v>
      </x:c>
      <x:c r="C133" s="57">
        <x:v>60500</x:v>
      </x:c>
      <x:c r="D133" s="25">
        <x:v>66600</x:v>
      </x:c>
      <x:c r="E133" s="25">
        <x:v>71500</x:v>
      </x:c>
      <x:c r="F133" s="58">
        <x:v>75900</x:v>
      </x:c>
      <x:c r="G133" s="23"/>
    </x:row>
    <x:row r="134">
      <x:c r="B134" s="56">
        <x:v>232</x:v>
      </x:c>
      <x:c r="C134" s="57">
        <x:v>60500</x:v>
      </x:c>
      <x:c r="D134" s="25">
        <x:v>66600</x:v>
      </x:c>
      <x:c r="E134" s="25">
        <x:v>71500</x:v>
      </x:c>
      <x:c r="F134" s="58">
        <x:v>75900</x:v>
      </x:c>
      <x:c r="G134" s="23"/>
    </x:row>
    <x:row r="135">
      <x:c r="B135" s="56">
        <x:v>233</x:v>
      </x:c>
      <x:c r="C135" s="57">
        <x:v>60500</x:v>
      </x:c>
      <x:c r="D135" s="25">
        <x:v>66600</x:v>
      </x:c>
      <x:c r="E135" s="25">
        <x:v>71500</x:v>
      </x:c>
      <x:c r="F135" s="58">
        <x:v>75900</x:v>
      </x:c>
      <x:c r="G135" s="23"/>
    </x:row>
    <x:row r="136">
      <x:c r="B136" s="56">
        <x:v>234</x:v>
      </x:c>
      <x:c r="C136" s="57">
        <x:v>60500</x:v>
      </x:c>
      <x:c r="D136" s="25">
        <x:v>66600</x:v>
      </x:c>
      <x:c r="E136" s="25">
        <x:v>71500</x:v>
      </x:c>
      <x:c r="F136" s="58">
        <x:v>75900</x:v>
      </x:c>
      <x:c r="G136" s="23"/>
    </x:row>
    <x:row r="137">
      <x:c r="B137" s="56">
        <x:v>235</x:v>
      </x:c>
      <x:c r="C137" s="57">
        <x:v>60500</x:v>
      </x:c>
      <x:c r="D137" s="25">
        <x:v>66600</x:v>
      </x:c>
      <x:c r="E137" s="25">
        <x:v>71500</x:v>
      </x:c>
      <x:c r="F137" s="58">
        <x:v>75900</x:v>
      </x:c>
      <x:c r="G137" s="23"/>
    </x:row>
    <x:row r="138">
      <x:c r="B138" s="56">
        <x:v>236</x:v>
      </x:c>
      <x:c r="C138" s="57">
        <x:v>60500</x:v>
      </x:c>
      <x:c r="D138" s="25">
        <x:v>66600</x:v>
      </x:c>
      <x:c r="E138" s="25">
        <x:v>71500</x:v>
      </x:c>
      <x:c r="F138" s="58">
        <x:v>75900</x:v>
      </x:c>
      <x:c r="G138" s="23"/>
    </x:row>
    <x:row r="139">
      <x:c r="B139" s="56">
        <x:v>237</x:v>
      </x:c>
      <x:c r="C139" s="57">
        <x:v>60500</x:v>
      </x:c>
      <x:c r="D139" s="25">
        <x:v>66600</x:v>
      </x:c>
      <x:c r="E139" s="25">
        <x:v>71500</x:v>
      </x:c>
      <x:c r="F139" s="58">
        <x:v>75900</x:v>
      </x:c>
      <x:c r="G139" s="23"/>
    </x:row>
    <x:row r="140">
      <x:c r="B140" s="56">
        <x:v>238</x:v>
      </x:c>
      <x:c r="C140" s="57">
        <x:v>60500</x:v>
      </x:c>
      <x:c r="D140" s="25">
        <x:v>66600</x:v>
      </x:c>
      <x:c r="E140" s="25">
        <x:v>71500</x:v>
      </x:c>
      <x:c r="F140" s="58">
        <x:v>75900</x:v>
      </x:c>
      <x:c r="G140" s="23"/>
    </x:row>
    <x:row r="141">
      <x:c r="B141" s="56">
        <x:v>239</x:v>
      </x:c>
      <x:c r="C141" s="57">
        <x:v>60500</x:v>
      </x:c>
      <x:c r="D141" s="25">
        <x:v>66600</x:v>
      </x:c>
      <x:c r="E141" s="25">
        <x:v>71500</x:v>
      </x:c>
      <x:c r="F141" s="58">
        <x:v>75900</x:v>
      </x:c>
      <x:c r="G141" s="23"/>
    </x:row>
    <x:row r="142">
      <x:c r="B142" s="56">
        <x:v>240</x:v>
      </x:c>
      <x:c r="C142" s="57">
        <x:v>60500</x:v>
      </x:c>
      <x:c r="D142" s="25">
        <x:v>66600</x:v>
      </x:c>
      <x:c r="E142" s="25">
        <x:v>71500</x:v>
      </x:c>
      <x:c r="F142" s="58">
        <x:v>75900</x:v>
      </x:c>
      <x:c r="G142" s="23"/>
    </x:row>
    <x:row r="143">
      <x:c r="B143" s="56">
        <x:v>241</x:v>
      </x:c>
      <x:c r="C143" s="57">
        <x:v>63500</x:v>
      </x:c>
      <x:c r="D143" s="25">
        <x:v>69900</x:v>
      </x:c>
      <x:c r="E143" s="25">
        <x:v>75000</x:v>
      </x:c>
      <x:c r="F143" s="58">
        <x:v>79600</x:v>
      </x:c>
      <x:c r="G143" s="23"/>
    </x:row>
    <x:row r="144">
      <x:c r="B144" s="56">
        <x:v>242</x:v>
      </x:c>
      <x:c r="C144" s="57">
        <x:v>63500</x:v>
      </x:c>
      <x:c r="D144" s="25">
        <x:v>69900</x:v>
      </x:c>
      <x:c r="E144" s="25">
        <x:v>75000</x:v>
      </x:c>
      <x:c r="F144" s="58">
        <x:v>79600</x:v>
      </x:c>
      <x:c r="G144" s="23"/>
    </x:row>
    <x:row r="145">
      <x:c r="B145" s="56">
        <x:v>243</x:v>
      </x:c>
      <x:c r="C145" s="57">
        <x:v>63500</x:v>
      </x:c>
      <x:c r="D145" s="25">
        <x:v>69900</x:v>
      </x:c>
      <x:c r="E145" s="25">
        <x:v>75000</x:v>
      </x:c>
      <x:c r="F145" s="58">
        <x:v>79600</x:v>
      </x:c>
      <x:c r="G145" s="23"/>
    </x:row>
    <x:row r="146">
      <x:c r="B146" s="56">
        <x:v>244</x:v>
      </x:c>
      <x:c r="C146" s="57">
        <x:v>63500</x:v>
      </x:c>
      <x:c r="D146" s="25">
        <x:v>69900</x:v>
      </x:c>
      <x:c r="E146" s="25">
        <x:v>75000</x:v>
      </x:c>
      <x:c r="F146" s="58">
        <x:v>79600</x:v>
      </x:c>
      <x:c r="G146" s="23"/>
    </x:row>
    <x:row r="147">
      <x:c r="B147" s="56">
        <x:v>245</x:v>
      </x:c>
      <x:c r="C147" s="57">
        <x:v>63500</x:v>
      </x:c>
      <x:c r="D147" s="25">
        <x:v>69900</x:v>
      </x:c>
      <x:c r="E147" s="25">
        <x:v>75000</x:v>
      </x:c>
      <x:c r="F147" s="58">
        <x:v>79600</x:v>
      </x:c>
      <x:c r="G147" s="23"/>
    </x:row>
    <x:row r="148">
      <x:c r="B148" s="56">
        <x:v>246</x:v>
      </x:c>
      <x:c r="C148" s="57">
        <x:v>63500</x:v>
      </x:c>
      <x:c r="D148" s="25">
        <x:v>69900</x:v>
      </x:c>
      <x:c r="E148" s="25">
        <x:v>75000</x:v>
      </x:c>
      <x:c r="F148" s="58">
        <x:v>79600</x:v>
      </x:c>
      <x:c r="G148" s="23"/>
    </x:row>
    <x:row r="149">
      <x:c r="B149" s="56">
        <x:v>247</x:v>
      </x:c>
      <x:c r="C149" s="57">
        <x:v>63500</x:v>
      </x:c>
      <x:c r="D149" s="25">
        <x:v>69900</x:v>
      </x:c>
      <x:c r="E149" s="25">
        <x:v>75000</x:v>
      </x:c>
      <x:c r="F149" s="58">
        <x:v>79600</x:v>
      </x:c>
      <x:c r="G149" s="23"/>
    </x:row>
    <x:row r="150">
      <x:c r="B150" s="56">
        <x:v>248</x:v>
      </x:c>
      <x:c r="C150" s="57">
        <x:v>63500</x:v>
      </x:c>
      <x:c r="D150" s="25">
        <x:v>69900</x:v>
      </x:c>
      <x:c r="E150" s="25">
        <x:v>75000</x:v>
      </x:c>
      <x:c r="F150" s="58">
        <x:v>79600</x:v>
      </x:c>
      <x:c r="G150" s="23"/>
    </x:row>
    <x:row r="151">
      <x:c r="B151" s="56">
        <x:v>249</x:v>
      </x:c>
      <x:c r="C151" s="57">
        <x:v>63500</x:v>
      </x:c>
      <x:c r="D151" s="25">
        <x:v>69900</x:v>
      </x:c>
      <x:c r="E151" s="25">
        <x:v>75000</x:v>
      </x:c>
      <x:c r="F151" s="58">
        <x:v>79600</x:v>
      </x:c>
      <x:c r="G151" s="23"/>
    </x:row>
    <x:row r="152">
      <x:c r="B152" s="56">
        <x:v>250</x:v>
      </x:c>
      <x:c r="C152" s="57">
        <x:v>63500</x:v>
      </x:c>
      <x:c r="D152" s="25">
        <x:v>69900</x:v>
      </x:c>
      <x:c r="E152" s="25">
        <x:v>75000</x:v>
      </x:c>
      <x:c r="F152" s="58">
        <x:v>79600</x:v>
      </x:c>
      <x:c r="G152" s="23"/>
    </x:row>
    <x:row r="153">
      <x:c r="B153" s="56">
        <x:v>251</x:v>
      </x:c>
      <x:c r="C153" s="57">
        <x:v>63500</x:v>
      </x:c>
      <x:c r="D153" s="25">
        <x:v>69900</x:v>
      </x:c>
      <x:c r="E153" s="25">
        <x:v>75000</x:v>
      </x:c>
      <x:c r="F153" s="58">
        <x:v>79600</x:v>
      </x:c>
      <x:c r="G153" s="23"/>
    </x:row>
    <x:row r="154">
      <x:c r="B154" s="56">
        <x:v>252</x:v>
      </x:c>
      <x:c r="C154" s="57">
        <x:v>63500</x:v>
      </x:c>
      <x:c r="D154" s="25">
        <x:v>69900</x:v>
      </x:c>
      <x:c r="E154" s="25">
        <x:v>75000</x:v>
      </x:c>
      <x:c r="F154" s="58">
        <x:v>79600</x:v>
      </x:c>
      <x:c r="G154" s="23"/>
    </x:row>
    <x:row r="155">
      <x:c r="B155" s="56">
        <x:v>253</x:v>
      </x:c>
      <x:c r="C155" s="57">
        <x:v>63500</x:v>
      </x:c>
      <x:c r="D155" s="25">
        <x:v>69900</x:v>
      </x:c>
      <x:c r="E155" s="25">
        <x:v>75000</x:v>
      </x:c>
      <x:c r="F155" s="58">
        <x:v>79600</x:v>
      </x:c>
      <x:c r="G155" s="23"/>
    </x:row>
    <x:row r="156">
      <x:c r="B156" s="56">
        <x:v>254</x:v>
      </x:c>
      <x:c r="C156" s="57">
        <x:v>63500</x:v>
      </x:c>
      <x:c r="D156" s="25">
        <x:v>69900</x:v>
      </x:c>
      <x:c r="E156" s="25">
        <x:v>75000</x:v>
      </x:c>
      <x:c r="F156" s="58">
        <x:v>79600</x:v>
      </x:c>
      <x:c r="G156" s="23"/>
    </x:row>
    <x:row r="157">
      <x:c r="B157" s="56">
        <x:v>255</x:v>
      </x:c>
      <x:c r="C157" s="57">
        <x:v>63500</x:v>
      </x:c>
      <x:c r="D157" s="25">
        <x:v>69900</x:v>
      </x:c>
      <x:c r="E157" s="25">
        <x:v>75000</x:v>
      </x:c>
      <x:c r="F157" s="58">
        <x:v>79600</x:v>
      </x:c>
      <x:c r="G157" s="23"/>
    </x:row>
    <x:row r="158">
      <x:c r="B158" s="56">
        <x:v>256</x:v>
      </x:c>
      <x:c r="C158" s="57">
        <x:v>63500</x:v>
      </x:c>
      <x:c r="D158" s="25">
        <x:v>69900</x:v>
      </x:c>
      <x:c r="E158" s="25">
        <x:v>75000</x:v>
      </x:c>
      <x:c r="F158" s="58">
        <x:v>79600</x:v>
      </x:c>
      <x:c r="G158" s="23"/>
    </x:row>
    <x:row r="159">
      <x:c r="B159" s="56">
        <x:v>257</x:v>
      </x:c>
      <x:c r="C159" s="57">
        <x:v>63500</x:v>
      </x:c>
      <x:c r="D159" s="25">
        <x:v>69900</x:v>
      </x:c>
      <x:c r="E159" s="25">
        <x:v>75000</x:v>
      </x:c>
      <x:c r="F159" s="58">
        <x:v>79600</x:v>
      </x:c>
      <x:c r="G159" s="23"/>
    </x:row>
    <x:row r="160">
      <x:c r="B160" s="56">
        <x:v>258</x:v>
      </x:c>
      <x:c r="C160" s="57">
        <x:v>63500</x:v>
      </x:c>
      <x:c r="D160" s="25">
        <x:v>69900</x:v>
      </x:c>
      <x:c r="E160" s="25">
        <x:v>75000</x:v>
      </x:c>
      <x:c r="F160" s="58">
        <x:v>79600</x:v>
      </x:c>
      <x:c r="G160" s="23"/>
    </x:row>
    <x:row r="161">
      <x:c r="B161" s="56">
        <x:v>259</x:v>
      </x:c>
      <x:c r="C161" s="57">
        <x:v>63500</x:v>
      </x:c>
      <x:c r="D161" s="25">
        <x:v>69900</x:v>
      </x:c>
      <x:c r="E161" s="25">
        <x:v>75000</x:v>
      </x:c>
      <x:c r="F161" s="58">
        <x:v>79600</x:v>
      </x:c>
      <x:c r="G161" s="23"/>
    </x:row>
    <x:row r="162">
      <x:c r="B162" s="56">
        <x:v>260</x:v>
      </x:c>
      <x:c r="C162" s="57">
        <x:v>63500</x:v>
      </x:c>
      <x:c r="D162" s="25">
        <x:v>69900</x:v>
      </x:c>
      <x:c r="E162" s="25">
        <x:v>75000</x:v>
      </x:c>
      <x:c r="F162" s="58">
        <x:v>79600</x:v>
      </x:c>
      <x:c r="G162" s="23"/>
    </x:row>
    <x:row r="163">
      <x:c r="B163" s="56">
        <x:v>261</x:v>
      </x:c>
      <x:c r="C163" s="57">
        <x:v>66500</x:v>
      </x:c>
      <x:c r="D163" s="25">
        <x:v>73200</x:v>
      </x:c>
      <x:c r="E163" s="25">
        <x:v>78500</x:v>
      </x:c>
      <x:c r="F163" s="58">
        <x:v>83300</x:v>
      </x:c>
      <x:c r="G163" s="23"/>
    </x:row>
    <x:row r="164">
      <x:c r="B164" s="56">
        <x:v>262</x:v>
      </x:c>
      <x:c r="C164" s="57">
        <x:v>66500</x:v>
      </x:c>
      <x:c r="D164" s="25">
        <x:v>73200</x:v>
      </x:c>
      <x:c r="E164" s="25">
        <x:v>78500</x:v>
      </x:c>
      <x:c r="F164" s="58">
        <x:v>83300</x:v>
      </x:c>
      <x:c r="G164" s="23"/>
    </x:row>
    <x:row r="165">
      <x:c r="B165" s="56">
        <x:v>263</x:v>
      </x:c>
      <x:c r="C165" s="57">
        <x:v>66500</x:v>
      </x:c>
      <x:c r="D165" s="25">
        <x:v>73200</x:v>
      </x:c>
      <x:c r="E165" s="25">
        <x:v>78500</x:v>
      </x:c>
      <x:c r="F165" s="58">
        <x:v>83300</x:v>
      </x:c>
      <x:c r="G165" s="23"/>
    </x:row>
    <x:row r="166">
      <x:c r="B166" s="56">
        <x:v>264</x:v>
      </x:c>
      <x:c r="C166" s="57">
        <x:v>66500</x:v>
      </x:c>
      <x:c r="D166" s="25">
        <x:v>73200</x:v>
      </x:c>
      <x:c r="E166" s="25">
        <x:v>78500</x:v>
      </x:c>
      <x:c r="F166" s="58">
        <x:v>83300</x:v>
      </x:c>
      <x:c r="G166" s="23"/>
    </x:row>
    <x:row r="167">
      <x:c r="B167" s="56">
        <x:v>265</x:v>
      </x:c>
      <x:c r="C167" s="57">
        <x:v>66500</x:v>
      </x:c>
      <x:c r="D167" s="25">
        <x:v>73200</x:v>
      </x:c>
      <x:c r="E167" s="25">
        <x:v>78500</x:v>
      </x:c>
      <x:c r="F167" s="58">
        <x:v>83300</x:v>
      </x:c>
      <x:c r="G167" s="23"/>
    </x:row>
    <x:row r="168">
      <x:c r="B168" s="56">
        <x:v>266</x:v>
      </x:c>
      <x:c r="C168" s="57">
        <x:v>66500</x:v>
      </x:c>
      <x:c r="D168" s="25">
        <x:v>73200</x:v>
      </x:c>
      <x:c r="E168" s="25">
        <x:v>78500</x:v>
      </x:c>
      <x:c r="F168" s="58">
        <x:v>83300</x:v>
      </x:c>
      <x:c r="G168" s="23"/>
    </x:row>
    <x:row r="169">
      <x:c r="B169" s="56">
        <x:v>267</x:v>
      </x:c>
      <x:c r="C169" s="57">
        <x:v>66500</x:v>
      </x:c>
      <x:c r="D169" s="25">
        <x:v>73200</x:v>
      </x:c>
      <x:c r="E169" s="25">
        <x:v>78500</x:v>
      </x:c>
      <x:c r="F169" s="58">
        <x:v>83300</x:v>
      </x:c>
      <x:c r="G169" s="23"/>
    </x:row>
    <x:row r="170">
      <x:c r="B170" s="56">
        <x:v>268</x:v>
      </x:c>
      <x:c r="C170" s="57">
        <x:v>66500</x:v>
      </x:c>
      <x:c r="D170" s="25">
        <x:v>73200</x:v>
      </x:c>
      <x:c r="E170" s="25">
        <x:v>78500</x:v>
      </x:c>
      <x:c r="F170" s="58">
        <x:v>83300</x:v>
      </x:c>
      <x:c r="G170" s="23"/>
    </x:row>
    <x:row r="171">
      <x:c r="B171" s="56">
        <x:v>269</x:v>
      </x:c>
      <x:c r="C171" s="57">
        <x:v>66500</x:v>
      </x:c>
      <x:c r="D171" s="25">
        <x:v>73200</x:v>
      </x:c>
      <x:c r="E171" s="25">
        <x:v>78500</x:v>
      </x:c>
      <x:c r="F171" s="58">
        <x:v>83300</x:v>
      </x:c>
      <x:c r="G171" s="23"/>
    </x:row>
    <x:row r="172">
      <x:c r="B172" s="56">
        <x:v>270</x:v>
      </x:c>
      <x:c r="C172" s="57">
        <x:v>66500</x:v>
      </x:c>
      <x:c r="D172" s="25">
        <x:v>73200</x:v>
      </x:c>
      <x:c r="E172" s="25">
        <x:v>78500</x:v>
      </x:c>
      <x:c r="F172" s="58">
        <x:v>83300</x:v>
      </x:c>
      <x:c r="G172" s="23"/>
    </x:row>
    <x:row r="173">
      <x:c r="B173" s="56">
        <x:v>271</x:v>
      </x:c>
      <x:c r="C173" s="57">
        <x:v>66500</x:v>
      </x:c>
      <x:c r="D173" s="25">
        <x:v>73200</x:v>
      </x:c>
      <x:c r="E173" s="25">
        <x:v>78500</x:v>
      </x:c>
      <x:c r="F173" s="58">
        <x:v>83300</x:v>
      </x:c>
      <x:c r="G173" s="23"/>
    </x:row>
    <x:row r="174">
      <x:c r="B174" s="56">
        <x:v>272</x:v>
      </x:c>
      <x:c r="C174" s="57">
        <x:v>66500</x:v>
      </x:c>
      <x:c r="D174" s="25">
        <x:v>73200</x:v>
      </x:c>
      <x:c r="E174" s="25">
        <x:v>78500</x:v>
      </x:c>
      <x:c r="F174" s="58">
        <x:v>83300</x:v>
      </x:c>
      <x:c r="G174" s="23"/>
    </x:row>
    <x:row r="175">
      <x:c r="B175" s="56">
        <x:v>273</x:v>
      </x:c>
      <x:c r="C175" s="57">
        <x:v>66500</x:v>
      </x:c>
      <x:c r="D175" s="25">
        <x:v>73200</x:v>
      </x:c>
      <x:c r="E175" s="25">
        <x:v>78500</x:v>
      </x:c>
      <x:c r="F175" s="58">
        <x:v>83300</x:v>
      </x:c>
      <x:c r="G175" s="23"/>
    </x:row>
    <x:row r="176">
      <x:c r="B176" s="56">
        <x:v>274</x:v>
      </x:c>
      <x:c r="C176" s="57">
        <x:v>66500</x:v>
      </x:c>
      <x:c r="D176" s="25">
        <x:v>73200</x:v>
      </x:c>
      <x:c r="E176" s="25">
        <x:v>78500</x:v>
      </x:c>
      <x:c r="F176" s="58">
        <x:v>83300</x:v>
      </x:c>
      <x:c r="G176" s="23"/>
    </x:row>
    <x:row r="177">
      <x:c r="B177" s="56">
        <x:v>275</x:v>
      </x:c>
      <x:c r="C177" s="57">
        <x:v>66500</x:v>
      </x:c>
      <x:c r="D177" s="25">
        <x:v>73200</x:v>
      </x:c>
      <x:c r="E177" s="25">
        <x:v>78500</x:v>
      </x:c>
      <x:c r="F177" s="58">
        <x:v>83300</x:v>
      </x:c>
      <x:c r="G177" s="23"/>
    </x:row>
    <x:row r="178">
      <x:c r="B178" s="56">
        <x:v>276</x:v>
      </x:c>
      <x:c r="C178" s="57">
        <x:v>66500</x:v>
      </x:c>
      <x:c r="D178" s="25">
        <x:v>73200</x:v>
      </x:c>
      <x:c r="E178" s="25">
        <x:v>78500</x:v>
      </x:c>
      <x:c r="F178" s="58">
        <x:v>83300</x:v>
      </x:c>
      <x:c r="G178" s="23"/>
    </x:row>
    <x:row r="179">
      <x:c r="B179" s="56">
        <x:v>277</x:v>
      </x:c>
      <x:c r="C179" s="57">
        <x:v>66500</x:v>
      </x:c>
      <x:c r="D179" s="25">
        <x:v>73200</x:v>
      </x:c>
      <x:c r="E179" s="25">
        <x:v>78500</x:v>
      </x:c>
      <x:c r="F179" s="58">
        <x:v>83300</x:v>
      </x:c>
      <x:c r="G179" s="23"/>
    </x:row>
    <x:row r="180">
      <x:c r="B180" s="56">
        <x:v>278</x:v>
      </x:c>
      <x:c r="C180" s="57">
        <x:v>66500</x:v>
      </x:c>
      <x:c r="D180" s="25">
        <x:v>73200</x:v>
      </x:c>
      <x:c r="E180" s="25">
        <x:v>78500</x:v>
      </x:c>
      <x:c r="F180" s="58">
        <x:v>83300</x:v>
      </x:c>
      <x:c r="G180" s="23"/>
    </x:row>
    <x:row r="181">
      <x:c r="B181" s="56">
        <x:v>279</x:v>
      </x:c>
      <x:c r="C181" s="57">
        <x:v>66500</x:v>
      </x:c>
      <x:c r="D181" s="25">
        <x:v>73200</x:v>
      </x:c>
      <x:c r="E181" s="25">
        <x:v>78500</x:v>
      </x:c>
      <x:c r="F181" s="58">
        <x:v>83300</x:v>
      </x:c>
      <x:c r="G181" s="23"/>
    </x:row>
    <x:row r="182">
      <x:c r="B182" s="56">
        <x:v>280</x:v>
      </x:c>
      <x:c r="C182" s="57">
        <x:v>66500</x:v>
      </x:c>
      <x:c r="D182" s="25">
        <x:v>73200</x:v>
      </x:c>
      <x:c r="E182" s="25">
        <x:v>78500</x:v>
      </x:c>
      <x:c r="F182" s="58">
        <x:v>83300</x:v>
      </x:c>
      <x:c r="G182" s="23"/>
    </x:row>
    <x:row r="183">
      <x:c r="B183" s="56">
        <x:v>281</x:v>
      </x:c>
      <x:c r="C183" s="57">
        <x:v>69500</x:v>
      </x:c>
      <x:c r="D183" s="25">
        <x:v>76500</x:v>
      </x:c>
      <x:c r="E183" s="25">
        <x:v>82000</x:v>
      </x:c>
      <x:c r="F183" s="58">
        <x:v>87000</x:v>
      </x:c>
      <x:c r="G183" s="23"/>
    </x:row>
    <x:row r="184">
      <x:c r="B184" s="56">
        <x:v>282</x:v>
      </x:c>
      <x:c r="C184" s="57">
        <x:v>69500</x:v>
      </x:c>
      <x:c r="D184" s="25">
        <x:v>76500</x:v>
      </x:c>
      <x:c r="E184" s="25">
        <x:v>82000</x:v>
      </x:c>
      <x:c r="F184" s="58">
        <x:v>87000</x:v>
      </x:c>
      <x:c r="G184" s="23"/>
    </x:row>
    <x:row r="185">
      <x:c r="B185" s="56">
        <x:v>283</x:v>
      </x:c>
      <x:c r="C185" s="57">
        <x:v>69500</x:v>
      </x:c>
      <x:c r="D185" s="25">
        <x:v>76500</x:v>
      </x:c>
      <x:c r="E185" s="25">
        <x:v>82000</x:v>
      </x:c>
      <x:c r="F185" s="58">
        <x:v>87000</x:v>
      </x:c>
      <x:c r="G185" s="23"/>
    </x:row>
    <x:row r="186">
      <x:c r="B186" s="56">
        <x:v>284</x:v>
      </x:c>
      <x:c r="C186" s="57">
        <x:v>69500</x:v>
      </x:c>
      <x:c r="D186" s="25">
        <x:v>76500</x:v>
      </x:c>
      <x:c r="E186" s="25">
        <x:v>82000</x:v>
      </x:c>
      <x:c r="F186" s="58">
        <x:v>87000</x:v>
      </x:c>
      <x:c r="G186" s="23"/>
    </x:row>
    <x:row r="187">
      <x:c r="B187" s="56">
        <x:v>285</x:v>
      </x:c>
      <x:c r="C187" s="57">
        <x:v>69500</x:v>
      </x:c>
      <x:c r="D187" s="25">
        <x:v>76500</x:v>
      </x:c>
      <x:c r="E187" s="25">
        <x:v>82000</x:v>
      </x:c>
      <x:c r="F187" s="58">
        <x:v>87000</x:v>
      </x:c>
      <x:c r="G187" s="23"/>
    </x:row>
    <x:row r="188">
      <x:c r="B188" s="56">
        <x:v>286</x:v>
      </x:c>
      <x:c r="C188" s="57">
        <x:v>69500</x:v>
      </x:c>
      <x:c r="D188" s="25">
        <x:v>76500</x:v>
      </x:c>
      <x:c r="E188" s="25">
        <x:v>82000</x:v>
      </x:c>
      <x:c r="F188" s="58">
        <x:v>87000</x:v>
      </x:c>
      <x:c r="G188" s="23"/>
    </x:row>
    <x:row r="189">
      <x:c r="B189" s="56">
        <x:v>287</x:v>
      </x:c>
      <x:c r="C189" s="57">
        <x:v>69500</x:v>
      </x:c>
      <x:c r="D189" s="25">
        <x:v>76500</x:v>
      </x:c>
      <x:c r="E189" s="25">
        <x:v>82000</x:v>
      </x:c>
      <x:c r="F189" s="58">
        <x:v>87000</x:v>
      </x:c>
      <x:c r="G189" s="23"/>
    </x:row>
    <x:row r="190">
      <x:c r="B190" s="56">
        <x:v>288</x:v>
      </x:c>
      <x:c r="C190" s="57">
        <x:v>69500</x:v>
      </x:c>
      <x:c r="D190" s="25">
        <x:v>76500</x:v>
      </x:c>
      <x:c r="E190" s="25">
        <x:v>82000</x:v>
      </x:c>
      <x:c r="F190" s="58">
        <x:v>87000</x:v>
      </x:c>
      <x:c r="G190" s="23"/>
    </x:row>
    <x:row r="191">
      <x:c r="B191" s="56">
        <x:v>289</x:v>
      </x:c>
      <x:c r="C191" s="57">
        <x:v>69500</x:v>
      </x:c>
      <x:c r="D191" s="25">
        <x:v>76500</x:v>
      </x:c>
      <x:c r="E191" s="25">
        <x:v>82000</x:v>
      </x:c>
      <x:c r="F191" s="58">
        <x:v>87000</x:v>
      </x:c>
      <x:c r="G191" s="23"/>
    </x:row>
    <x:row r="192">
      <x:c r="B192" s="56">
        <x:v>290</x:v>
      </x:c>
      <x:c r="C192" s="57">
        <x:v>69500</x:v>
      </x:c>
      <x:c r="D192" s="25">
        <x:v>76500</x:v>
      </x:c>
      <x:c r="E192" s="25">
        <x:v>82000</x:v>
      </x:c>
      <x:c r="F192" s="58">
        <x:v>87000</x:v>
      </x:c>
      <x:c r="G192" s="23"/>
    </x:row>
    <x:row r="193">
      <x:c r="B193" s="56">
        <x:v>291</x:v>
      </x:c>
      <x:c r="C193" s="57">
        <x:v>69500</x:v>
      </x:c>
      <x:c r="D193" s="25">
        <x:v>76500</x:v>
      </x:c>
      <x:c r="E193" s="25">
        <x:v>82000</x:v>
      </x:c>
      <x:c r="F193" s="58">
        <x:v>87000</x:v>
      </x:c>
      <x:c r="G193" s="23"/>
    </x:row>
    <x:row r="194">
      <x:c r="B194" s="56">
        <x:v>292</x:v>
      </x:c>
      <x:c r="C194" s="57">
        <x:v>69500</x:v>
      </x:c>
      <x:c r="D194" s="25">
        <x:v>76500</x:v>
      </x:c>
      <x:c r="E194" s="25">
        <x:v>82000</x:v>
      </x:c>
      <x:c r="F194" s="58">
        <x:v>87000</x:v>
      </x:c>
      <x:c r="G194" s="23"/>
    </x:row>
    <x:row r="195">
      <x:c r="B195" s="56">
        <x:v>293</x:v>
      </x:c>
      <x:c r="C195" s="57">
        <x:v>69500</x:v>
      </x:c>
      <x:c r="D195" s="25">
        <x:v>76500</x:v>
      </x:c>
      <x:c r="E195" s="25">
        <x:v>82000</x:v>
      </x:c>
      <x:c r="F195" s="58">
        <x:v>87000</x:v>
      </x:c>
      <x:c r="G195" s="23"/>
    </x:row>
    <x:row r="196">
      <x:c r="B196" s="56">
        <x:v>294</x:v>
      </x:c>
      <x:c r="C196" s="57">
        <x:v>69500</x:v>
      </x:c>
      <x:c r="D196" s="25">
        <x:v>76500</x:v>
      </x:c>
      <x:c r="E196" s="25">
        <x:v>82000</x:v>
      </x:c>
      <x:c r="F196" s="58">
        <x:v>87000</x:v>
      </x:c>
      <x:c r="G196" s="23"/>
    </x:row>
    <x:row r="197">
      <x:c r="B197" s="56">
        <x:v>295</x:v>
      </x:c>
      <x:c r="C197" s="57">
        <x:v>69500</x:v>
      </x:c>
      <x:c r="D197" s="25">
        <x:v>76500</x:v>
      </x:c>
      <x:c r="E197" s="25">
        <x:v>82000</x:v>
      </x:c>
      <x:c r="F197" s="58">
        <x:v>87000</x:v>
      </x:c>
      <x:c r="G197" s="23"/>
    </x:row>
    <x:row r="198">
      <x:c r="B198" s="56">
        <x:v>296</x:v>
      </x:c>
      <x:c r="C198" s="57">
        <x:v>69500</x:v>
      </x:c>
      <x:c r="D198" s="25">
        <x:v>76500</x:v>
      </x:c>
      <x:c r="E198" s="25">
        <x:v>82000</x:v>
      </x:c>
      <x:c r="F198" s="58">
        <x:v>87000</x:v>
      </x:c>
      <x:c r="G198" s="23"/>
    </x:row>
    <x:row r="199">
      <x:c r="B199" s="56">
        <x:v>297</x:v>
      </x:c>
      <x:c r="C199" s="57">
        <x:v>69500</x:v>
      </x:c>
      <x:c r="D199" s="25">
        <x:v>76500</x:v>
      </x:c>
      <x:c r="E199" s="25">
        <x:v>82000</x:v>
      </x:c>
      <x:c r="F199" s="58">
        <x:v>87000</x:v>
      </x:c>
      <x:c r="G199" s="23"/>
    </x:row>
    <x:row r="200">
      <x:c r="B200" s="56">
        <x:v>298</x:v>
      </x:c>
      <x:c r="C200" s="57">
        <x:v>69500</x:v>
      </x:c>
      <x:c r="D200" s="25">
        <x:v>76500</x:v>
      </x:c>
      <x:c r="E200" s="25">
        <x:v>82000</x:v>
      </x:c>
      <x:c r="F200" s="58">
        <x:v>87000</x:v>
      </x:c>
      <x:c r="G200" s="23"/>
    </x:row>
    <x:row r="201">
      <x:c r="B201" s="56">
        <x:v>299</x:v>
      </x:c>
      <x:c r="C201" s="57">
        <x:v>69500</x:v>
      </x:c>
      <x:c r="D201" s="25">
        <x:v>76500</x:v>
      </x:c>
      <x:c r="E201" s="25">
        <x:v>82000</x:v>
      </x:c>
      <x:c r="F201" s="58">
        <x:v>87000</x:v>
      </x:c>
      <x:c r="G201" s="23"/>
    </x:row>
    <x:row r="202">
      <x:c r="B202" s="56">
        <x:v>300</x:v>
      </x:c>
      <x:c r="C202" s="57">
        <x:v>69500</x:v>
      </x:c>
      <x:c r="D202" s="25">
        <x:v>76500</x:v>
      </x:c>
      <x:c r="E202" s="25">
        <x:v>82000</x:v>
      </x:c>
      <x:c r="F202" s="58">
        <x:v>87000</x:v>
      </x:c>
      <x:c r="G202" s="23"/>
    </x:row>
    <x:row r="203">
      <x:c r="B203" s="56">
        <x:v>301</x:v>
      </x:c>
      <x:c r="C203" s="57">
        <x:v>72500</x:v>
      </x:c>
      <x:c r="D203" s="25">
        <x:v>79800</x:v>
      </x:c>
      <x:c r="E203" s="25">
        <x:v>85500</x:v>
      </x:c>
      <x:c r="F203" s="58">
        <x:v>90700</x:v>
      </x:c>
      <x:c r="G203" s="23"/>
    </x:row>
    <x:row r="204">
      <x:c r="B204" s="56">
        <x:v>302</x:v>
      </x:c>
      <x:c r="C204" s="57">
        <x:v>72500</x:v>
      </x:c>
      <x:c r="D204" s="25">
        <x:v>79800</x:v>
      </x:c>
      <x:c r="E204" s="25">
        <x:v>85500</x:v>
      </x:c>
      <x:c r="F204" s="58">
        <x:v>90700</x:v>
      </x:c>
      <x:c r="G204" s="23"/>
    </x:row>
    <x:row r="205">
      <x:c r="B205" s="56">
        <x:v>303</x:v>
      </x:c>
      <x:c r="C205" s="57">
        <x:v>72500</x:v>
      </x:c>
      <x:c r="D205" s="25">
        <x:v>79800</x:v>
      </x:c>
      <x:c r="E205" s="25">
        <x:v>85500</x:v>
      </x:c>
      <x:c r="F205" s="58">
        <x:v>90700</x:v>
      </x:c>
      <x:c r="G205" s="23"/>
    </x:row>
    <x:row r="206">
      <x:c r="B206" s="56">
        <x:v>304</x:v>
      </x:c>
      <x:c r="C206" s="57">
        <x:v>72500</x:v>
      </x:c>
      <x:c r="D206" s="25">
        <x:v>79800</x:v>
      </x:c>
      <x:c r="E206" s="25">
        <x:v>85500</x:v>
      </x:c>
      <x:c r="F206" s="58">
        <x:v>90700</x:v>
      </x:c>
      <x:c r="G206" s="23"/>
    </x:row>
    <x:row r="207">
      <x:c r="B207" s="56">
        <x:v>305</x:v>
      </x:c>
      <x:c r="C207" s="57">
        <x:v>72500</x:v>
      </x:c>
      <x:c r="D207" s="25">
        <x:v>79800</x:v>
      </x:c>
      <x:c r="E207" s="25">
        <x:v>85500</x:v>
      </x:c>
      <x:c r="F207" s="58">
        <x:v>90700</x:v>
      </x:c>
      <x:c r="G207" s="23"/>
    </x:row>
    <x:row r="208">
      <x:c r="B208" s="56">
        <x:v>306</x:v>
      </x:c>
      <x:c r="C208" s="57">
        <x:v>72500</x:v>
      </x:c>
      <x:c r="D208" s="25">
        <x:v>79800</x:v>
      </x:c>
      <x:c r="E208" s="25">
        <x:v>85500</x:v>
      </x:c>
      <x:c r="F208" s="58">
        <x:v>90700</x:v>
      </x:c>
      <x:c r="G208" s="23"/>
    </x:row>
    <x:row r="209">
      <x:c r="B209" s="56">
        <x:v>307</x:v>
      </x:c>
      <x:c r="C209" s="57">
        <x:v>72500</x:v>
      </x:c>
      <x:c r="D209" s="25">
        <x:v>79800</x:v>
      </x:c>
      <x:c r="E209" s="25">
        <x:v>85500</x:v>
      </x:c>
      <x:c r="F209" s="58">
        <x:v>90700</x:v>
      </x:c>
      <x:c r="G209" s="23"/>
    </x:row>
    <x:row r="210">
      <x:c r="B210" s="56">
        <x:v>308</x:v>
      </x:c>
      <x:c r="C210" s="57">
        <x:v>72500</x:v>
      </x:c>
      <x:c r="D210" s="25">
        <x:v>79800</x:v>
      </x:c>
      <x:c r="E210" s="25">
        <x:v>85500</x:v>
      </x:c>
      <x:c r="F210" s="58">
        <x:v>90700</x:v>
      </x:c>
      <x:c r="G210" s="23"/>
    </x:row>
    <x:row r="211">
      <x:c r="B211" s="56">
        <x:v>309</x:v>
      </x:c>
      <x:c r="C211" s="57">
        <x:v>72500</x:v>
      </x:c>
      <x:c r="D211" s="25">
        <x:v>79800</x:v>
      </x:c>
      <x:c r="E211" s="25">
        <x:v>85500</x:v>
      </x:c>
      <x:c r="F211" s="58">
        <x:v>90700</x:v>
      </x:c>
      <x:c r="G211" s="23"/>
    </x:row>
    <x:row r="212">
      <x:c r="B212" s="56">
        <x:v>310</x:v>
      </x:c>
      <x:c r="C212" s="57">
        <x:v>72500</x:v>
      </x:c>
      <x:c r="D212" s="25">
        <x:v>79800</x:v>
      </x:c>
      <x:c r="E212" s="25">
        <x:v>85500</x:v>
      </x:c>
      <x:c r="F212" s="58">
        <x:v>90700</x:v>
      </x:c>
      <x:c r="G212" s="23"/>
    </x:row>
    <x:row r="213">
      <x:c r="B213" s="56">
        <x:v>311</x:v>
      </x:c>
      <x:c r="C213" s="57">
        <x:v>72500</x:v>
      </x:c>
      <x:c r="D213" s="25">
        <x:v>79800</x:v>
      </x:c>
      <x:c r="E213" s="25">
        <x:v>85500</x:v>
      </x:c>
      <x:c r="F213" s="58">
        <x:v>90700</x:v>
      </x:c>
      <x:c r="G213" s="23"/>
    </x:row>
    <x:row r="214">
      <x:c r="B214" s="56">
        <x:v>312</x:v>
      </x:c>
      <x:c r="C214" s="57">
        <x:v>72500</x:v>
      </x:c>
      <x:c r="D214" s="25">
        <x:v>79800</x:v>
      </x:c>
      <x:c r="E214" s="25">
        <x:v>85500</x:v>
      </x:c>
      <x:c r="F214" s="58">
        <x:v>90700</x:v>
      </x:c>
      <x:c r="G214" s="23"/>
    </x:row>
    <x:row r="215">
      <x:c r="B215" s="56">
        <x:v>313</x:v>
      </x:c>
      <x:c r="C215" s="57">
        <x:v>72500</x:v>
      </x:c>
      <x:c r="D215" s="25">
        <x:v>79800</x:v>
      </x:c>
      <x:c r="E215" s="25">
        <x:v>85500</x:v>
      </x:c>
      <x:c r="F215" s="58">
        <x:v>90700</x:v>
      </x:c>
      <x:c r="G215" s="23"/>
    </x:row>
    <x:row r="216">
      <x:c r="B216" s="56">
        <x:v>314</x:v>
      </x:c>
      <x:c r="C216" s="57">
        <x:v>72500</x:v>
      </x:c>
      <x:c r="D216" s="25">
        <x:v>79800</x:v>
      </x:c>
      <x:c r="E216" s="25">
        <x:v>85500</x:v>
      </x:c>
      <x:c r="F216" s="58">
        <x:v>90700</x:v>
      </x:c>
      <x:c r="G216" s="23"/>
    </x:row>
    <x:row r="217">
      <x:c r="B217" s="56">
        <x:v>315</x:v>
      </x:c>
      <x:c r="C217" s="57">
        <x:v>72500</x:v>
      </x:c>
      <x:c r="D217" s="25">
        <x:v>79800</x:v>
      </x:c>
      <x:c r="E217" s="25">
        <x:v>85500</x:v>
      </x:c>
      <x:c r="F217" s="58">
        <x:v>90700</x:v>
      </x:c>
      <x:c r="G217" s="23"/>
    </x:row>
    <x:row r="218">
      <x:c r="B218" s="56">
        <x:v>316</x:v>
      </x:c>
      <x:c r="C218" s="57">
        <x:v>72500</x:v>
      </x:c>
      <x:c r="D218" s="25">
        <x:v>79800</x:v>
      </x:c>
      <x:c r="E218" s="25">
        <x:v>85500</x:v>
      </x:c>
      <x:c r="F218" s="58">
        <x:v>90700</x:v>
      </x:c>
      <x:c r="G218" s="23"/>
    </x:row>
    <x:row r="219">
      <x:c r="B219" s="56">
        <x:v>317</x:v>
      </x:c>
      <x:c r="C219" s="57">
        <x:v>72500</x:v>
      </x:c>
      <x:c r="D219" s="25">
        <x:v>79800</x:v>
      </x:c>
      <x:c r="E219" s="25">
        <x:v>85500</x:v>
      </x:c>
      <x:c r="F219" s="58">
        <x:v>90700</x:v>
      </x:c>
      <x:c r="G219" s="23"/>
    </x:row>
    <x:row r="220">
      <x:c r="B220" s="56">
        <x:v>318</x:v>
      </x:c>
      <x:c r="C220" s="57">
        <x:v>72500</x:v>
      </x:c>
      <x:c r="D220" s="25">
        <x:v>79800</x:v>
      </x:c>
      <x:c r="E220" s="25">
        <x:v>85500</x:v>
      </x:c>
      <x:c r="F220" s="58">
        <x:v>90700</x:v>
      </x:c>
      <x:c r="G220" s="23"/>
    </x:row>
    <x:row r="221">
      <x:c r="B221" s="56">
        <x:v>319</x:v>
      </x:c>
      <x:c r="C221" s="57">
        <x:v>72500</x:v>
      </x:c>
      <x:c r="D221" s="25">
        <x:v>79800</x:v>
      </x:c>
      <x:c r="E221" s="25">
        <x:v>85500</x:v>
      </x:c>
      <x:c r="F221" s="58">
        <x:v>90700</x:v>
      </x:c>
      <x:c r="G221" s="23"/>
    </x:row>
    <x:row r="222">
      <x:c r="B222" s="56">
        <x:v>320</x:v>
      </x:c>
      <x:c r="C222" s="57">
        <x:v>72500</x:v>
      </x:c>
      <x:c r="D222" s="25">
        <x:v>79800</x:v>
      </x:c>
      <x:c r="E222" s="25">
        <x:v>85500</x:v>
      </x:c>
      <x:c r="F222" s="58">
        <x:v>90700</x:v>
      </x:c>
      <x:c r="G222" s="23"/>
    </x:row>
    <x:row r="223">
      <x:c r="B223" s="56">
        <x:v>321</x:v>
      </x:c>
      <x:c r="C223" s="57">
        <x:v>75500</x:v>
      </x:c>
      <x:c r="D223" s="25">
        <x:v>83100</x:v>
      </x:c>
      <x:c r="E223" s="25">
        <x:v>89000</x:v>
      </x:c>
      <x:c r="F223" s="58">
        <x:v>94400</x:v>
      </x:c>
      <x:c r="G223" s="23"/>
    </x:row>
    <x:row r="224">
      <x:c r="B224" s="56">
        <x:v>322</x:v>
      </x:c>
      <x:c r="C224" s="57">
        <x:v>75500</x:v>
      </x:c>
      <x:c r="D224" s="25">
        <x:v>83100</x:v>
      </x:c>
      <x:c r="E224" s="25">
        <x:v>89000</x:v>
      </x:c>
      <x:c r="F224" s="58">
        <x:v>94400</x:v>
      </x:c>
      <x:c r="G224" s="23"/>
    </x:row>
    <x:row r="225">
      <x:c r="B225" s="56">
        <x:v>323</x:v>
      </x:c>
      <x:c r="C225" s="57">
        <x:v>75500</x:v>
      </x:c>
      <x:c r="D225" s="25">
        <x:v>83100</x:v>
      </x:c>
      <x:c r="E225" s="25">
        <x:v>89000</x:v>
      </x:c>
      <x:c r="F225" s="58">
        <x:v>94400</x:v>
      </x:c>
      <x:c r="G225" s="23"/>
    </x:row>
    <x:row r="226">
      <x:c r="B226" s="56">
        <x:v>324</x:v>
      </x:c>
      <x:c r="C226" s="57">
        <x:v>75500</x:v>
      </x:c>
      <x:c r="D226" s="25">
        <x:v>83100</x:v>
      </x:c>
      <x:c r="E226" s="25">
        <x:v>89000</x:v>
      </x:c>
      <x:c r="F226" s="58">
        <x:v>94400</x:v>
      </x:c>
      <x:c r="G226" s="23"/>
    </x:row>
    <x:row r="227">
      <x:c r="B227" s="56">
        <x:v>325</x:v>
      </x:c>
      <x:c r="C227" s="57">
        <x:v>75500</x:v>
      </x:c>
      <x:c r="D227" s="25">
        <x:v>83100</x:v>
      </x:c>
      <x:c r="E227" s="25">
        <x:v>89000</x:v>
      </x:c>
      <x:c r="F227" s="58">
        <x:v>94400</x:v>
      </x:c>
      <x:c r="G227" s="23"/>
    </x:row>
    <x:row r="228">
      <x:c r="B228" s="56">
        <x:v>326</x:v>
      </x:c>
      <x:c r="C228" s="57">
        <x:v>75500</x:v>
      </x:c>
      <x:c r="D228" s="25">
        <x:v>83100</x:v>
      </x:c>
      <x:c r="E228" s="25">
        <x:v>89000</x:v>
      </x:c>
      <x:c r="F228" s="58">
        <x:v>94400</x:v>
      </x:c>
      <x:c r="G228" s="23"/>
    </x:row>
    <x:row r="229">
      <x:c r="B229" s="56">
        <x:v>327</x:v>
      </x:c>
      <x:c r="C229" s="57">
        <x:v>75500</x:v>
      </x:c>
      <x:c r="D229" s="25">
        <x:v>83100</x:v>
      </x:c>
      <x:c r="E229" s="25">
        <x:v>89000</x:v>
      </x:c>
      <x:c r="F229" s="58">
        <x:v>94400</x:v>
      </x:c>
      <x:c r="G229" s="23"/>
    </x:row>
    <x:row r="230">
      <x:c r="B230" s="56">
        <x:v>328</x:v>
      </x:c>
      <x:c r="C230" s="57">
        <x:v>75500</x:v>
      </x:c>
      <x:c r="D230" s="25">
        <x:v>83100</x:v>
      </x:c>
      <x:c r="E230" s="25">
        <x:v>89000</x:v>
      </x:c>
      <x:c r="F230" s="58">
        <x:v>94400</x:v>
      </x:c>
      <x:c r="G230" s="23"/>
    </x:row>
    <x:row r="231">
      <x:c r="B231" s="56">
        <x:v>329</x:v>
      </x:c>
      <x:c r="C231" s="57">
        <x:v>75500</x:v>
      </x:c>
      <x:c r="D231" s="25">
        <x:v>83100</x:v>
      </x:c>
      <x:c r="E231" s="25">
        <x:v>89000</x:v>
      </x:c>
      <x:c r="F231" s="58">
        <x:v>94400</x:v>
      </x:c>
      <x:c r="G231" s="23"/>
    </x:row>
    <x:row r="232">
      <x:c r="B232" s="56">
        <x:v>330</x:v>
      </x:c>
      <x:c r="C232" s="57">
        <x:v>75500</x:v>
      </x:c>
      <x:c r="D232" s="25">
        <x:v>83100</x:v>
      </x:c>
      <x:c r="E232" s="25">
        <x:v>89000</x:v>
      </x:c>
      <x:c r="F232" s="58">
        <x:v>94400</x:v>
      </x:c>
      <x:c r="G232" s="23"/>
    </x:row>
    <x:row r="233">
      <x:c r="B233" s="56">
        <x:v>331</x:v>
      </x:c>
      <x:c r="C233" s="57">
        <x:v>75500</x:v>
      </x:c>
      <x:c r="D233" s="25">
        <x:v>83100</x:v>
      </x:c>
      <x:c r="E233" s="25">
        <x:v>89000</x:v>
      </x:c>
      <x:c r="F233" s="58">
        <x:v>94400</x:v>
      </x:c>
      <x:c r="G233" s="23"/>
    </x:row>
    <x:row r="234">
      <x:c r="B234" s="56">
        <x:v>332</x:v>
      </x:c>
      <x:c r="C234" s="57">
        <x:v>75500</x:v>
      </x:c>
      <x:c r="D234" s="25">
        <x:v>83100</x:v>
      </x:c>
      <x:c r="E234" s="25">
        <x:v>89000</x:v>
      </x:c>
      <x:c r="F234" s="58">
        <x:v>94400</x:v>
      </x:c>
      <x:c r="G234" s="23"/>
    </x:row>
    <x:row r="235">
      <x:c r="B235" s="56">
        <x:v>333</x:v>
      </x:c>
      <x:c r="C235" s="57">
        <x:v>75500</x:v>
      </x:c>
      <x:c r="D235" s="25">
        <x:v>83100</x:v>
      </x:c>
      <x:c r="E235" s="25">
        <x:v>89000</x:v>
      </x:c>
      <x:c r="F235" s="58">
        <x:v>94400</x:v>
      </x:c>
      <x:c r="G235" s="23"/>
    </x:row>
    <x:row r="236">
      <x:c r="B236" s="56">
        <x:v>334</x:v>
      </x:c>
      <x:c r="C236" s="57">
        <x:v>75500</x:v>
      </x:c>
      <x:c r="D236" s="25">
        <x:v>83100</x:v>
      </x:c>
      <x:c r="E236" s="25">
        <x:v>89000</x:v>
      </x:c>
      <x:c r="F236" s="58">
        <x:v>94400</x:v>
      </x:c>
      <x:c r="G236" s="23"/>
    </x:row>
    <x:row r="237">
      <x:c r="B237" s="56">
        <x:v>335</x:v>
      </x:c>
      <x:c r="C237" s="57">
        <x:v>75500</x:v>
      </x:c>
      <x:c r="D237" s="25">
        <x:v>83100</x:v>
      </x:c>
      <x:c r="E237" s="25">
        <x:v>89000</x:v>
      </x:c>
      <x:c r="F237" s="58">
        <x:v>94400</x:v>
      </x:c>
      <x:c r="G237" s="23"/>
    </x:row>
    <x:row r="238">
      <x:c r="B238" s="56">
        <x:v>336</x:v>
      </x:c>
      <x:c r="C238" s="57">
        <x:v>75500</x:v>
      </x:c>
      <x:c r="D238" s="25">
        <x:v>83100</x:v>
      </x:c>
      <x:c r="E238" s="25">
        <x:v>89000</x:v>
      </x:c>
      <x:c r="F238" s="58">
        <x:v>94400</x:v>
      </x:c>
      <x:c r="G238" s="23"/>
    </x:row>
    <x:row r="239">
      <x:c r="B239" s="56">
        <x:v>337</x:v>
      </x:c>
      <x:c r="C239" s="57">
        <x:v>75500</x:v>
      </x:c>
      <x:c r="D239" s="25">
        <x:v>83100</x:v>
      </x:c>
      <x:c r="E239" s="25">
        <x:v>89000</x:v>
      </x:c>
      <x:c r="F239" s="58">
        <x:v>94400</x:v>
      </x:c>
      <x:c r="G239" s="23"/>
    </x:row>
    <x:row r="240">
      <x:c r="B240" s="56">
        <x:v>338</x:v>
      </x:c>
      <x:c r="C240" s="57">
        <x:v>75500</x:v>
      </x:c>
      <x:c r="D240" s="25">
        <x:v>83100</x:v>
      </x:c>
      <x:c r="E240" s="25">
        <x:v>89000</x:v>
      </x:c>
      <x:c r="F240" s="58">
        <x:v>94400</x:v>
      </x:c>
      <x:c r="G240" s="23"/>
    </x:row>
    <x:row r="241">
      <x:c r="B241" s="56">
        <x:v>339</x:v>
      </x:c>
      <x:c r="C241" s="57">
        <x:v>75500</x:v>
      </x:c>
      <x:c r="D241" s="25">
        <x:v>83100</x:v>
      </x:c>
      <x:c r="E241" s="25">
        <x:v>89000</x:v>
      </x:c>
      <x:c r="F241" s="58">
        <x:v>94400</x:v>
      </x:c>
      <x:c r="G241" s="23"/>
    </x:row>
    <x:row r="242">
      <x:c r="B242" s="56">
        <x:v>340</x:v>
      </x:c>
      <x:c r="C242" s="57">
        <x:v>75500</x:v>
      </x:c>
      <x:c r="D242" s="25">
        <x:v>83100</x:v>
      </x:c>
      <x:c r="E242" s="25">
        <x:v>89000</x:v>
      </x:c>
      <x:c r="F242" s="58">
        <x:v>94400</x:v>
      </x:c>
      <x:c r="G242" s="23"/>
    </x:row>
    <x:row r="243">
      <x:c r="B243" s="56">
        <x:v>341</x:v>
      </x:c>
      <x:c r="C243" s="57">
        <x:v>78500</x:v>
      </x:c>
      <x:c r="D243" s="25">
        <x:v>86400</x:v>
      </x:c>
      <x:c r="E243" s="25">
        <x:v>92500</x:v>
      </x:c>
      <x:c r="F243" s="58">
        <x:v>98100</x:v>
      </x:c>
      <x:c r="G243" s="23"/>
    </x:row>
    <x:row r="244">
      <x:c r="B244" s="56">
        <x:v>342</x:v>
      </x:c>
      <x:c r="C244" s="57">
        <x:v>78500</x:v>
      </x:c>
      <x:c r="D244" s="25">
        <x:v>86400</x:v>
      </x:c>
      <x:c r="E244" s="25">
        <x:v>92500</x:v>
      </x:c>
      <x:c r="F244" s="58">
        <x:v>98100</x:v>
      </x:c>
      <x:c r="G244" s="23"/>
    </x:row>
    <x:row r="245">
      <x:c r="B245" s="56">
        <x:v>343</x:v>
      </x:c>
      <x:c r="C245" s="57">
        <x:v>78500</x:v>
      </x:c>
      <x:c r="D245" s="25">
        <x:v>86400</x:v>
      </x:c>
      <x:c r="E245" s="25">
        <x:v>92500</x:v>
      </x:c>
      <x:c r="F245" s="58">
        <x:v>98100</x:v>
      </x:c>
      <x:c r="G245" s="23"/>
    </x:row>
    <x:row r="246">
      <x:c r="B246" s="56">
        <x:v>344</x:v>
      </x:c>
      <x:c r="C246" s="57">
        <x:v>78500</x:v>
      </x:c>
      <x:c r="D246" s="25">
        <x:v>86400</x:v>
      </x:c>
      <x:c r="E246" s="25">
        <x:v>92500</x:v>
      </x:c>
      <x:c r="F246" s="58">
        <x:v>98100</x:v>
      </x:c>
      <x:c r="G246" s="23"/>
    </x:row>
    <x:row r="247">
      <x:c r="B247" s="56">
        <x:v>345</x:v>
      </x:c>
      <x:c r="C247" s="57">
        <x:v>78500</x:v>
      </x:c>
      <x:c r="D247" s="25">
        <x:v>86400</x:v>
      </x:c>
      <x:c r="E247" s="25">
        <x:v>92500</x:v>
      </x:c>
      <x:c r="F247" s="58">
        <x:v>98100</x:v>
      </x:c>
      <x:c r="G247" s="23"/>
    </x:row>
    <x:row r="248">
      <x:c r="B248" s="56">
        <x:v>346</x:v>
      </x:c>
      <x:c r="C248" s="57">
        <x:v>78500</x:v>
      </x:c>
      <x:c r="D248" s="25">
        <x:v>86400</x:v>
      </x:c>
      <x:c r="E248" s="25">
        <x:v>92500</x:v>
      </x:c>
      <x:c r="F248" s="58">
        <x:v>98100</x:v>
      </x:c>
      <x:c r="G248" s="23"/>
    </x:row>
    <x:row r="249">
      <x:c r="B249" s="56">
        <x:v>347</x:v>
      </x:c>
      <x:c r="C249" s="57">
        <x:v>78500</x:v>
      </x:c>
      <x:c r="D249" s="25">
        <x:v>86400</x:v>
      </x:c>
      <x:c r="E249" s="25">
        <x:v>92500</x:v>
      </x:c>
      <x:c r="F249" s="58">
        <x:v>98100</x:v>
      </x:c>
      <x:c r="G249" s="23"/>
    </x:row>
    <x:row r="250">
      <x:c r="B250" s="56">
        <x:v>348</x:v>
      </x:c>
      <x:c r="C250" s="57">
        <x:v>78500</x:v>
      </x:c>
      <x:c r="D250" s="25">
        <x:v>86400</x:v>
      </x:c>
      <x:c r="E250" s="25">
        <x:v>92500</x:v>
      </x:c>
      <x:c r="F250" s="58">
        <x:v>98100</x:v>
      </x:c>
      <x:c r="G250" s="23"/>
    </x:row>
    <x:row r="251">
      <x:c r="B251" s="56">
        <x:v>349</x:v>
      </x:c>
      <x:c r="C251" s="57">
        <x:v>78500</x:v>
      </x:c>
      <x:c r="D251" s="25">
        <x:v>86400</x:v>
      </x:c>
      <x:c r="E251" s="25">
        <x:v>92500</x:v>
      </x:c>
      <x:c r="F251" s="58">
        <x:v>98100</x:v>
      </x:c>
      <x:c r="G251" s="23"/>
    </x:row>
    <x:row r="252">
      <x:c r="B252" s="56">
        <x:v>350</x:v>
      </x:c>
      <x:c r="C252" s="57">
        <x:v>78500</x:v>
      </x:c>
      <x:c r="D252" s="25">
        <x:v>86400</x:v>
      </x:c>
      <x:c r="E252" s="25">
        <x:v>92500</x:v>
      </x:c>
      <x:c r="F252" s="58">
        <x:v>98100</x:v>
      </x:c>
      <x:c r="G252" s="23"/>
    </x:row>
    <x:row r="253">
      <x:c r="B253" s="56">
        <x:v>351</x:v>
      </x:c>
      <x:c r="C253" s="57">
        <x:v>78500</x:v>
      </x:c>
      <x:c r="D253" s="25">
        <x:v>86400</x:v>
      </x:c>
      <x:c r="E253" s="25">
        <x:v>92500</x:v>
      </x:c>
      <x:c r="F253" s="58">
        <x:v>98100</x:v>
      </x:c>
      <x:c r="G253" s="23"/>
    </x:row>
    <x:row r="254">
      <x:c r="B254" s="56">
        <x:v>352</x:v>
      </x:c>
      <x:c r="C254" s="57">
        <x:v>78500</x:v>
      </x:c>
      <x:c r="D254" s="25">
        <x:v>86400</x:v>
      </x:c>
      <x:c r="E254" s="25">
        <x:v>92500</x:v>
      </x:c>
      <x:c r="F254" s="58">
        <x:v>98100</x:v>
      </x:c>
      <x:c r="G254" s="23"/>
    </x:row>
    <x:row r="255">
      <x:c r="B255" s="56">
        <x:v>353</x:v>
      </x:c>
      <x:c r="C255" s="57">
        <x:v>78500</x:v>
      </x:c>
      <x:c r="D255" s="25">
        <x:v>86400</x:v>
      </x:c>
      <x:c r="E255" s="25">
        <x:v>92500</x:v>
      </x:c>
      <x:c r="F255" s="58">
        <x:v>98100</x:v>
      </x:c>
      <x:c r="G255" s="23"/>
    </x:row>
    <x:row r="256">
      <x:c r="B256" s="56">
        <x:v>354</x:v>
      </x:c>
      <x:c r="C256" s="57">
        <x:v>78500</x:v>
      </x:c>
      <x:c r="D256" s="25">
        <x:v>86400</x:v>
      </x:c>
      <x:c r="E256" s="25">
        <x:v>92500</x:v>
      </x:c>
      <x:c r="F256" s="58">
        <x:v>98100</x:v>
      </x:c>
      <x:c r="G256" s="23"/>
    </x:row>
    <x:row r="257">
      <x:c r="B257" s="56">
        <x:v>355</x:v>
      </x:c>
      <x:c r="C257" s="57">
        <x:v>78500</x:v>
      </x:c>
      <x:c r="D257" s="25">
        <x:v>86400</x:v>
      </x:c>
      <x:c r="E257" s="25">
        <x:v>92500</x:v>
      </x:c>
      <x:c r="F257" s="58">
        <x:v>98100</x:v>
      </x:c>
      <x:c r="G257" s="23"/>
    </x:row>
    <x:row r="258">
      <x:c r="B258" s="56">
        <x:v>356</x:v>
      </x:c>
      <x:c r="C258" s="57">
        <x:v>78500</x:v>
      </x:c>
      <x:c r="D258" s="25">
        <x:v>86400</x:v>
      </x:c>
      <x:c r="E258" s="25">
        <x:v>92500</x:v>
      </x:c>
      <x:c r="F258" s="58">
        <x:v>98100</x:v>
      </x:c>
      <x:c r="G258" s="23"/>
    </x:row>
    <x:row r="259">
      <x:c r="B259" s="56">
        <x:v>357</x:v>
      </x:c>
      <x:c r="C259" s="57">
        <x:v>78500</x:v>
      </x:c>
      <x:c r="D259" s="25">
        <x:v>86400</x:v>
      </x:c>
      <x:c r="E259" s="25">
        <x:v>92500</x:v>
      </x:c>
      <x:c r="F259" s="58">
        <x:v>98100</x:v>
      </x:c>
      <x:c r="G259" s="23"/>
    </x:row>
    <x:row r="260">
      <x:c r="B260" s="56">
        <x:v>358</x:v>
      </x:c>
      <x:c r="C260" s="57">
        <x:v>78500</x:v>
      </x:c>
      <x:c r="D260" s="25">
        <x:v>86400</x:v>
      </x:c>
      <x:c r="E260" s="25">
        <x:v>92500</x:v>
      </x:c>
      <x:c r="F260" s="58">
        <x:v>98100</x:v>
      </x:c>
      <x:c r="G260" s="23"/>
    </x:row>
    <x:row r="261">
      <x:c r="B261" s="56">
        <x:v>359</x:v>
      </x:c>
      <x:c r="C261" s="57">
        <x:v>78500</x:v>
      </x:c>
      <x:c r="D261" s="25">
        <x:v>86400</x:v>
      </x:c>
      <x:c r="E261" s="25">
        <x:v>92500</x:v>
      </x:c>
      <x:c r="F261" s="58">
        <x:v>98100</x:v>
      </x:c>
      <x:c r="G261" s="23"/>
    </x:row>
    <x:row r="262">
      <x:c r="B262" s="56">
        <x:v>360</x:v>
      </x:c>
      <x:c r="C262" s="57">
        <x:v>78500</x:v>
      </x:c>
      <x:c r="D262" s="25">
        <x:v>86400</x:v>
      </x:c>
      <x:c r="E262" s="25">
        <x:v>92500</x:v>
      </x:c>
      <x:c r="F262" s="58">
        <x:v>98100</x:v>
      </x:c>
      <x:c r="G262" s="23"/>
    </x:row>
    <x:row r="263">
      <x:c r="B263" s="56">
        <x:v>361</x:v>
      </x:c>
      <x:c r="C263" s="57">
        <x:v>81500</x:v>
      </x:c>
      <x:c r="D263" s="25">
        <x:v>89700</x:v>
      </x:c>
      <x:c r="E263" s="25">
        <x:v>96000</x:v>
      </x:c>
      <x:c r="F263" s="58">
        <x:v>101800</x:v>
      </x:c>
      <x:c r="G263" s="23"/>
    </x:row>
    <x:row r="264">
      <x:c r="B264" s="56">
        <x:v>362</x:v>
      </x:c>
      <x:c r="C264" s="57">
        <x:v>81500</x:v>
      </x:c>
      <x:c r="D264" s="25">
        <x:v>89700</x:v>
      </x:c>
      <x:c r="E264" s="25">
        <x:v>96000</x:v>
      </x:c>
      <x:c r="F264" s="58">
        <x:v>101800</x:v>
      </x:c>
      <x:c r="G264" s="23"/>
    </x:row>
    <x:row r="265">
      <x:c r="B265" s="56">
        <x:v>363</x:v>
      </x:c>
      <x:c r="C265" s="57">
        <x:v>81500</x:v>
      </x:c>
      <x:c r="D265" s="25">
        <x:v>89700</x:v>
      </x:c>
      <x:c r="E265" s="25">
        <x:v>96000</x:v>
      </x:c>
      <x:c r="F265" s="58">
        <x:v>101800</x:v>
      </x:c>
      <x:c r="G265" s="23"/>
    </x:row>
    <x:row r="266">
      <x:c r="B266" s="56">
        <x:v>364</x:v>
      </x:c>
      <x:c r="C266" s="57">
        <x:v>81500</x:v>
      </x:c>
      <x:c r="D266" s="25">
        <x:v>89700</x:v>
      </x:c>
      <x:c r="E266" s="25">
        <x:v>96000</x:v>
      </x:c>
      <x:c r="F266" s="58">
        <x:v>101800</x:v>
      </x:c>
      <x:c r="G266" s="23"/>
    </x:row>
    <x:row r="267">
      <x:c r="B267" s="56">
        <x:v>365</x:v>
      </x:c>
      <x:c r="C267" s="57">
        <x:v>81500</x:v>
      </x:c>
      <x:c r="D267" s="25">
        <x:v>89700</x:v>
      </x:c>
      <x:c r="E267" s="25">
        <x:v>96000</x:v>
      </x:c>
      <x:c r="F267" s="58">
        <x:v>101800</x:v>
      </x:c>
      <x:c r="G267" s="23"/>
    </x:row>
    <x:row r="268">
      <x:c r="B268" s="56">
        <x:v>366</x:v>
      </x:c>
      <x:c r="C268" s="57">
        <x:v>81500</x:v>
      </x:c>
      <x:c r="D268" s="25">
        <x:v>89700</x:v>
      </x:c>
      <x:c r="E268" s="25">
        <x:v>96000</x:v>
      </x:c>
      <x:c r="F268" s="58">
        <x:v>101800</x:v>
      </x:c>
      <x:c r="G268" s="23"/>
    </x:row>
    <x:row r="269">
      <x:c r="B269" s="56">
        <x:v>367</x:v>
      </x:c>
      <x:c r="C269" s="57">
        <x:v>81500</x:v>
      </x:c>
      <x:c r="D269" s="25">
        <x:v>89700</x:v>
      </x:c>
      <x:c r="E269" s="25">
        <x:v>96000</x:v>
      </x:c>
      <x:c r="F269" s="58">
        <x:v>101800</x:v>
      </x:c>
      <x:c r="G269" s="23"/>
    </x:row>
    <x:row r="270">
      <x:c r="B270" s="56">
        <x:v>368</x:v>
      </x:c>
      <x:c r="C270" s="57">
        <x:v>81500</x:v>
      </x:c>
      <x:c r="D270" s="25">
        <x:v>89700</x:v>
      </x:c>
      <x:c r="E270" s="25">
        <x:v>96000</x:v>
      </x:c>
      <x:c r="F270" s="58">
        <x:v>101800</x:v>
      </x:c>
      <x:c r="G270" s="23"/>
    </x:row>
    <x:row r="271">
      <x:c r="B271" s="56">
        <x:v>369</x:v>
      </x:c>
      <x:c r="C271" s="57">
        <x:v>81500</x:v>
      </x:c>
      <x:c r="D271" s="25">
        <x:v>89700</x:v>
      </x:c>
      <x:c r="E271" s="25">
        <x:v>96000</x:v>
      </x:c>
      <x:c r="F271" s="58">
        <x:v>101800</x:v>
      </x:c>
      <x:c r="G271" s="23"/>
    </x:row>
    <x:row r="272">
      <x:c r="B272" s="56">
        <x:v>370</x:v>
      </x:c>
      <x:c r="C272" s="57">
        <x:v>81500</x:v>
      </x:c>
      <x:c r="D272" s="25">
        <x:v>89700</x:v>
      </x:c>
      <x:c r="E272" s="25">
        <x:v>96000</x:v>
      </x:c>
      <x:c r="F272" s="58">
        <x:v>101800</x:v>
      </x:c>
      <x:c r="G272" s="23"/>
    </x:row>
    <x:row r="273">
      <x:c r="B273" s="56">
        <x:v>371</x:v>
      </x:c>
      <x:c r="C273" s="57">
        <x:v>81500</x:v>
      </x:c>
      <x:c r="D273" s="25">
        <x:v>89700</x:v>
      </x:c>
      <x:c r="E273" s="25">
        <x:v>96000</x:v>
      </x:c>
      <x:c r="F273" s="58">
        <x:v>101800</x:v>
      </x:c>
      <x:c r="G273" s="23"/>
    </x:row>
    <x:row r="274">
      <x:c r="B274" s="56">
        <x:v>372</x:v>
      </x:c>
      <x:c r="C274" s="57">
        <x:v>81500</x:v>
      </x:c>
      <x:c r="D274" s="25">
        <x:v>89700</x:v>
      </x:c>
      <x:c r="E274" s="25">
        <x:v>96000</x:v>
      </x:c>
      <x:c r="F274" s="58">
        <x:v>101800</x:v>
      </x:c>
      <x:c r="G274" s="23"/>
    </x:row>
    <x:row r="275">
      <x:c r="B275" s="56">
        <x:v>373</x:v>
      </x:c>
      <x:c r="C275" s="57">
        <x:v>81500</x:v>
      </x:c>
      <x:c r="D275" s="25">
        <x:v>89700</x:v>
      </x:c>
      <x:c r="E275" s="25">
        <x:v>96000</x:v>
      </x:c>
      <x:c r="F275" s="58">
        <x:v>101800</x:v>
      </x:c>
      <x:c r="G275" s="23"/>
    </x:row>
    <x:row r="276">
      <x:c r="B276" s="56">
        <x:v>374</x:v>
      </x:c>
      <x:c r="C276" s="57">
        <x:v>81500</x:v>
      </x:c>
      <x:c r="D276" s="25">
        <x:v>89700</x:v>
      </x:c>
      <x:c r="E276" s="25">
        <x:v>96000</x:v>
      </x:c>
      <x:c r="F276" s="58">
        <x:v>101800</x:v>
      </x:c>
      <x:c r="G276" s="23"/>
    </x:row>
    <x:row r="277">
      <x:c r="B277" s="56">
        <x:v>375</x:v>
      </x:c>
      <x:c r="C277" s="57">
        <x:v>81500</x:v>
      </x:c>
      <x:c r="D277" s="25">
        <x:v>89700</x:v>
      </x:c>
      <x:c r="E277" s="25">
        <x:v>96000</x:v>
      </x:c>
      <x:c r="F277" s="58">
        <x:v>101800</x:v>
      </x:c>
      <x:c r="G277" s="23"/>
    </x:row>
    <x:row r="278">
      <x:c r="B278" s="56">
        <x:v>376</x:v>
      </x:c>
      <x:c r="C278" s="57">
        <x:v>81500</x:v>
      </x:c>
      <x:c r="D278" s="25">
        <x:v>89700</x:v>
      </x:c>
      <x:c r="E278" s="25">
        <x:v>96000</x:v>
      </x:c>
      <x:c r="F278" s="58">
        <x:v>101800</x:v>
      </x:c>
      <x:c r="G278" s="23"/>
    </x:row>
    <x:row r="279">
      <x:c r="B279" s="56">
        <x:v>377</x:v>
      </x:c>
      <x:c r="C279" s="57">
        <x:v>81500</x:v>
      </x:c>
      <x:c r="D279" s="25">
        <x:v>89700</x:v>
      </x:c>
      <x:c r="E279" s="25">
        <x:v>96000</x:v>
      </x:c>
      <x:c r="F279" s="58">
        <x:v>101800</x:v>
      </x:c>
      <x:c r="G279" s="23"/>
    </x:row>
    <x:row r="280">
      <x:c r="B280" s="56">
        <x:v>378</x:v>
      </x:c>
      <x:c r="C280" s="57">
        <x:v>81500</x:v>
      </x:c>
      <x:c r="D280" s="25">
        <x:v>89700</x:v>
      </x:c>
      <x:c r="E280" s="25">
        <x:v>96000</x:v>
      </x:c>
      <x:c r="F280" s="58">
        <x:v>101800</x:v>
      </x:c>
      <x:c r="G280" s="23"/>
    </x:row>
    <x:row r="281">
      <x:c r="B281" s="56">
        <x:v>379</x:v>
      </x:c>
      <x:c r="C281" s="57">
        <x:v>81500</x:v>
      </x:c>
      <x:c r="D281" s="25">
        <x:v>89700</x:v>
      </x:c>
      <x:c r="E281" s="25">
        <x:v>96000</x:v>
      </x:c>
      <x:c r="F281" s="58">
        <x:v>101800</x:v>
      </x:c>
      <x:c r="G281" s="23"/>
    </x:row>
    <x:row r="282">
      <x:c r="B282" s="56">
        <x:v>380</x:v>
      </x:c>
      <x:c r="C282" s="57">
        <x:v>81500</x:v>
      </x:c>
      <x:c r="D282" s="25">
        <x:v>89700</x:v>
      </x:c>
      <x:c r="E282" s="25">
        <x:v>96000</x:v>
      </x:c>
      <x:c r="F282" s="58">
        <x:v>101800</x:v>
      </x:c>
      <x:c r="G282" s="23"/>
    </x:row>
    <x:row r="283">
      <x:c r="B283" s="56">
        <x:v>381</x:v>
      </x:c>
      <x:c r="C283" s="57">
        <x:v>84500</x:v>
      </x:c>
      <x:c r="D283" s="25">
        <x:v>93000</x:v>
      </x:c>
      <x:c r="E283" s="25">
        <x:v>99500</x:v>
      </x:c>
      <x:c r="F283" s="58">
        <x:v>105500</x:v>
      </x:c>
      <x:c r="G283" s="23"/>
    </x:row>
    <x:row r="284">
      <x:c r="B284" s="56">
        <x:v>382</x:v>
      </x:c>
      <x:c r="C284" s="57">
        <x:v>84500</x:v>
      </x:c>
      <x:c r="D284" s="25">
        <x:v>93000</x:v>
      </x:c>
      <x:c r="E284" s="25">
        <x:v>99500</x:v>
      </x:c>
      <x:c r="F284" s="58">
        <x:v>105500</x:v>
      </x:c>
      <x:c r="G284" s="23"/>
    </x:row>
    <x:row r="285">
      <x:c r="B285" s="56">
        <x:v>383</x:v>
      </x:c>
      <x:c r="C285" s="57">
        <x:v>84500</x:v>
      </x:c>
      <x:c r="D285" s="25">
        <x:v>93000</x:v>
      </x:c>
      <x:c r="E285" s="25">
        <x:v>99500</x:v>
      </x:c>
      <x:c r="F285" s="58">
        <x:v>105500</x:v>
      </x:c>
      <x:c r="G285" s="23"/>
    </x:row>
    <x:row r="286">
      <x:c r="B286" s="56">
        <x:v>384</x:v>
      </x:c>
      <x:c r="C286" s="57">
        <x:v>84500</x:v>
      </x:c>
      <x:c r="D286" s="25">
        <x:v>93000</x:v>
      </x:c>
      <x:c r="E286" s="25">
        <x:v>99500</x:v>
      </x:c>
      <x:c r="F286" s="58">
        <x:v>105500</x:v>
      </x:c>
      <x:c r="G286" s="23"/>
    </x:row>
    <x:row r="287">
      <x:c r="B287" s="56">
        <x:v>385</x:v>
      </x:c>
      <x:c r="C287" s="57">
        <x:v>84500</x:v>
      </x:c>
      <x:c r="D287" s="25">
        <x:v>93000</x:v>
      </x:c>
      <x:c r="E287" s="25">
        <x:v>99500</x:v>
      </x:c>
      <x:c r="F287" s="58">
        <x:v>105500</x:v>
      </x:c>
      <x:c r="G287" s="23"/>
    </x:row>
    <x:row r="288">
      <x:c r="B288" s="56">
        <x:v>386</x:v>
      </x:c>
      <x:c r="C288" s="57">
        <x:v>84500</x:v>
      </x:c>
      <x:c r="D288" s="25">
        <x:v>93000</x:v>
      </x:c>
      <x:c r="E288" s="25">
        <x:v>99500</x:v>
      </x:c>
      <x:c r="F288" s="58">
        <x:v>105500</x:v>
      </x:c>
      <x:c r="G288" s="23"/>
    </x:row>
    <x:row r="289">
      <x:c r="B289" s="56">
        <x:v>387</x:v>
      </x:c>
      <x:c r="C289" s="57">
        <x:v>84500</x:v>
      </x:c>
      <x:c r="D289" s="25">
        <x:v>93000</x:v>
      </x:c>
      <x:c r="E289" s="25">
        <x:v>99500</x:v>
      </x:c>
      <x:c r="F289" s="58">
        <x:v>105500</x:v>
      </x:c>
      <x:c r="G289" s="23"/>
    </x:row>
    <x:row r="290">
      <x:c r="B290" s="56">
        <x:v>388</x:v>
      </x:c>
      <x:c r="C290" s="57">
        <x:v>84500</x:v>
      </x:c>
      <x:c r="D290" s="25">
        <x:v>93000</x:v>
      </x:c>
      <x:c r="E290" s="25">
        <x:v>99500</x:v>
      </x:c>
      <x:c r="F290" s="58">
        <x:v>105500</x:v>
      </x:c>
      <x:c r="G290" s="23"/>
    </x:row>
    <x:row r="291">
      <x:c r="B291" s="56">
        <x:v>389</x:v>
      </x:c>
      <x:c r="C291" s="57">
        <x:v>84500</x:v>
      </x:c>
      <x:c r="D291" s="25">
        <x:v>93000</x:v>
      </x:c>
      <x:c r="E291" s="25">
        <x:v>99500</x:v>
      </x:c>
      <x:c r="F291" s="58">
        <x:v>105500</x:v>
      </x:c>
      <x:c r="G291" s="23"/>
    </x:row>
    <x:row r="292">
      <x:c r="B292" s="56">
        <x:v>390</x:v>
      </x:c>
      <x:c r="C292" s="57">
        <x:v>84500</x:v>
      </x:c>
      <x:c r="D292" s="25">
        <x:v>93000</x:v>
      </x:c>
      <x:c r="E292" s="25">
        <x:v>99500</x:v>
      </x:c>
      <x:c r="F292" s="58">
        <x:v>105500</x:v>
      </x:c>
      <x:c r="G292" s="23"/>
    </x:row>
    <x:row r="293">
      <x:c r="B293" s="56">
        <x:v>391</x:v>
      </x:c>
      <x:c r="C293" s="57">
        <x:v>84500</x:v>
      </x:c>
      <x:c r="D293" s="25">
        <x:v>93000</x:v>
      </x:c>
      <x:c r="E293" s="25">
        <x:v>99500</x:v>
      </x:c>
      <x:c r="F293" s="58">
        <x:v>105500</x:v>
      </x:c>
      <x:c r="G293" s="23"/>
    </x:row>
    <x:row r="294">
      <x:c r="B294" s="56">
        <x:v>392</x:v>
      </x:c>
      <x:c r="C294" s="57">
        <x:v>84500</x:v>
      </x:c>
      <x:c r="D294" s="25">
        <x:v>93000</x:v>
      </x:c>
      <x:c r="E294" s="25">
        <x:v>99500</x:v>
      </x:c>
      <x:c r="F294" s="58">
        <x:v>105500</x:v>
      </x:c>
      <x:c r="G294" s="23"/>
    </x:row>
    <x:row r="295">
      <x:c r="B295" s="56">
        <x:v>393</x:v>
      </x:c>
      <x:c r="C295" s="57">
        <x:v>84500</x:v>
      </x:c>
      <x:c r="D295" s="25">
        <x:v>93000</x:v>
      </x:c>
      <x:c r="E295" s="25">
        <x:v>99500</x:v>
      </x:c>
      <x:c r="F295" s="58">
        <x:v>105500</x:v>
      </x:c>
      <x:c r="G295" s="23"/>
    </x:row>
    <x:row r="296">
      <x:c r="B296" s="56">
        <x:v>394</x:v>
      </x:c>
      <x:c r="C296" s="57">
        <x:v>84500</x:v>
      </x:c>
      <x:c r="D296" s="25">
        <x:v>93000</x:v>
      </x:c>
      <x:c r="E296" s="25">
        <x:v>99500</x:v>
      </x:c>
      <x:c r="F296" s="58">
        <x:v>105500</x:v>
      </x:c>
      <x:c r="G296" s="23"/>
    </x:row>
    <x:row r="297">
      <x:c r="B297" s="56">
        <x:v>395</x:v>
      </x:c>
      <x:c r="C297" s="57">
        <x:v>84500</x:v>
      </x:c>
      <x:c r="D297" s="25">
        <x:v>93000</x:v>
      </x:c>
      <x:c r="E297" s="25">
        <x:v>99500</x:v>
      </x:c>
      <x:c r="F297" s="58">
        <x:v>105500</x:v>
      </x:c>
      <x:c r="G297" s="23"/>
    </x:row>
    <x:row r="298">
      <x:c r="B298" s="56">
        <x:v>396</x:v>
      </x:c>
      <x:c r="C298" s="57">
        <x:v>84500</x:v>
      </x:c>
      <x:c r="D298" s="25">
        <x:v>93000</x:v>
      </x:c>
      <x:c r="E298" s="25">
        <x:v>99500</x:v>
      </x:c>
      <x:c r="F298" s="58">
        <x:v>105500</x:v>
      </x:c>
      <x:c r="G298" s="23"/>
    </x:row>
    <x:row r="299">
      <x:c r="B299" s="56">
        <x:v>397</x:v>
      </x:c>
      <x:c r="C299" s="57">
        <x:v>84500</x:v>
      </x:c>
      <x:c r="D299" s="25">
        <x:v>93000</x:v>
      </x:c>
      <x:c r="E299" s="25">
        <x:v>99500</x:v>
      </x:c>
      <x:c r="F299" s="58">
        <x:v>105500</x:v>
      </x:c>
      <x:c r="G299" s="23"/>
    </x:row>
    <x:row r="300">
      <x:c r="B300" s="56">
        <x:v>398</x:v>
      </x:c>
      <x:c r="C300" s="57">
        <x:v>84500</x:v>
      </x:c>
      <x:c r="D300" s="25">
        <x:v>93000</x:v>
      </x:c>
      <x:c r="E300" s="25">
        <x:v>99500</x:v>
      </x:c>
      <x:c r="F300" s="58">
        <x:v>105500</x:v>
      </x:c>
      <x:c r="G300" s="23"/>
    </x:row>
    <x:row r="301">
      <x:c r="B301" s="56">
        <x:v>399</x:v>
      </x:c>
      <x:c r="C301" s="57">
        <x:v>84500</x:v>
      </x:c>
      <x:c r="D301" s="25">
        <x:v>93000</x:v>
      </x:c>
      <x:c r="E301" s="25">
        <x:v>99500</x:v>
      </x:c>
      <x:c r="F301" s="58">
        <x:v>105500</x:v>
      </x:c>
      <x:c r="G301" s="23"/>
    </x:row>
    <x:row r="302">
      <x:c r="B302" s="56">
        <x:v>400</x:v>
      </x:c>
      <x:c r="C302" s="57">
        <x:v>84500</x:v>
      </x:c>
      <x:c r="D302" s="25">
        <x:v>93000</x:v>
      </x:c>
      <x:c r="E302" s="25">
        <x:v>99500</x:v>
      </x:c>
      <x:c r="F302" s="58">
        <x:v>105500</x:v>
      </x:c>
      <x:c r="G302" s="23"/>
    </x:row>
    <x:row r="303">
      <x:c r="B303" s="56">
        <x:v>401</x:v>
      </x:c>
      <x:c r="C303" s="57">
        <x:v>87500</x:v>
      </x:c>
      <x:c r="D303" s="25">
        <x:v>96300</x:v>
      </x:c>
      <x:c r="E303" s="25">
        <x:v>103000</x:v>
      </x:c>
      <x:c r="F303" s="58">
        <x:v>109200</x:v>
      </x:c>
      <x:c r="G303" s="23"/>
    </x:row>
    <x:row r="304">
      <x:c r="B304" s="56">
        <x:v>402</x:v>
      </x:c>
      <x:c r="C304" s="57">
        <x:v>87500</x:v>
      </x:c>
      <x:c r="D304" s="25">
        <x:v>96300</x:v>
      </x:c>
      <x:c r="E304" s="25">
        <x:v>103000</x:v>
      </x:c>
      <x:c r="F304" s="58">
        <x:v>109200</x:v>
      </x:c>
      <x:c r="G304" s="23"/>
    </x:row>
    <x:row r="305">
      <x:c r="B305" s="56">
        <x:v>403</x:v>
      </x:c>
      <x:c r="C305" s="57">
        <x:v>87500</x:v>
      </x:c>
      <x:c r="D305" s="25">
        <x:v>96300</x:v>
      </x:c>
      <x:c r="E305" s="25">
        <x:v>103000</x:v>
      </x:c>
      <x:c r="F305" s="58">
        <x:v>109200</x:v>
      </x:c>
      <x:c r="G305" s="23"/>
    </x:row>
    <x:row r="306">
      <x:c r="B306" s="56">
        <x:v>404</x:v>
      </x:c>
      <x:c r="C306" s="57">
        <x:v>87500</x:v>
      </x:c>
      <x:c r="D306" s="25">
        <x:v>96300</x:v>
      </x:c>
      <x:c r="E306" s="25">
        <x:v>103000</x:v>
      </x:c>
      <x:c r="F306" s="58">
        <x:v>109200</x:v>
      </x:c>
      <x:c r="G306" s="23"/>
    </x:row>
    <x:row r="307">
      <x:c r="B307" s="56">
        <x:v>405</x:v>
      </x:c>
      <x:c r="C307" s="57">
        <x:v>87500</x:v>
      </x:c>
      <x:c r="D307" s="25">
        <x:v>96300</x:v>
      </x:c>
      <x:c r="E307" s="25">
        <x:v>103000</x:v>
      </x:c>
      <x:c r="F307" s="58">
        <x:v>109200</x:v>
      </x:c>
      <x:c r="G307" s="23"/>
    </x:row>
    <x:row r="308">
      <x:c r="B308" s="56">
        <x:v>406</x:v>
      </x:c>
      <x:c r="C308" s="57">
        <x:v>87500</x:v>
      </x:c>
      <x:c r="D308" s="25">
        <x:v>96300</x:v>
      </x:c>
      <x:c r="E308" s="25">
        <x:v>103000</x:v>
      </x:c>
      <x:c r="F308" s="58">
        <x:v>109200</x:v>
      </x:c>
      <x:c r="G308" s="23"/>
    </x:row>
    <x:row r="309">
      <x:c r="B309" s="56">
        <x:v>407</x:v>
      </x:c>
      <x:c r="C309" s="57">
        <x:v>87500</x:v>
      </x:c>
      <x:c r="D309" s="25">
        <x:v>96300</x:v>
      </x:c>
      <x:c r="E309" s="25">
        <x:v>103000</x:v>
      </x:c>
      <x:c r="F309" s="58">
        <x:v>109200</x:v>
      </x:c>
      <x:c r="G309" s="23"/>
    </x:row>
    <x:row r="310">
      <x:c r="B310" s="56">
        <x:v>408</x:v>
      </x:c>
      <x:c r="C310" s="57">
        <x:v>87500</x:v>
      </x:c>
      <x:c r="D310" s="25">
        <x:v>96300</x:v>
      </x:c>
      <x:c r="E310" s="25">
        <x:v>103000</x:v>
      </x:c>
      <x:c r="F310" s="58">
        <x:v>109200</x:v>
      </x:c>
      <x:c r="G310" s="23"/>
    </x:row>
    <x:row r="311">
      <x:c r="B311" s="56">
        <x:v>409</x:v>
      </x:c>
      <x:c r="C311" s="57">
        <x:v>87500</x:v>
      </x:c>
      <x:c r="D311" s="25">
        <x:v>96300</x:v>
      </x:c>
      <x:c r="E311" s="25">
        <x:v>103000</x:v>
      </x:c>
      <x:c r="F311" s="58">
        <x:v>109200</x:v>
      </x:c>
      <x:c r="G311" s="23"/>
    </x:row>
    <x:row r="312">
      <x:c r="B312" s="56">
        <x:v>410</x:v>
      </x:c>
      <x:c r="C312" s="57">
        <x:v>87500</x:v>
      </x:c>
      <x:c r="D312" s="25">
        <x:v>96300</x:v>
      </x:c>
      <x:c r="E312" s="25">
        <x:v>103000</x:v>
      </x:c>
      <x:c r="F312" s="58">
        <x:v>109200</x:v>
      </x:c>
      <x:c r="G312" s="23"/>
    </x:row>
    <x:row r="313">
      <x:c r="B313" s="56">
        <x:v>411</x:v>
      </x:c>
      <x:c r="C313" s="57">
        <x:v>87500</x:v>
      </x:c>
      <x:c r="D313" s="25">
        <x:v>96300</x:v>
      </x:c>
      <x:c r="E313" s="25">
        <x:v>103000</x:v>
      </x:c>
      <x:c r="F313" s="58">
        <x:v>109200</x:v>
      </x:c>
      <x:c r="G313" s="23"/>
    </x:row>
    <x:row r="314">
      <x:c r="B314" s="56">
        <x:v>412</x:v>
      </x:c>
      <x:c r="C314" s="57">
        <x:v>87500</x:v>
      </x:c>
      <x:c r="D314" s="25">
        <x:v>96300</x:v>
      </x:c>
      <x:c r="E314" s="25">
        <x:v>103000</x:v>
      </x:c>
      <x:c r="F314" s="58">
        <x:v>109200</x:v>
      </x:c>
      <x:c r="G314" s="23"/>
    </x:row>
    <x:row r="315">
      <x:c r="B315" s="56">
        <x:v>413</x:v>
      </x:c>
      <x:c r="C315" s="57">
        <x:v>87500</x:v>
      </x:c>
      <x:c r="D315" s="25">
        <x:v>96300</x:v>
      </x:c>
      <x:c r="E315" s="25">
        <x:v>103000</x:v>
      </x:c>
      <x:c r="F315" s="58">
        <x:v>109200</x:v>
      </x:c>
      <x:c r="G315" s="23"/>
    </x:row>
    <x:row r="316">
      <x:c r="B316" s="56">
        <x:v>414</x:v>
      </x:c>
      <x:c r="C316" s="57">
        <x:v>87500</x:v>
      </x:c>
      <x:c r="D316" s="25">
        <x:v>96300</x:v>
      </x:c>
      <x:c r="E316" s="25">
        <x:v>103000</x:v>
      </x:c>
      <x:c r="F316" s="58">
        <x:v>109200</x:v>
      </x:c>
      <x:c r="G316" s="23"/>
    </x:row>
    <x:row r="317">
      <x:c r="B317" s="56">
        <x:v>415</x:v>
      </x:c>
      <x:c r="C317" s="57">
        <x:v>87500</x:v>
      </x:c>
      <x:c r="D317" s="25">
        <x:v>96300</x:v>
      </x:c>
      <x:c r="E317" s="25">
        <x:v>103000</x:v>
      </x:c>
      <x:c r="F317" s="58">
        <x:v>109200</x:v>
      </x:c>
      <x:c r="G317" s="23"/>
    </x:row>
    <x:row r="318">
      <x:c r="B318" s="56">
        <x:v>416</x:v>
      </x:c>
      <x:c r="C318" s="57">
        <x:v>87500</x:v>
      </x:c>
      <x:c r="D318" s="25">
        <x:v>96300</x:v>
      </x:c>
      <x:c r="E318" s="25">
        <x:v>103000</x:v>
      </x:c>
      <x:c r="F318" s="58">
        <x:v>109200</x:v>
      </x:c>
      <x:c r="G318" s="23"/>
    </x:row>
    <x:row r="319">
      <x:c r="B319" s="56">
        <x:v>417</x:v>
      </x:c>
      <x:c r="C319" s="57">
        <x:v>87500</x:v>
      </x:c>
      <x:c r="D319" s="25">
        <x:v>96300</x:v>
      </x:c>
      <x:c r="E319" s="25">
        <x:v>103000</x:v>
      </x:c>
      <x:c r="F319" s="58">
        <x:v>109200</x:v>
      </x:c>
      <x:c r="G319" s="23"/>
    </x:row>
    <x:row r="320">
      <x:c r="B320" s="56">
        <x:v>418</x:v>
      </x:c>
      <x:c r="C320" s="57">
        <x:v>87500</x:v>
      </x:c>
      <x:c r="D320" s="25">
        <x:v>96300</x:v>
      </x:c>
      <x:c r="E320" s="25">
        <x:v>103000</x:v>
      </x:c>
      <x:c r="F320" s="58">
        <x:v>109200</x:v>
      </x:c>
      <x:c r="G320" s="23"/>
    </x:row>
    <x:row r="321">
      <x:c r="B321" s="56">
        <x:v>419</x:v>
      </x:c>
      <x:c r="C321" s="57">
        <x:v>87500</x:v>
      </x:c>
      <x:c r="D321" s="25">
        <x:v>96300</x:v>
      </x:c>
      <x:c r="E321" s="25">
        <x:v>103000</x:v>
      </x:c>
      <x:c r="F321" s="58">
        <x:v>109200</x:v>
      </x:c>
      <x:c r="G321" s="23"/>
    </x:row>
    <x:row r="322">
      <x:c r="B322" s="56">
        <x:v>420</x:v>
      </x:c>
      <x:c r="C322" s="57">
        <x:v>87500</x:v>
      </x:c>
      <x:c r="D322" s="25">
        <x:v>96300</x:v>
      </x:c>
      <x:c r="E322" s="25">
        <x:v>103000</x:v>
      </x:c>
      <x:c r="F322" s="58">
        <x:v>109200</x:v>
      </x:c>
      <x:c r="G322" s="23"/>
    </x:row>
    <x:row r="323">
      <x:c r="B323" s="56">
        <x:v>421</x:v>
      </x:c>
      <x:c r="C323" s="57">
        <x:v>90500</x:v>
      </x:c>
      <x:c r="D323" s="25">
        <x:v>99600</x:v>
      </x:c>
      <x:c r="E323" s="25">
        <x:v>106500</x:v>
      </x:c>
      <x:c r="F323" s="58">
        <x:v>112900</x:v>
      </x:c>
      <x:c r="G323" s="23"/>
    </x:row>
    <x:row r="324">
      <x:c r="B324" s="56">
        <x:v>422</x:v>
      </x:c>
      <x:c r="C324" s="57">
        <x:v>90500</x:v>
      </x:c>
      <x:c r="D324" s="25">
        <x:v>99600</x:v>
      </x:c>
      <x:c r="E324" s="25">
        <x:v>106500</x:v>
      </x:c>
      <x:c r="F324" s="58">
        <x:v>112900</x:v>
      </x:c>
      <x:c r="G324" s="23"/>
    </x:row>
    <x:row r="325">
      <x:c r="B325" s="56">
        <x:v>423</x:v>
      </x:c>
      <x:c r="C325" s="57">
        <x:v>90500</x:v>
      </x:c>
      <x:c r="D325" s="25">
        <x:v>99600</x:v>
      </x:c>
      <x:c r="E325" s="25">
        <x:v>106500</x:v>
      </x:c>
      <x:c r="F325" s="58">
        <x:v>112900</x:v>
      </x:c>
      <x:c r="G325" s="23"/>
    </x:row>
    <x:row r="326">
      <x:c r="B326" s="56">
        <x:v>424</x:v>
      </x:c>
      <x:c r="C326" s="57">
        <x:v>90500</x:v>
      </x:c>
      <x:c r="D326" s="25">
        <x:v>99600</x:v>
      </x:c>
      <x:c r="E326" s="25">
        <x:v>106500</x:v>
      </x:c>
      <x:c r="F326" s="58">
        <x:v>112900</x:v>
      </x:c>
      <x:c r="G326" s="23"/>
    </x:row>
    <x:row r="327">
      <x:c r="B327" s="56">
        <x:v>425</x:v>
      </x:c>
      <x:c r="C327" s="57">
        <x:v>90500</x:v>
      </x:c>
      <x:c r="D327" s="25">
        <x:v>99600</x:v>
      </x:c>
      <x:c r="E327" s="25">
        <x:v>106500</x:v>
      </x:c>
      <x:c r="F327" s="58">
        <x:v>112900</x:v>
      </x:c>
      <x:c r="G327" s="23"/>
    </x:row>
    <x:row r="328">
      <x:c r="B328" s="56">
        <x:v>426</x:v>
      </x:c>
      <x:c r="C328" s="57">
        <x:v>90500</x:v>
      </x:c>
      <x:c r="D328" s="25">
        <x:v>99600</x:v>
      </x:c>
      <x:c r="E328" s="25">
        <x:v>106500</x:v>
      </x:c>
      <x:c r="F328" s="58">
        <x:v>112900</x:v>
      </x:c>
      <x:c r="G328" s="23"/>
    </x:row>
    <x:row r="329">
      <x:c r="B329" s="56">
        <x:v>427</x:v>
      </x:c>
      <x:c r="C329" s="57">
        <x:v>90500</x:v>
      </x:c>
      <x:c r="D329" s="25">
        <x:v>99600</x:v>
      </x:c>
      <x:c r="E329" s="25">
        <x:v>106500</x:v>
      </x:c>
      <x:c r="F329" s="58">
        <x:v>112900</x:v>
      </x:c>
      <x:c r="G329" s="23"/>
    </x:row>
    <x:row r="330">
      <x:c r="B330" s="56">
        <x:v>428</x:v>
      </x:c>
      <x:c r="C330" s="57">
        <x:v>90500</x:v>
      </x:c>
      <x:c r="D330" s="25">
        <x:v>99600</x:v>
      </x:c>
      <x:c r="E330" s="25">
        <x:v>106500</x:v>
      </x:c>
      <x:c r="F330" s="58">
        <x:v>112900</x:v>
      </x:c>
      <x:c r="G330" s="23"/>
    </x:row>
    <x:row r="331">
      <x:c r="B331" s="56">
        <x:v>429</x:v>
      </x:c>
      <x:c r="C331" s="57">
        <x:v>90500</x:v>
      </x:c>
      <x:c r="D331" s="25">
        <x:v>99600</x:v>
      </x:c>
      <x:c r="E331" s="25">
        <x:v>106500</x:v>
      </x:c>
      <x:c r="F331" s="58">
        <x:v>112900</x:v>
      </x:c>
      <x:c r="G331" s="23"/>
    </x:row>
    <x:row r="332">
      <x:c r="B332" s="56">
        <x:v>430</x:v>
      </x:c>
      <x:c r="C332" s="57">
        <x:v>90500</x:v>
      </x:c>
      <x:c r="D332" s="25">
        <x:v>99600</x:v>
      </x:c>
      <x:c r="E332" s="25">
        <x:v>106500</x:v>
      </x:c>
      <x:c r="F332" s="58">
        <x:v>112900</x:v>
      </x:c>
      <x:c r="G332" s="23"/>
    </x:row>
    <x:row r="333">
      <x:c r="B333" s="56">
        <x:v>431</x:v>
      </x:c>
      <x:c r="C333" s="57">
        <x:v>90500</x:v>
      </x:c>
      <x:c r="D333" s="25">
        <x:v>99600</x:v>
      </x:c>
      <x:c r="E333" s="25">
        <x:v>106500</x:v>
      </x:c>
      <x:c r="F333" s="58">
        <x:v>112900</x:v>
      </x:c>
      <x:c r="G333" s="23"/>
    </x:row>
    <x:row r="334">
      <x:c r="B334" s="56">
        <x:v>432</x:v>
      </x:c>
      <x:c r="C334" s="57">
        <x:v>90500</x:v>
      </x:c>
      <x:c r="D334" s="25">
        <x:v>99600</x:v>
      </x:c>
      <x:c r="E334" s="25">
        <x:v>106500</x:v>
      </x:c>
      <x:c r="F334" s="58">
        <x:v>112900</x:v>
      </x:c>
      <x:c r="G334" s="23"/>
    </x:row>
    <x:row r="335">
      <x:c r="B335" s="56">
        <x:v>433</x:v>
      </x:c>
      <x:c r="C335" s="57">
        <x:v>90500</x:v>
      </x:c>
      <x:c r="D335" s="25">
        <x:v>99600</x:v>
      </x:c>
      <x:c r="E335" s="25">
        <x:v>106500</x:v>
      </x:c>
      <x:c r="F335" s="58">
        <x:v>112900</x:v>
      </x:c>
      <x:c r="G335" s="23"/>
    </x:row>
    <x:row r="336">
      <x:c r="B336" s="56">
        <x:v>434</x:v>
      </x:c>
      <x:c r="C336" s="57">
        <x:v>90500</x:v>
      </x:c>
      <x:c r="D336" s="25">
        <x:v>99600</x:v>
      </x:c>
      <x:c r="E336" s="25">
        <x:v>106500</x:v>
      </x:c>
      <x:c r="F336" s="58">
        <x:v>112900</x:v>
      </x:c>
      <x:c r="G336" s="23"/>
    </x:row>
    <x:row r="337">
      <x:c r="B337" s="56">
        <x:v>435</x:v>
      </x:c>
      <x:c r="C337" s="57">
        <x:v>90500</x:v>
      </x:c>
      <x:c r="D337" s="25">
        <x:v>99600</x:v>
      </x:c>
      <x:c r="E337" s="25">
        <x:v>106500</x:v>
      </x:c>
      <x:c r="F337" s="58">
        <x:v>112900</x:v>
      </x:c>
      <x:c r="G337" s="23"/>
    </x:row>
    <x:row r="338">
      <x:c r="B338" s="56">
        <x:v>436</x:v>
      </x:c>
      <x:c r="C338" s="57">
        <x:v>90500</x:v>
      </x:c>
      <x:c r="D338" s="25">
        <x:v>99600</x:v>
      </x:c>
      <x:c r="E338" s="25">
        <x:v>106500</x:v>
      </x:c>
      <x:c r="F338" s="58">
        <x:v>112900</x:v>
      </x:c>
      <x:c r="G338" s="23"/>
    </x:row>
    <x:row r="339">
      <x:c r="B339" s="56">
        <x:v>437</x:v>
      </x:c>
      <x:c r="C339" s="57">
        <x:v>90500</x:v>
      </x:c>
      <x:c r="D339" s="25">
        <x:v>99600</x:v>
      </x:c>
      <x:c r="E339" s="25">
        <x:v>106500</x:v>
      </x:c>
      <x:c r="F339" s="58">
        <x:v>112900</x:v>
      </x:c>
      <x:c r="G339" s="23"/>
    </x:row>
    <x:row r="340">
      <x:c r="B340" s="56">
        <x:v>438</x:v>
      </x:c>
      <x:c r="C340" s="57">
        <x:v>90500</x:v>
      </x:c>
      <x:c r="D340" s="25">
        <x:v>99600</x:v>
      </x:c>
      <x:c r="E340" s="25">
        <x:v>106500</x:v>
      </x:c>
      <x:c r="F340" s="58">
        <x:v>112900</x:v>
      </x:c>
      <x:c r="G340" s="23"/>
    </x:row>
    <x:row r="341">
      <x:c r="B341" s="56">
        <x:v>439</x:v>
      </x:c>
      <x:c r="C341" s="57">
        <x:v>90500</x:v>
      </x:c>
      <x:c r="D341" s="25">
        <x:v>99600</x:v>
      </x:c>
      <x:c r="E341" s="25">
        <x:v>106500</x:v>
      </x:c>
      <x:c r="F341" s="58">
        <x:v>112900</x:v>
      </x:c>
      <x:c r="G341" s="23"/>
    </x:row>
    <x:row r="342">
      <x:c r="B342" s="56">
        <x:v>440</x:v>
      </x:c>
      <x:c r="C342" s="57">
        <x:v>90500</x:v>
      </x:c>
      <x:c r="D342" s="25">
        <x:v>99600</x:v>
      </x:c>
      <x:c r="E342" s="25">
        <x:v>106500</x:v>
      </x:c>
      <x:c r="F342" s="58">
        <x:v>112900</x:v>
      </x:c>
      <x:c r="G342" s="23"/>
    </x:row>
    <x:row r="343">
      <x:c r="B343" s="56">
        <x:v>441</x:v>
      </x:c>
      <x:c r="C343" s="57">
        <x:v>93500</x:v>
      </x:c>
      <x:c r="D343" s="25">
        <x:v>102900</x:v>
      </x:c>
      <x:c r="E343" s="25">
        <x:v>110000</x:v>
      </x:c>
      <x:c r="F343" s="58">
        <x:v>116600</x:v>
      </x:c>
      <x:c r="G343" s="23"/>
    </x:row>
    <x:row r="344">
      <x:c r="B344" s="56">
        <x:v>442</x:v>
      </x:c>
      <x:c r="C344" s="57">
        <x:v>93500</x:v>
      </x:c>
      <x:c r="D344" s="25">
        <x:v>102900</x:v>
      </x:c>
      <x:c r="E344" s="25">
        <x:v>110000</x:v>
      </x:c>
      <x:c r="F344" s="58">
        <x:v>116600</x:v>
      </x:c>
      <x:c r="G344" s="23"/>
    </x:row>
    <x:row r="345">
      <x:c r="B345" s="56">
        <x:v>443</x:v>
      </x:c>
      <x:c r="C345" s="57">
        <x:v>93500</x:v>
      </x:c>
      <x:c r="D345" s="25">
        <x:v>102900</x:v>
      </x:c>
      <x:c r="E345" s="25">
        <x:v>110000</x:v>
      </x:c>
      <x:c r="F345" s="58">
        <x:v>116600</x:v>
      </x:c>
      <x:c r="G345" s="23"/>
    </x:row>
    <x:row r="346">
      <x:c r="B346" s="56">
        <x:v>444</x:v>
      </x:c>
      <x:c r="C346" s="57">
        <x:v>93500</x:v>
      </x:c>
      <x:c r="D346" s="25">
        <x:v>102900</x:v>
      </x:c>
      <x:c r="E346" s="25">
        <x:v>110000</x:v>
      </x:c>
      <x:c r="F346" s="58">
        <x:v>116600</x:v>
      </x:c>
      <x:c r="G346" s="23"/>
    </x:row>
    <x:row r="347">
      <x:c r="B347" s="56">
        <x:v>445</x:v>
      </x:c>
      <x:c r="C347" s="57">
        <x:v>93500</x:v>
      </x:c>
      <x:c r="D347" s="25">
        <x:v>102900</x:v>
      </x:c>
      <x:c r="E347" s="25">
        <x:v>110000</x:v>
      </x:c>
      <x:c r="F347" s="58">
        <x:v>116600</x:v>
      </x:c>
      <x:c r="G347" s="23"/>
    </x:row>
    <x:row r="348">
      <x:c r="B348" s="56">
        <x:v>446</x:v>
      </x:c>
      <x:c r="C348" s="57">
        <x:v>93500</x:v>
      </x:c>
      <x:c r="D348" s="25">
        <x:v>102900</x:v>
      </x:c>
      <x:c r="E348" s="25">
        <x:v>110000</x:v>
      </x:c>
      <x:c r="F348" s="58">
        <x:v>116600</x:v>
      </x:c>
      <x:c r="G348" s="23"/>
    </x:row>
    <x:row r="349">
      <x:c r="B349" s="56">
        <x:v>447</x:v>
      </x:c>
      <x:c r="C349" s="57">
        <x:v>93500</x:v>
      </x:c>
      <x:c r="D349" s="25">
        <x:v>102900</x:v>
      </x:c>
      <x:c r="E349" s="25">
        <x:v>110000</x:v>
      </x:c>
      <x:c r="F349" s="58">
        <x:v>116600</x:v>
      </x:c>
      <x:c r="G349" s="23"/>
    </x:row>
    <x:row r="350">
      <x:c r="B350" s="56">
        <x:v>448</x:v>
      </x:c>
      <x:c r="C350" s="57">
        <x:v>93500</x:v>
      </x:c>
      <x:c r="D350" s="25">
        <x:v>102900</x:v>
      </x:c>
      <x:c r="E350" s="25">
        <x:v>110000</x:v>
      </x:c>
      <x:c r="F350" s="58">
        <x:v>116600</x:v>
      </x:c>
      <x:c r="G350" s="23"/>
    </x:row>
    <x:row r="351">
      <x:c r="B351" s="56">
        <x:v>449</x:v>
      </x:c>
      <x:c r="C351" s="57">
        <x:v>93500</x:v>
      </x:c>
      <x:c r="D351" s="25">
        <x:v>102900</x:v>
      </x:c>
      <x:c r="E351" s="25">
        <x:v>110000</x:v>
      </x:c>
      <x:c r="F351" s="58">
        <x:v>116600</x:v>
      </x:c>
      <x:c r="G351" s="23"/>
    </x:row>
    <x:row r="352">
      <x:c r="B352" s="56">
        <x:v>450</x:v>
      </x:c>
      <x:c r="C352" s="57">
        <x:v>93500</x:v>
      </x:c>
      <x:c r="D352" s="25">
        <x:v>102900</x:v>
      </x:c>
      <x:c r="E352" s="25">
        <x:v>110000</x:v>
      </x:c>
      <x:c r="F352" s="58">
        <x:v>116600</x:v>
      </x:c>
      <x:c r="G352" s="23"/>
    </x:row>
    <x:row r="353">
      <x:c r="B353" s="56">
        <x:v>451</x:v>
      </x:c>
      <x:c r="C353" s="57">
        <x:v>93500</x:v>
      </x:c>
      <x:c r="D353" s="25">
        <x:v>102900</x:v>
      </x:c>
      <x:c r="E353" s="25">
        <x:v>110000</x:v>
      </x:c>
      <x:c r="F353" s="58">
        <x:v>116600</x:v>
      </x:c>
      <x:c r="G353" s="23"/>
    </x:row>
    <x:row r="354">
      <x:c r="B354" s="56">
        <x:v>452</x:v>
      </x:c>
      <x:c r="C354" s="57">
        <x:v>93500</x:v>
      </x:c>
      <x:c r="D354" s="25">
        <x:v>102900</x:v>
      </x:c>
      <x:c r="E354" s="25">
        <x:v>110000</x:v>
      </x:c>
      <x:c r="F354" s="58">
        <x:v>116600</x:v>
      </x:c>
      <x:c r="G354" s="23"/>
    </x:row>
    <x:row r="355">
      <x:c r="B355" s="56">
        <x:v>453</x:v>
      </x:c>
      <x:c r="C355" s="57">
        <x:v>93500</x:v>
      </x:c>
      <x:c r="D355" s="25">
        <x:v>102900</x:v>
      </x:c>
      <x:c r="E355" s="25">
        <x:v>110000</x:v>
      </x:c>
      <x:c r="F355" s="58">
        <x:v>116600</x:v>
      </x:c>
      <x:c r="G355" s="23"/>
    </x:row>
    <x:row r="356">
      <x:c r="B356" s="56">
        <x:v>454</x:v>
      </x:c>
      <x:c r="C356" s="57">
        <x:v>93500</x:v>
      </x:c>
      <x:c r="D356" s="25">
        <x:v>102900</x:v>
      </x:c>
      <x:c r="E356" s="25">
        <x:v>110000</x:v>
      </x:c>
      <x:c r="F356" s="58">
        <x:v>116600</x:v>
      </x:c>
      <x:c r="G356" s="23"/>
    </x:row>
    <x:row r="357">
      <x:c r="B357" s="56">
        <x:v>455</x:v>
      </x:c>
      <x:c r="C357" s="57">
        <x:v>93500</x:v>
      </x:c>
      <x:c r="D357" s="25">
        <x:v>102900</x:v>
      </x:c>
      <x:c r="E357" s="25">
        <x:v>110000</x:v>
      </x:c>
      <x:c r="F357" s="58">
        <x:v>116600</x:v>
      </x:c>
      <x:c r="G357" s="23"/>
    </x:row>
    <x:row r="358">
      <x:c r="B358" s="56">
        <x:v>456</x:v>
      </x:c>
      <x:c r="C358" s="57">
        <x:v>93500</x:v>
      </x:c>
      <x:c r="D358" s="25">
        <x:v>102900</x:v>
      </x:c>
      <x:c r="E358" s="25">
        <x:v>110000</x:v>
      </x:c>
      <x:c r="F358" s="58">
        <x:v>116600</x:v>
      </x:c>
      <x:c r="G358" s="23"/>
    </x:row>
    <x:row r="359">
      <x:c r="B359" s="56">
        <x:v>457</x:v>
      </x:c>
      <x:c r="C359" s="57">
        <x:v>93500</x:v>
      </x:c>
      <x:c r="D359" s="25">
        <x:v>102900</x:v>
      </x:c>
      <x:c r="E359" s="25">
        <x:v>110000</x:v>
      </x:c>
      <x:c r="F359" s="58">
        <x:v>116600</x:v>
      </x:c>
      <x:c r="G359" s="23"/>
    </x:row>
    <x:row r="360">
      <x:c r="B360" s="56">
        <x:v>458</x:v>
      </x:c>
      <x:c r="C360" s="57">
        <x:v>93500</x:v>
      </x:c>
      <x:c r="D360" s="25">
        <x:v>102900</x:v>
      </x:c>
      <x:c r="E360" s="25">
        <x:v>110000</x:v>
      </x:c>
      <x:c r="F360" s="58">
        <x:v>116600</x:v>
      </x:c>
      <x:c r="G360" s="23"/>
    </x:row>
    <x:row r="361">
      <x:c r="B361" s="56">
        <x:v>459</x:v>
      </x:c>
      <x:c r="C361" s="57">
        <x:v>93500</x:v>
      </x:c>
      <x:c r="D361" s="25">
        <x:v>102900</x:v>
      </x:c>
      <x:c r="E361" s="25">
        <x:v>110000</x:v>
      </x:c>
      <x:c r="F361" s="58">
        <x:v>116600</x:v>
      </x:c>
      <x:c r="G361" s="23"/>
    </x:row>
    <x:row r="362">
      <x:c r="B362" s="56">
        <x:v>460</x:v>
      </x:c>
      <x:c r="C362" s="57">
        <x:v>93500</x:v>
      </x:c>
      <x:c r="D362" s="25">
        <x:v>102900</x:v>
      </x:c>
      <x:c r="E362" s="25">
        <x:v>110000</x:v>
      </x:c>
      <x:c r="F362" s="58">
        <x:v>116600</x:v>
      </x:c>
      <x:c r="G362" s="23"/>
    </x:row>
    <x:row r="363">
      <x:c r="B363" s="56">
        <x:v>461</x:v>
      </x:c>
      <x:c r="C363" s="57">
        <x:v>96500</x:v>
      </x:c>
      <x:c r="D363" s="25">
        <x:v>106200</x:v>
      </x:c>
      <x:c r="E363" s="25">
        <x:v>113500</x:v>
      </x:c>
      <x:c r="F363" s="58">
        <x:v>120300</x:v>
      </x:c>
      <x:c r="G363" s="23"/>
    </x:row>
    <x:row r="364">
      <x:c r="B364" s="56">
        <x:v>462</x:v>
      </x:c>
      <x:c r="C364" s="57">
        <x:v>96500</x:v>
      </x:c>
      <x:c r="D364" s="25">
        <x:v>106200</x:v>
      </x:c>
      <x:c r="E364" s="25">
        <x:v>113500</x:v>
      </x:c>
      <x:c r="F364" s="58">
        <x:v>120300</x:v>
      </x:c>
      <x:c r="G364" s="23"/>
    </x:row>
    <x:row r="365">
      <x:c r="B365" s="56">
        <x:v>463</x:v>
      </x:c>
      <x:c r="C365" s="57">
        <x:v>96500</x:v>
      </x:c>
      <x:c r="D365" s="25">
        <x:v>106200</x:v>
      </x:c>
      <x:c r="E365" s="25">
        <x:v>113500</x:v>
      </x:c>
      <x:c r="F365" s="58">
        <x:v>120300</x:v>
      </x:c>
      <x:c r="G365" s="23"/>
    </x:row>
    <x:row r="366">
      <x:c r="B366" s="56">
        <x:v>464</x:v>
      </x:c>
      <x:c r="C366" s="57">
        <x:v>96500</x:v>
      </x:c>
      <x:c r="D366" s="25">
        <x:v>106200</x:v>
      </x:c>
      <x:c r="E366" s="25">
        <x:v>113500</x:v>
      </x:c>
      <x:c r="F366" s="58">
        <x:v>120300</x:v>
      </x:c>
      <x:c r="G366" s="23"/>
    </x:row>
    <x:row r="367">
      <x:c r="B367" s="56">
        <x:v>465</x:v>
      </x:c>
      <x:c r="C367" s="57">
        <x:v>96500</x:v>
      </x:c>
      <x:c r="D367" s="25">
        <x:v>106200</x:v>
      </x:c>
      <x:c r="E367" s="25">
        <x:v>113500</x:v>
      </x:c>
      <x:c r="F367" s="58">
        <x:v>120300</x:v>
      </x:c>
      <x:c r="G367" s="23"/>
    </x:row>
    <x:row r="368">
      <x:c r="B368" s="56">
        <x:v>466</x:v>
      </x:c>
      <x:c r="C368" s="57">
        <x:v>96500</x:v>
      </x:c>
      <x:c r="D368" s="25">
        <x:v>106200</x:v>
      </x:c>
      <x:c r="E368" s="25">
        <x:v>113500</x:v>
      </x:c>
      <x:c r="F368" s="58">
        <x:v>120300</x:v>
      </x:c>
      <x:c r="G368" s="23"/>
    </x:row>
    <x:row r="369">
      <x:c r="B369" s="56">
        <x:v>467</x:v>
      </x:c>
      <x:c r="C369" s="57">
        <x:v>96500</x:v>
      </x:c>
      <x:c r="D369" s="25">
        <x:v>106200</x:v>
      </x:c>
      <x:c r="E369" s="25">
        <x:v>113500</x:v>
      </x:c>
      <x:c r="F369" s="58">
        <x:v>120300</x:v>
      </x:c>
      <x:c r="G369" s="23"/>
    </x:row>
    <x:row r="370">
      <x:c r="B370" s="56">
        <x:v>468</x:v>
      </x:c>
      <x:c r="C370" s="57">
        <x:v>96500</x:v>
      </x:c>
      <x:c r="D370" s="25">
        <x:v>106200</x:v>
      </x:c>
      <x:c r="E370" s="25">
        <x:v>113500</x:v>
      </x:c>
      <x:c r="F370" s="58">
        <x:v>120300</x:v>
      </x:c>
      <x:c r="G370" s="23"/>
    </x:row>
    <x:row r="371">
      <x:c r="B371" s="56">
        <x:v>469</x:v>
      </x:c>
      <x:c r="C371" s="57">
        <x:v>96500</x:v>
      </x:c>
      <x:c r="D371" s="25">
        <x:v>106200</x:v>
      </x:c>
      <x:c r="E371" s="25">
        <x:v>113500</x:v>
      </x:c>
      <x:c r="F371" s="58">
        <x:v>120300</x:v>
      </x:c>
      <x:c r="G371" s="23"/>
    </x:row>
    <x:row r="372">
      <x:c r="B372" s="56">
        <x:v>470</x:v>
      </x:c>
      <x:c r="C372" s="57">
        <x:v>96500</x:v>
      </x:c>
      <x:c r="D372" s="25">
        <x:v>106200</x:v>
      </x:c>
      <x:c r="E372" s="25">
        <x:v>113500</x:v>
      </x:c>
      <x:c r="F372" s="58">
        <x:v>120300</x:v>
      </x:c>
      <x:c r="G372" s="23"/>
    </x:row>
    <x:row r="373">
      <x:c r="B373" s="56">
        <x:v>471</x:v>
      </x:c>
      <x:c r="C373" s="57">
        <x:v>96500</x:v>
      </x:c>
      <x:c r="D373" s="25">
        <x:v>106200</x:v>
      </x:c>
      <x:c r="E373" s="25">
        <x:v>113500</x:v>
      </x:c>
      <x:c r="F373" s="58">
        <x:v>120300</x:v>
      </x:c>
      <x:c r="G373" s="23"/>
    </x:row>
    <x:row r="374">
      <x:c r="B374" s="56">
        <x:v>472</x:v>
      </x:c>
      <x:c r="C374" s="57">
        <x:v>96500</x:v>
      </x:c>
      <x:c r="D374" s="25">
        <x:v>106200</x:v>
      </x:c>
      <x:c r="E374" s="25">
        <x:v>113500</x:v>
      </x:c>
      <x:c r="F374" s="58">
        <x:v>120300</x:v>
      </x:c>
      <x:c r="G374" s="23"/>
    </x:row>
    <x:row r="375">
      <x:c r="B375" s="56">
        <x:v>473</x:v>
      </x:c>
      <x:c r="C375" s="57">
        <x:v>96500</x:v>
      </x:c>
      <x:c r="D375" s="25">
        <x:v>106200</x:v>
      </x:c>
      <x:c r="E375" s="25">
        <x:v>113500</x:v>
      </x:c>
      <x:c r="F375" s="58">
        <x:v>120300</x:v>
      </x:c>
      <x:c r="G375" s="23"/>
    </x:row>
    <x:row r="376">
      <x:c r="B376" s="56">
        <x:v>474</x:v>
      </x:c>
      <x:c r="C376" s="57">
        <x:v>96500</x:v>
      </x:c>
      <x:c r="D376" s="25">
        <x:v>106200</x:v>
      </x:c>
      <x:c r="E376" s="25">
        <x:v>113500</x:v>
      </x:c>
      <x:c r="F376" s="58">
        <x:v>120300</x:v>
      </x:c>
      <x:c r="G376" s="23"/>
    </x:row>
    <x:row r="377">
      <x:c r="B377" s="56">
        <x:v>475</x:v>
      </x:c>
      <x:c r="C377" s="57">
        <x:v>96500</x:v>
      </x:c>
      <x:c r="D377" s="25">
        <x:v>106200</x:v>
      </x:c>
      <x:c r="E377" s="25">
        <x:v>113500</x:v>
      </x:c>
      <x:c r="F377" s="58">
        <x:v>120300</x:v>
      </x:c>
      <x:c r="G377" s="23"/>
    </x:row>
    <x:row r="378">
      <x:c r="B378" s="56">
        <x:v>476</x:v>
      </x:c>
      <x:c r="C378" s="57">
        <x:v>96500</x:v>
      </x:c>
      <x:c r="D378" s="25">
        <x:v>106200</x:v>
      </x:c>
      <x:c r="E378" s="25">
        <x:v>113500</x:v>
      </x:c>
      <x:c r="F378" s="58">
        <x:v>120300</x:v>
      </x:c>
      <x:c r="G378" s="23"/>
    </x:row>
    <x:row r="379">
      <x:c r="B379" s="56">
        <x:v>477</x:v>
      </x:c>
      <x:c r="C379" s="57">
        <x:v>96500</x:v>
      </x:c>
      <x:c r="D379" s="25">
        <x:v>106200</x:v>
      </x:c>
      <x:c r="E379" s="25">
        <x:v>113500</x:v>
      </x:c>
      <x:c r="F379" s="58">
        <x:v>120300</x:v>
      </x:c>
      <x:c r="G379" s="23"/>
    </x:row>
    <x:row r="380">
      <x:c r="B380" s="56">
        <x:v>478</x:v>
      </x:c>
      <x:c r="C380" s="57">
        <x:v>96500</x:v>
      </x:c>
      <x:c r="D380" s="25">
        <x:v>106200</x:v>
      </x:c>
      <x:c r="E380" s="25">
        <x:v>113500</x:v>
      </x:c>
      <x:c r="F380" s="58">
        <x:v>120300</x:v>
      </x:c>
      <x:c r="G380" s="23"/>
    </x:row>
    <x:row r="381">
      <x:c r="B381" s="56">
        <x:v>479</x:v>
      </x:c>
      <x:c r="C381" s="57">
        <x:v>96500</x:v>
      </x:c>
      <x:c r="D381" s="25">
        <x:v>106200</x:v>
      </x:c>
      <x:c r="E381" s="25">
        <x:v>113500</x:v>
      </x:c>
      <x:c r="F381" s="58">
        <x:v>120300</x:v>
      </x:c>
      <x:c r="G381" s="23"/>
    </x:row>
    <x:row r="382">
      <x:c r="B382" s="56">
        <x:v>480</x:v>
      </x:c>
      <x:c r="C382" s="57">
        <x:v>96500</x:v>
      </x:c>
      <x:c r="D382" s="25">
        <x:v>106200</x:v>
      </x:c>
      <x:c r="E382" s="25">
        <x:v>113500</x:v>
      </x:c>
      <x:c r="F382" s="58">
        <x:v>120300</x:v>
      </x:c>
      <x:c r="G382" s="23"/>
    </x:row>
    <x:row r="383">
      <x:c r="B383" s="56">
        <x:v>481</x:v>
      </x:c>
      <x:c r="C383" s="57">
        <x:v>99500</x:v>
      </x:c>
      <x:c r="D383" s="25">
        <x:v>109500</x:v>
      </x:c>
      <x:c r="E383" s="25">
        <x:v>117000</x:v>
      </x:c>
      <x:c r="F383" s="58">
        <x:v>124000</x:v>
      </x:c>
      <x:c r="G383" s="23"/>
    </x:row>
    <x:row r="384">
      <x:c r="B384" s="56">
        <x:v>482</x:v>
      </x:c>
      <x:c r="C384" s="57">
        <x:v>99500</x:v>
      </x:c>
      <x:c r="D384" s="25">
        <x:v>109500</x:v>
      </x:c>
      <x:c r="E384" s="25">
        <x:v>117000</x:v>
      </x:c>
      <x:c r="F384" s="58">
        <x:v>124000</x:v>
      </x:c>
      <x:c r="G384" s="23"/>
    </x:row>
    <x:row r="385">
      <x:c r="B385" s="56">
        <x:v>483</x:v>
      </x:c>
      <x:c r="C385" s="57">
        <x:v>99500</x:v>
      </x:c>
      <x:c r="D385" s="25">
        <x:v>109500</x:v>
      </x:c>
      <x:c r="E385" s="25">
        <x:v>117000</x:v>
      </x:c>
      <x:c r="F385" s="58">
        <x:v>124000</x:v>
      </x:c>
      <x:c r="G385" s="23"/>
    </x:row>
    <x:row r="386">
      <x:c r="B386" s="56">
        <x:v>484</x:v>
      </x:c>
      <x:c r="C386" s="57">
        <x:v>99500</x:v>
      </x:c>
      <x:c r="D386" s="25">
        <x:v>109500</x:v>
      </x:c>
      <x:c r="E386" s="25">
        <x:v>117000</x:v>
      </x:c>
      <x:c r="F386" s="58">
        <x:v>124000</x:v>
      </x:c>
      <x:c r="G386" s="23"/>
    </x:row>
    <x:row r="387">
      <x:c r="B387" s="56">
        <x:v>485</x:v>
      </x:c>
      <x:c r="C387" s="57">
        <x:v>99500</x:v>
      </x:c>
      <x:c r="D387" s="25">
        <x:v>109500</x:v>
      </x:c>
      <x:c r="E387" s="25">
        <x:v>117000</x:v>
      </x:c>
      <x:c r="F387" s="58">
        <x:v>124000</x:v>
      </x:c>
      <x:c r="G387" s="23"/>
    </x:row>
    <x:row r="388">
      <x:c r="B388" s="56">
        <x:v>486</x:v>
      </x:c>
      <x:c r="C388" s="57">
        <x:v>99500</x:v>
      </x:c>
      <x:c r="D388" s="25">
        <x:v>109500</x:v>
      </x:c>
      <x:c r="E388" s="25">
        <x:v>117000</x:v>
      </x:c>
      <x:c r="F388" s="58">
        <x:v>124000</x:v>
      </x:c>
      <x:c r="G388" s="23"/>
    </x:row>
    <x:row r="389">
      <x:c r="B389" s="56">
        <x:v>487</x:v>
      </x:c>
      <x:c r="C389" s="57">
        <x:v>99500</x:v>
      </x:c>
      <x:c r="D389" s="25">
        <x:v>109500</x:v>
      </x:c>
      <x:c r="E389" s="25">
        <x:v>117000</x:v>
      </x:c>
      <x:c r="F389" s="58">
        <x:v>124000</x:v>
      </x:c>
      <x:c r="G389" s="23"/>
    </x:row>
    <x:row r="390">
      <x:c r="B390" s="56">
        <x:v>488</x:v>
      </x:c>
      <x:c r="C390" s="57">
        <x:v>99500</x:v>
      </x:c>
      <x:c r="D390" s="25">
        <x:v>109500</x:v>
      </x:c>
      <x:c r="E390" s="25">
        <x:v>117000</x:v>
      </x:c>
      <x:c r="F390" s="58">
        <x:v>124000</x:v>
      </x:c>
      <x:c r="G390" s="23"/>
    </x:row>
    <x:row r="391">
      <x:c r="B391" s="56">
        <x:v>489</x:v>
      </x:c>
      <x:c r="C391" s="57">
        <x:v>99500</x:v>
      </x:c>
      <x:c r="D391" s="25">
        <x:v>109500</x:v>
      </x:c>
      <x:c r="E391" s="25">
        <x:v>117000</x:v>
      </x:c>
      <x:c r="F391" s="58">
        <x:v>124000</x:v>
      </x:c>
      <x:c r="G391" s="23"/>
    </x:row>
    <x:row r="392">
      <x:c r="B392" s="56">
        <x:v>490</x:v>
      </x:c>
      <x:c r="C392" s="57">
        <x:v>99500</x:v>
      </x:c>
      <x:c r="D392" s="25">
        <x:v>109500</x:v>
      </x:c>
      <x:c r="E392" s="25">
        <x:v>117000</x:v>
      </x:c>
      <x:c r="F392" s="58">
        <x:v>124000</x:v>
      </x:c>
      <x:c r="G392" s="23"/>
    </x:row>
    <x:row r="393">
      <x:c r="B393" s="56">
        <x:v>491</x:v>
      </x:c>
      <x:c r="C393" s="57">
        <x:v>99500</x:v>
      </x:c>
      <x:c r="D393" s="25">
        <x:v>109500</x:v>
      </x:c>
      <x:c r="E393" s="25">
        <x:v>117000</x:v>
      </x:c>
      <x:c r="F393" s="58">
        <x:v>124000</x:v>
      </x:c>
      <x:c r="G393" s="23"/>
    </x:row>
    <x:row r="394">
      <x:c r="B394" s="56">
        <x:v>492</x:v>
      </x:c>
      <x:c r="C394" s="57">
        <x:v>99500</x:v>
      </x:c>
      <x:c r="D394" s="25">
        <x:v>109500</x:v>
      </x:c>
      <x:c r="E394" s="25">
        <x:v>117000</x:v>
      </x:c>
      <x:c r="F394" s="58">
        <x:v>124000</x:v>
      </x:c>
      <x:c r="G394" s="23"/>
    </x:row>
    <x:row r="395">
      <x:c r="B395" s="56">
        <x:v>493</x:v>
      </x:c>
      <x:c r="C395" s="57">
        <x:v>99500</x:v>
      </x:c>
      <x:c r="D395" s="25">
        <x:v>109500</x:v>
      </x:c>
      <x:c r="E395" s="25">
        <x:v>117000</x:v>
      </x:c>
      <x:c r="F395" s="58">
        <x:v>124000</x:v>
      </x:c>
      <x:c r="G395" s="23"/>
    </x:row>
    <x:row r="396">
      <x:c r="B396" s="56">
        <x:v>494</x:v>
      </x:c>
      <x:c r="C396" s="57">
        <x:v>99500</x:v>
      </x:c>
      <x:c r="D396" s="25">
        <x:v>109500</x:v>
      </x:c>
      <x:c r="E396" s="25">
        <x:v>117000</x:v>
      </x:c>
      <x:c r="F396" s="58">
        <x:v>124000</x:v>
      </x:c>
      <x:c r="G396" s="23"/>
    </x:row>
    <x:row r="397">
      <x:c r="B397" s="56">
        <x:v>495</x:v>
      </x:c>
      <x:c r="C397" s="57">
        <x:v>99500</x:v>
      </x:c>
      <x:c r="D397" s="25">
        <x:v>109500</x:v>
      </x:c>
      <x:c r="E397" s="25">
        <x:v>117000</x:v>
      </x:c>
      <x:c r="F397" s="58">
        <x:v>124000</x:v>
      </x:c>
      <x:c r="G397" s="23"/>
    </x:row>
    <x:row r="398">
      <x:c r="B398" s="56">
        <x:v>496</x:v>
      </x:c>
      <x:c r="C398" s="57">
        <x:v>99500</x:v>
      </x:c>
      <x:c r="D398" s="25">
        <x:v>109500</x:v>
      </x:c>
      <x:c r="E398" s="25">
        <x:v>117000</x:v>
      </x:c>
      <x:c r="F398" s="58">
        <x:v>124000</x:v>
      </x:c>
      <x:c r="G398" s="23"/>
    </x:row>
    <x:row r="399">
      <x:c r="B399" s="56">
        <x:v>497</x:v>
      </x:c>
      <x:c r="C399" s="57">
        <x:v>99500</x:v>
      </x:c>
      <x:c r="D399" s="25">
        <x:v>109500</x:v>
      </x:c>
      <x:c r="E399" s="25">
        <x:v>117000</x:v>
      </x:c>
      <x:c r="F399" s="58">
        <x:v>124000</x:v>
      </x:c>
      <x:c r="G399" s="23"/>
    </x:row>
    <x:row r="400">
      <x:c r="B400" s="56">
        <x:v>498</x:v>
      </x:c>
      <x:c r="C400" s="57">
        <x:v>99500</x:v>
      </x:c>
      <x:c r="D400" s="25">
        <x:v>109500</x:v>
      </x:c>
      <x:c r="E400" s="25">
        <x:v>117000</x:v>
      </x:c>
      <x:c r="F400" s="58">
        <x:v>124000</x:v>
      </x:c>
      <x:c r="G400" s="23"/>
    </x:row>
    <x:row r="401">
      <x:c r="B401" s="56">
        <x:v>499</x:v>
      </x:c>
      <x:c r="C401" s="57">
        <x:v>99500</x:v>
      </x:c>
      <x:c r="D401" s="25">
        <x:v>109500</x:v>
      </x:c>
      <x:c r="E401" s="25">
        <x:v>117000</x:v>
      </x:c>
      <x:c r="F401" s="58">
        <x:v>124000</x:v>
      </x:c>
      <x:c r="G401" s="23"/>
    </x:row>
    <x:row r="402">
      <x:c r="B402" s="56">
        <x:v>500</x:v>
      </x:c>
      <x:c r="C402" s="57">
        <x:v>99500</x:v>
      </x:c>
      <x:c r="D402" s="25">
        <x:v>109500</x:v>
      </x:c>
      <x:c r="E402" s="25">
        <x:v>117000</x:v>
      </x:c>
      <x:c r="F402" s="58">
        <x:v>124000</x:v>
      </x:c>
      <x:c r="G402" s="23"/>
    </x:row>
    <x:row r="403">
      <x:c r="B403" s="63">
        <x:v>501</x:v>
      </x:c>
      <x:c r="C403" s="57" t="n">
        <x:f>$C$402+$J$3</x:f>
        <x:v>106800</x:v>
      </x:c>
      <x:c r="D403" s="25" t="n">
        <x:f>$D$402+$K$3</x:f>
        <x:v>117600</x:v>
      </x:c>
      <x:c r="E403" s="25" t="n">
        <x:f>$E$402+$L$3</x:f>
        <x:v>125700</x:v>
      </x:c>
      <x:c r="F403" s="58" t="n">
        <x:f>$F$402+$M$3</x:f>
        <x:v>133300</x:v>
      </x:c>
    </x:row>
    <x:row r="404">
      <x:c r="B404" s="63">
        <x:v>502</x:v>
      </x:c>
      <x:c r="C404" s="57" t="n">
        <x:f t="shared" ref="C404:C452" si="4">$C$402+$J$3</x:f>
        <x:v>106800</x:v>
      </x:c>
      <x:c r="D404" s="25" t="n">
        <x:f t="shared" ref="D404:D452" si="5">$D$402+$K$3</x:f>
        <x:v>117600</x:v>
      </x:c>
      <x:c r="E404" s="25" t="n">
        <x:f t="shared" ref="E404:E452" si="6">$E$402+$L$3</x:f>
        <x:v>125700</x:v>
      </x:c>
      <x:c r="F404" s="58" t="n">
        <x:f t="shared" ref="F404:F452" si="7">$F$402+$M$3</x:f>
        <x:v>133300</x:v>
      </x:c>
    </x:row>
    <x:row r="405">
      <x:c r="B405" s="63">
        <x:v>503</x:v>
      </x:c>
      <x:c r="C405" s="57">
        <x:f t="shared" si="4"/>
        <x:v>106800</x:v>
      </x:c>
      <x:c r="D405" s="25">
        <x:f t="shared" si="5"/>
        <x:v>117600</x:v>
      </x:c>
      <x:c r="E405" s="25">
        <x:f t="shared" si="6"/>
        <x:v>125700</x:v>
      </x:c>
      <x:c r="F405" s="58">
        <x:f t="shared" si="7"/>
        <x:v>133300</x:v>
      </x:c>
    </x:row>
    <x:row r="406">
      <x:c r="B406" s="63">
        <x:v>504</x:v>
      </x:c>
      <x:c r="C406" s="57">
        <x:f t="shared" si="4"/>
        <x:v>106800</x:v>
      </x:c>
      <x:c r="D406" s="25">
        <x:f t="shared" si="5"/>
        <x:v>117600</x:v>
      </x:c>
      <x:c r="E406" s="25">
        <x:f t="shared" si="6"/>
        <x:v>125700</x:v>
      </x:c>
      <x:c r="F406" s="58">
        <x:f t="shared" si="7"/>
        <x:v>133300</x:v>
      </x:c>
    </x:row>
    <x:row r="407">
      <x:c r="B407" s="63">
        <x:v>505</x:v>
      </x:c>
      <x:c r="C407" s="57">
        <x:f t="shared" si="4"/>
        <x:v>106800</x:v>
      </x:c>
      <x:c r="D407" s="25">
        <x:f t="shared" si="5"/>
        <x:v>117600</x:v>
      </x:c>
      <x:c r="E407" s="25">
        <x:f t="shared" si="6"/>
        <x:v>125700</x:v>
      </x:c>
      <x:c r="F407" s="58">
        <x:f t="shared" si="7"/>
        <x:v>133300</x:v>
      </x:c>
    </x:row>
    <x:row r="408">
      <x:c r="B408" s="63">
        <x:v>506</x:v>
      </x:c>
      <x:c r="C408" s="57">
        <x:f t="shared" si="4"/>
        <x:v>106800</x:v>
      </x:c>
      <x:c r="D408" s="25">
        <x:f t="shared" si="5"/>
        <x:v>117600</x:v>
      </x:c>
      <x:c r="E408" s="25">
        <x:f t="shared" si="6"/>
        <x:v>125700</x:v>
      </x:c>
      <x:c r="F408" s="58">
        <x:f t="shared" si="7"/>
        <x:v>133300</x:v>
      </x:c>
    </x:row>
    <x:row r="409">
      <x:c r="B409" s="63">
        <x:v>507</x:v>
      </x:c>
      <x:c r="C409" s="57">
        <x:f t="shared" si="4"/>
        <x:v>106800</x:v>
      </x:c>
      <x:c r="D409" s="25">
        <x:f t="shared" si="5"/>
        <x:v>117600</x:v>
      </x:c>
      <x:c r="E409" s="25">
        <x:f t="shared" si="6"/>
        <x:v>125700</x:v>
      </x:c>
      <x:c r="F409" s="58">
        <x:f t="shared" si="7"/>
        <x:v>133300</x:v>
      </x:c>
    </x:row>
    <x:row r="410">
      <x:c r="B410" s="63">
        <x:v>508</x:v>
      </x:c>
      <x:c r="C410" s="57">
        <x:f t="shared" si="4"/>
        <x:v>106800</x:v>
      </x:c>
      <x:c r="D410" s="25">
        <x:f t="shared" si="5"/>
        <x:v>117600</x:v>
      </x:c>
      <x:c r="E410" s="25">
        <x:f t="shared" si="6"/>
        <x:v>125700</x:v>
      </x:c>
      <x:c r="F410" s="58">
        <x:f t="shared" si="7"/>
        <x:v>133300</x:v>
      </x:c>
    </x:row>
    <x:row r="411">
      <x:c r="B411" s="63">
        <x:v>509</x:v>
      </x:c>
      <x:c r="C411" s="57">
        <x:f t="shared" si="4"/>
        <x:v>106800</x:v>
      </x:c>
      <x:c r="D411" s="25">
        <x:f t="shared" si="5"/>
        <x:v>117600</x:v>
      </x:c>
      <x:c r="E411" s="25">
        <x:f t="shared" si="6"/>
        <x:v>125700</x:v>
      </x:c>
      <x:c r="F411" s="58">
        <x:f t="shared" si="7"/>
        <x:v>133300</x:v>
      </x:c>
    </x:row>
    <x:row r="412">
      <x:c r="B412" s="63">
        <x:v>510</x:v>
      </x:c>
      <x:c r="C412" s="57">
        <x:f t="shared" si="4"/>
        <x:v>106800</x:v>
      </x:c>
      <x:c r="D412" s="25">
        <x:f t="shared" si="5"/>
        <x:v>117600</x:v>
      </x:c>
      <x:c r="E412" s="25">
        <x:f t="shared" si="6"/>
        <x:v>125700</x:v>
      </x:c>
      <x:c r="F412" s="58">
        <x:f t="shared" si="7"/>
        <x:v>133300</x:v>
      </x:c>
    </x:row>
    <x:row r="413">
      <x:c r="B413" s="63">
        <x:v>511</x:v>
      </x:c>
      <x:c r="C413" s="57">
        <x:f t="shared" si="4"/>
        <x:v>106800</x:v>
      </x:c>
      <x:c r="D413" s="25">
        <x:f t="shared" si="5"/>
        <x:v>117600</x:v>
      </x:c>
      <x:c r="E413" s="25">
        <x:f t="shared" si="6"/>
        <x:v>125700</x:v>
      </x:c>
      <x:c r="F413" s="58">
        <x:f t="shared" si="7"/>
        <x:v>133300</x:v>
      </x:c>
    </x:row>
    <x:row r="414">
      <x:c r="B414" s="63">
        <x:v>512</x:v>
      </x:c>
      <x:c r="C414" s="57">
        <x:f t="shared" si="4"/>
        <x:v>106800</x:v>
      </x:c>
      <x:c r="D414" s="25">
        <x:f t="shared" si="5"/>
        <x:v>117600</x:v>
      </x:c>
      <x:c r="E414" s="25">
        <x:f t="shared" si="6"/>
        <x:v>125700</x:v>
      </x:c>
      <x:c r="F414" s="58">
        <x:f t="shared" si="7"/>
        <x:v>133300</x:v>
      </x:c>
    </x:row>
    <x:row r="415">
      <x:c r="B415" s="63">
        <x:v>513</x:v>
      </x:c>
      <x:c r="C415" s="57">
        <x:f t="shared" si="4"/>
        <x:v>106800</x:v>
      </x:c>
      <x:c r="D415" s="25">
        <x:f t="shared" si="5"/>
        <x:v>117600</x:v>
      </x:c>
      <x:c r="E415" s="25">
        <x:f t="shared" si="6"/>
        <x:v>125700</x:v>
      </x:c>
      <x:c r="F415" s="58">
        <x:f t="shared" si="7"/>
        <x:v>133300</x:v>
      </x:c>
    </x:row>
    <x:row r="416">
      <x:c r="B416" s="63">
        <x:v>514</x:v>
      </x:c>
      <x:c r="C416" s="57">
        <x:f t="shared" si="4"/>
        <x:v>106800</x:v>
      </x:c>
      <x:c r="D416" s="25">
        <x:f t="shared" si="5"/>
        <x:v>117600</x:v>
      </x:c>
      <x:c r="E416" s="25">
        <x:f t="shared" si="6"/>
        <x:v>125700</x:v>
      </x:c>
      <x:c r="F416" s="58">
        <x:f t="shared" si="7"/>
        <x:v>133300</x:v>
      </x:c>
    </x:row>
    <x:row r="417">
      <x:c r="B417" s="63">
        <x:v>515</x:v>
      </x:c>
      <x:c r="C417" s="57">
        <x:f t="shared" si="4"/>
        <x:v>106800</x:v>
      </x:c>
      <x:c r="D417" s="25">
        <x:f t="shared" si="5"/>
        <x:v>117600</x:v>
      </x:c>
      <x:c r="E417" s="25">
        <x:f t="shared" si="6"/>
        <x:v>125700</x:v>
      </x:c>
      <x:c r="F417" s="58">
        <x:f t="shared" si="7"/>
        <x:v>133300</x:v>
      </x:c>
    </x:row>
    <x:row r="418">
      <x:c r="B418" s="63">
        <x:v>516</x:v>
      </x:c>
      <x:c r="C418" s="57">
        <x:f t="shared" si="4"/>
        <x:v>106800</x:v>
      </x:c>
      <x:c r="D418" s="25">
        <x:f t="shared" si="5"/>
        <x:v>117600</x:v>
      </x:c>
      <x:c r="E418" s="25">
        <x:f t="shared" si="6"/>
        <x:v>125700</x:v>
      </x:c>
      <x:c r="F418" s="58">
        <x:f t="shared" si="7"/>
        <x:v>133300</x:v>
      </x:c>
    </x:row>
    <x:row r="419">
      <x:c r="B419" s="63">
        <x:v>517</x:v>
      </x:c>
      <x:c r="C419" s="57">
        <x:f t="shared" si="4"/>
        <x:v>106800</x:v>
      </x:c>
      <x:c r="D419" s="25">
        <x:f t="shared" si="5"/>
        <x:v>117600</x:v>
      </x:c>
      <x:c r="E419" s="25">
        <x:f t="shared" si="6"/>
        <x:v>125700</x:v>
      </x:c>
      <x:c r="F419" s="58">
        <x:f t="shared" si="7"/>
        <x:v>133300</x:v>
      </x:c>
    </x:row>
    <x:row r="420">
      <x:c r="B420" s="63">
        <x:v>518</x:v>
      </x:c>
      <x:c r="C420" s="57">
        <x:f t="shared" si="4"/>
        <x:v>106800</x:v>
      </x:c>
      <x:c r="D420" s="25">
        <x:f t="shared" si="5"/>
        <x:v>117600</x:v>
      </x:c>
      <x:c r="E420" s="25">
        <x:f t="shared" si="6"/>
        <x:v>125700</x:v>
      </x:c>
      <x:c r="F420" s="58">
        <x:f t="shared" si="7"/>
        <x:v>133300</x:v>
      </x:c>
    </x:row>
    <x:row r="421">
      <x:c r="B421" s="63">
        <x:v>519</x:v>
      </x:c>
      <x:c r="C421" s="57">
        <x:f t="shared" si="4"/>
        <x:v>106800</x:v>
      </x:c>
      <x:c r="D421" s="25">
        <x:f t="shared" si="5"/>
        <x:v>117600</x:v>
      </x:c>
      <x:c r="E421" s="25">
        <x:f t="shared" si="6"/>
        <x:v>125700</x:v>
      </x:c>
      <x:c r="F421" s="58">
        <x:f t="shared" si="7"/>
        <x:v>133300</x:v>
      </x:c>
    </x:row>
    <x:row r="422">
      <x:c r="B422" s="63">
        <x:v>520</x:v>
      </x:c>
      <x:c r="C422" s="57">
        <x:f t="shared" si="4"/>
        <x:v>106800</x:v>
      </x:c>
      <x:c r="D422" s="25">
        <x:f t="shared" si="5"/>
        <x:v>117600</x:v>
      </x:c>
      <x:c r="E422" s="25">
        <x:f t="shared" si="6"/>
        <x:v>125700</x:v>
      </x:c>
      <x:c r="F422" s="58">
        <x:f t="shared" si="7"/>
        <x:v>133300</x:v>
      </x:c>
    </x:row>
    <x:row r="423">
      <x:c r="B423" s="63">
        <x:v>521</x:v>
      </x:c>
      <x:c r="C423" s="57">
        <x:f t="shared" si="4"/>
        <x:v>106800</x:v>
      </x:c>
      <x:c r="D423" s="25">
        <x:f t="shared" si="5"/>
        <x:v>117600</x:v>
      </x:c>
      <x:c r="E423" s="25">
        <x:f t="shared" si="6"/>
        <x:v>125700</x:v>
      </x:c>
      <x:c r="F423" s="58">
        <x:f t="shared" si="7"/>
        <x:v>133300</x:v>
      </x:c>
    </x:row>
    <x:row r="424">
      <x:c r="B424" s="63">
        <x:v>522</x:v>
      </x:c>
      <x:c r="C424" s="57">
        <x:f t="shared" si="4"/>
        <x:v>106800</x:v>
      </x:c>
      <x:c r="D424" s="25">
        <x:f t="shared" si="5"/>
        <x:v>117600</x:v>
      </x:c>
      <x:c r="E424" s="25">
        <x:f t="shared" si="6"/>
        <x:v>125700</x:v>
      </x:c>
      <x:c r="F424" s="58">
        <x:f t="shared" si="7"/>
        <x:v>133300</x:v>
      </x:c>
    </x:row>
    <x:row r="425">
      <x:c r="B425" s="63">
        <x:v>523</x:v>
      </x:c>
      <x:c r="C425" s="57">
        <x:f t="shared" si="4"/>
        <x:v>106800</x:v>
      </x:c>
      <x:c r="D425" s="25">
        <x:f t="shared" si="5"/>
        <x:v>117600</x:v>
      </x:c>
      <x:c r="E425" s="25">
        <x:f t="shared" si="6"/>
        <x:v>125700</x:v>
      </x:c>
      <x:c r="F425" s="58">
        <x:f t="shared" si="7"/>
        <x:v>133300</x:v>
      </x:c>
    </x:row>
    <x:row r="426">
      <x:c r="B426" s="63">
        <x:v>524</x:v>
      </x:c>
      <x:c r="C426" s="57">
        <x:f t="shared" si="4"/>
        <x:v>106800</x:v>
      </x:c>
      <x:c r="D426" s="25">
        <x:f t="shared" si="5"/>
        <x:v>117600</x:v>
      </x:c>
      <x:c r="E426" s="25">
        <x:f t="shared" si="6"/>
        <x:v>125700</x:v>
      </x:c>
      <x:c r="F426" s="58">
        <x:f t="shared" si="7"/>
        <x:v>133300</x:v>
      </x:c>
    </x:row>
    <x:row r="427">
      <x:c r="B427" s="63">
        <x:v>525</x:v>
      </x:c>
      <x:c r="C427" s="57">
        <x:f t="shared" si="4"/>
        <x:v>106800</x:v>
      </x:c>
      <x:c r="D427" s="25">
        <x:f t="shared" si="5"/>
        <x:v>117600</x:v>
      </x:c>
      <x:c r="E427" s="25">
        <x:f t="shared" si="6"/>
        <x:v>125700</x:v>
      </x:c>
      <x:c r="F427" s="58">
        <x:f t="shared" si="7"/>
        <x:v>133300</x:v>
      </x:c>
    </x:row>
    <x:row r="428">
      <x:c r="B428" s="63">
        <x:v>526</x:v>
      </x:c>
      <x:c r="C428" s="57">
        <x:f t="shared" si="4"/>
        <x:v>106800</x:v>
      </x:c>
      <x:c r="D428" s="25">
        <x:f t="shared" si="5"/>
        <x:v>117600</x:v>
      </x:c>
      <x:c r="E428" s="25">
        <x:f t="shared" si="6"/>
        <x:v>125700</x:v>
      </x:c>
      <x:c r="F428" s="58">
        <x:f t="shared" si="7"/>
        <x:v>133300</x:v>
      </x:c>
    </x:row>
    <x:row r="429">
      <x:c r="B429" s="63">
        <x:v>527</x:v>
      </x:c>
      <x:c r="C429" s="57">
        <x:f t="shared" si="4"/>
        <x:v>106800</x:v>
      </x:c>
      <x:c r="D429" s="25">
        <x:f t="shared" si="5"/>
        <x:v>117600</x:v>
      </x:c>
      <x:c r="E429" s="25">
        <x:f t="shared" si="6"/>
        <x:v>125700</x:v>
      </x:c>
      <x:c r="F429" s="58">
        <x:f t="shared" si="7"/>
        <x:v>133300</x:v>
      </x:c>
    </x:row>
    <x:row r="430">
      <x:c r="B430" s="63">
        <x:v>528</x:v>
      </x:c>
      <x:c r="C430" s="57">
        <x:f t="shared" si="4"/>
        <x:v>106800</x:v>
      </x:c>
      <x:c r="D430" s="25">
        <x:f t="shared" si="5"/>
        <x:v>117600</x:v>
      </x:c>
      <x:c r="E430" s="25">
        <x:f t="shared" si="6"/>
        <x:v>125700</x:v>
      </x:c>
      <x:c r="F430" s="58">
        <x:f t="shared" si="7"/>
        <x:v>133300</x:v>
      </x:c>
    </x:row>
    <x:row r="431">
      <x:c r="B431" s="63">
        <x:v>529</x:v>
      </x:c>
      <x:c r="C431" s="57">
        <x:f t="shared" si="4"/>
        <x:v>106800</x:v>
      </x:c>
      <x:c r="D431" s="25">
        <x:f t="shared" si="5"/>
        <x:v>117600</x:v>
      </x:c>
      <x:c r="E431" s="25">
        <x:f t="shared" si="6"/>
        <x:v>125700</x:v>
      </x:c>
      <x:c r="F431" s="58">
        <x:f t="shared" si="7"/>
        <x:v>133300</x:v>
      </x:c>
    </x:row>
    <x:row r="432">
      <x:c r="B432" s="63">
        <x:v>530</x:v>
      </x:c>
      <x:c r="C432" s="57">
        <x:f t="shared" si="4"/>
        <x:v>106800</x:v>
      </x:c>
      <x:c r="D432" s="25">
        <x:f t="shared" si="5"/>
        <x:v>117600</x:v>
      </x:c>
      <x:c r="E432" s="25">
        <x:f t="shared" si="6"/>
        <x:v>125700</x:v>
      </x:c>
      <x:c r="F432" s="58">
        <x:f t="shared" si="7"/>
        <x:v>133300</x:v>
      </x:c>
    </x:row>
    <x:row r="433">
      <x:c r="B433" s="63">
        <x:v>531</x:v>
      </x:c>
      <x:c r="C433" s="57">
        <x:f t="shared" si="4"/>
        <x:v>106800</x:v>
      </x:c>
      <x:c r="D433" s="25">
        <x:f t="shared" si="5"/>
        <x:v>117600</x:v>
      </x:c>
      <x:c r="E433" s="25">
        <x:f t="shared" si="6"/>
        <x:v>125700</x:v>
      </x:c>
      <x:c r="F433" s="58">
        <x:f t="shared" si="7"/>
        <x:v>133300</x:v>
      </x:c>
    </x:row>
    <x:row r="434">
      <x:c r="B434" s="63">
        <x:v>532</x:v>
      </x:c>
      <x:c r="C434" s="57">
        <x:f t="shared" si="4"/>
        <x:v>106800</x:v>
      </x:c>
      <x:c r="D434" s="25">
        <x:f t="shared" si="5"/>
        <x:v>117600</x:v>
      </x:c>
      <x:c r="E434" s="25">
        <x:f t="shared" si="6"/>
        <x:v>125700</x:v>
      </x:c>
      <x:c r="F434" s="58">
        <x:f t="shared" si="7"/>
        <x:v>133300</x:v>
      </x:c>
    </x:row>
    <x:row r="435">
      <x:c r="B435" s="63">
        <x:v>533</x:v>
      </x:c>
      <x:c r="C435" s="57">
        <x:f t="shared" si="4"/>
        <x:v>106800</x:v>
      </x:c>
      <x:c r="D435" s="25">
        <x:f t="shared" si="5"/>
        <x:v>117600</x:v>
      </x:c>
      <x:c r="E435" s="25">
        <x:f t="shared" si="6"/>
        <x:v>125700</x:v>
      </x:c>
      <x:c r="F435" s="58">
        <x:f t="shared" si="7"/>
        <x:v>133300</x:v>
      </x:c>
    </x:row>
    <x:row r="436">
      <x:c r="B436" s="63">
        <x:v>534</x:v>
      </x:c>
      <x:c r="C436" s="57">
        <x:f t="shared" si="4"/>
        <x:v>106800</x:v>
      </x:c>
      <x:c r="D436" s="25">
        <x:f t="shared" si="5"/>
        <x:v>117600</x:v>
      </x:c>
      <x:c r="E436" s="25">
        <x:f t="shared" si="6"/>
        <x:v>125700</x:v>
      </x:c>
      <x:c r="F436" s="58">
        <x:f t="shared" si="7"/>
        <x:v>133300</x:v>
      </x:c>
    </x:row>
    <x:row r="437">
      <x:c r="B437" s="63">
        <x:v>535</x:v>
      </x:c>
      <x:c r="C437" s="57">
        <x:f t="shared" si="4"/>
        <x:v>106800</x:v>
      </x:c>
      <x:c r="D437" s="25">
        <x:f t="shared" si="5"/>
        <x:v>117600</x:v>
      </x:c>
      <x:c r="E437" s="25">
        <x:f t="shared" si="6"/>
        <x:v>125700</x:v>
      </x:c>
      <x:c r="F437" s="58">
        <x:f t="shared" si="7"/>
        <x:v>133300</x:v>
      </x:c>
    </x:row>
    <x:row r="438">
      <x:c r="B438" s="63">
        <x:v>536</x:v>
      </x:c>
      <x:c r="C438" s="57">
        <x:f t="shared" si="4"/>
        <x:v>106800</x:v>
      </x:c>
      <x:c r="D438" s="25">
        <x:f t="shared" si="5"/>
        <x:v>117600</x:v>
      </x:c>
      <x:c r="E438" s="25">
        <x:f t="shared" si="6"/>
        <x:v>125700</x:v>
      </x:c>
      <x:c r="F438" s="58">
        <x:f t="shared" si="7"/>
        <x:v>133300</x:v>
      </x:c>
    </x:row>
    <x:row r="439">
      <x:c r="B439" s="63">
        <x:v>537</x:v>
      </x:c>
      <x:c r="C439" s="57">
        <x:f t="shared" si="4"/>
        <x:v>106800</x:v>
      </x:c>
      <x:c r="D439" s="25">
        <x:f t="shared" si="5"/>
        <x:v>117600</x:v>
      </x:c>
      <x:c r="E439" s="25">
        <x:f t="shared" si="6"/>
        <x:v>125700</x:v>
      </x:c>
      <x:c r="F439" s="58">
        <x:f t="shared" si="7"/>
        <x:v>133300</x:v>
      </x:c>
    </x:row>
    <x:row r="440">
      <x:c r="B440" s="63">
        <x:v>538</x:v>
      </x:c>
      <x:c r="C440" s="57">
        <x:f t="shared" si="4"/>
        <x:v>106800</x:v>
      </x:c>
      <x:c r="D440" s="25">
        <x:f t="shared" si="5"/>
        <x:v>117600</x:v>
      </x:c>
      <x:c r="E440" s="25">
        <x:f t="shared" si="6"/>
        <x:v>125700</x:v>
      </x:c>
      <x:c r="F440" s="58">
        <x:f t="shared" si="7"/>
        <x:v>133300</x:v>
      </x:c>
    </x:row>
    <x:row r="441">
      <x:c r="B441" s="63">
        <x:v>539</x:v>
      </x:c>
      <x:c r="C441" s="57">
        <x:f t="shared" si="4"/>
        <x:v>106800</x:v>
      </x:c>
      <x:c r="D441" s="25">
        <x:f t="shared" si="5"/>
        <x:v>117600</x:v>
      </x:c>
      <x:c r="E441" s="25">
        <x:f t="shared" si="6"/>
        <x:v>125700</x:v>
      </x:c>
      <x:c r="F441" s="58">
        <x:f t="shared" si="7"/>
        <x:v>133300</x:v>
      </x:c>
    </x:row>
    <x:row r="442">
      <x:c r="B442" s="63">
        <x:v>540</x:v>
      </x:c>
      <x:c r="C442" s="57">
        <x:f t="shared" si="4"/>
        <x:v>106800</x:v>
      </x:c>
      <x:c r="D442" s="25">
        <x:f t="shared" si="5"/>
        <x:v>117600</x:v>
      </x:c>
      <x:c r="E442" s="25">
        <x:f t="shared" si="6"/>
        <x:v>125700</x:v>
      </x:c>
      <x:c r="F442" s="58">
        <x:f t="shared" si="7"/>
        <x:v>133300</x:v>
      </x:c>
    </x:row>
    <x:row r="443">
      <x:c r="B443" s="63">
        <x:v>541</x:v>
      </x:c>
      <x:c r="C443" s="57">
        <x:f t="shared" si="4"/>
        <x:v>106800</x:v>
      </x:c>
      <x:c r="D443" s="25">
        <x:f t="shared" si="5"/>
        <x:v>117600</x:v>
      </x:c>
      <x:c r="E443" s="25">
        <x:f t="shared" si="6"/>
        <x:v>125700</x:v>
      </x:c>
      <x:c r="F443" s="58">
        <x:f t="shared" si="7"/>
        <x:v>133300</x:v>
      </x:c>
    </x:row>
    <x:row r="444">
      <x:c r="B444" s="63">
        <x:v>542</x:v>
      </x:c>
      <x:c r="C444" s="57">
        <x:f t="shared" si="4"/>
        <x:v>106800</x:v>
      </x:c>
      <x:c r="D444" s="25">
        <x:f t="shared" si="5"/>
        <x:v>117600</x:v>
      </x:c>
      <x:c r="E444" s="25">
        <x:f t="shared" si="6"/>
        <x:v>125700</x:v>
      </x:c>
      <x:c r="F444" s="58">
        <x:f t="shared" si="7"/>
        <x:v>133300</x:v>
      </x:c>
    </x:row>
    <x:row r="445">
      <x:c r="B445" s="63">
        <x:v>543</x:v>
      </x:c>
      <x:c r="C445" s="57">
        <x:f t="shared" si="4"/>
        <x:v>106800</x:v>
      </x:c>
      <x:c r="D445" s="25">
        <x:f t="shared" si="5"/>
        <x:v>117600</x:v>
      </x:c>
      <x:c r="E445" s="25">
        <x:f t="shared" si="6"/>
        <x:v>125700</x:v>
      </x:c>
      <x:c r="F445" s="58">
        <x:f t="shared" si="7"/>
        <x:v>133300</x:v>
      </x:c>
    </x:row>
    <x:row r="446">
      <x:c r="B446" s="63">
        <x:v>544</x:v>
      </x:c>
      <x:c r="C446" s="57">
        <x:f t="shared" si="4"/>
        <x:v>106800</x:v>
      </x:c>
      <x:c r="D446" s="25">
        <x:f t="shared" si="5"/>
        <x:v>117600</x:v>
      </x:c>
      <x:c r="E446" s="25">
        <x:f t="shared" si="6"/>
        <x:v>125700</x:v>
      </x:c>
      <x:c r="F446" s="58">
        <x:f t="shared" si="7"/>
        <x:v>133300</x:v>
      </x:c>
    </x:row>
    <x:row r="447">
      <x:c r="B447" s="63">
        <x:v>545</x:v>
      </x:c>
      <x:c r="C447" s="57">
        <x:f t="shared" si="4"/>
        <x:v>106800</x:v>
      </x:c>
      <x:c r="D447" s="25">
        <x:f t="shared" si="5"/>
        <x:v>117600</x:v>
      </x:c>
      <x:c r="E447" s="25">
        <x:f t="shared" si="6"/>
        <x:v>125700</x:v>
      </x:c>
      <x:c r="F447" s="58">
        <x:f t="shared" si="7"/>
        <x:v>133300</x:v>
      </x:c>
    </x:row>
    <x:row r="448">
      <x:c r="B448" s="63">
        <x:v>546</x:v>
      </x:c>
      <x:c r="C448" s="57">
        <x:f t="shared" si="4"/>
        <x:v>106800</x:v>
      </x:c>
      <x:c r="D448" s="25">
        <x:f t="shared" si="5"/>
        <x:v>117600</x:v>
      </x:c>
      <x:c r="E448" s="25">
        <x:f t="shared" si="6"/>
        <x:v>125700</x:v>
      </x:c>
      <x:c r="F448" s="58">
        <x:f t="shared" si="7"/>
        <x:v>133300</x:v>
      </x:c>
    </x:row>
    <x:row r="449">
      <x:c r="B449" s="63">
        <x:v>547</x:v>
      </x:c>
      <x:c r="C449" s="57">
        <x:f t="shared" si="4"/>
        <x:v>106800</x:v>
      </x:c>
      <x:c r="D449" s="25">
        <x:f t="shared" si="5"/>
        <x:v>117600</x:v>
      </x:c>
      <x:c r="E449" s="25">
        <x:f t="shared" si="6"/>
        <x:v>125700</x:v>
      </x:c>
      <x:c r="F449" s="58">
        <x:f t="shared" si="7"/>
        <x:v>133300</x:v>
      </x:c>
    </x:row>
    <x:row r="450">
      <x:c r="B450" s="63">
        <x:v>548</x:v>
      </x:c>
      <x:c r="C450" s="57">
        <x:f t="shared" si="4"/>
        <x:v>106800</x:v>
      </x:c>
      <x:c r="D450" s="25">
        <x:f t="shared" si="5"/>
        <x:v>117600</x:v>
      </x:c>
      <x:c r="E450" s="25">
        <x:f t="shared" si="6"/>
        <x:v>125700</x:v>
      </x:c>
      <x:c r="F450" s="58">
        <x:f t="shared" si="7"/>
        <x:v>133300</x:v>
      </x:c>
    </x:row>
    <x:row r="451">
      <x:c r="B451" s="63">
        <x:v>549</x:v>
      </x:c>
      <x:c r="C451" s="57">
        <x:f t="shared" si="4"/>
        <x:v>106800</x:v>
      </x:c>
      <x:c r="D451" s="25">
        <x:f t="shared" si="5"/>
        <x:v>117600</x:v>
      </x:c>
      <x:c r="E451" s="25">
        <x:f t="shared" si="6"/>
        <x:v>125700</x:v>
      </x:c>
      <x:c r="F451" s="58">
        <x:f t="shared" si="7"/>
        <x:v>133300</x:v>
      </x:c>
    </x:row>
    <x:row r="452">
      <x:c r="B452" s="63">
        <x:v>550</x:v>
      </x:c>
      <x:c r="C452" s="57">
        <x:f t="shared" si="4"/>
        <x:v>106800</x:v>
      </x:c>
      <x:c r="D452" s="25">
        <x:f t="shared" si="5"/>
        <x:v>117600</x:v>
      </x:c>
      <x:c r="E452" s="25">
        <x:f t="shared" si="6"/>
        <x:v>125700</x:v>
      </x:c>
      <x:c r="F452" s="58">
        <x:f t="shared" si="7"/>
        <x:v>133300</x:v>
      </x:c>
    </x:row>
    <x:row r="453">
      <x:c r="B453" s="63">
        <x:v>551</x:v>
      </x:c>
      <x:c r="C453" s="57" t="n">
        <x:f>$C$402+$J$4</x:f>
        <x:v>114100</x:v>
      </x:c>
      <x:c r="D453" s="25" t="n">
        <x:f>$D$402+$K$4</x:f>
        <x:v>125700</x:v>
      </x:c>
      <x:c r="E453" s="25" t="n">
        <x:f>$E$402+$L$4</x:f>
        <x:v>134400</x:v>
      </x:c>
      <x:c r="F453" s="58" t="n">
        <x:f>$F$402+$M$4</x:f>
        <x:v>142600</x:v>
      </x:c>
    </x:row>
    <x:row r="454">
      <x:c r="B454" s="63">
        <x:v>552</x:v>
      </x:c>
      <x:c r="C454" s="57" t="n">
        <x:f t="shared" ref="C454:C502" si="8">$C$402+$J$4</x:f>
        <x:v>114100</x:v>
      </x:c>
      <x:c r="D454" s="25" t="n">
        <x:f t="shared" ref="D454:D502" si="9">$D$402+$K$4</x:f>
        <x:v>125700</x:v>
      </x:c>
      <x:c r="E454" s="25" t="n">
        <x:f t="shared" ref="E454:E502" si="10">$E$402+$L$4</x:f>
        <x:v>134400</x:v>
      </x:c>
      <x:c r="F454" s="58" t="n">
        <x:f t="shared" ref="F454:F502" si="11">$F$402+$M$4</x:f>
        <x:v>142600</x:v>
      </x:c>
    </x:row>
    <x:row r="455">
      <x:c r="B455" s="63">
        <x:v>553</x:v>
      </x:c>
      <x:c r="C455" s="57">
        <x:f t="shared" si="8"/>
        <x:v>114100</x:v>
      </x:c>
      <x:c r="D455" s="25">
        <x:f t="shared" si="9"/>
        <x:v>125700</x:v>
      </x:c>
      <x:c r="E455" s="25">
        <x:f t="shared" si="10"/>
        <x:v>134400</x:v>
      </x:c>
      <x:c r="F455" s="58">
        <x:f t="shared" si="11"/>
        <x:v>142600</x:v>
      </x:c>
    </x:row>
    <x:row r="456">
      <x:c r="B456" s="63">
        <x:v>554</x:v>
      </x:c>
      <x:c r="C456" s="57">
        <x:f t="shared" si="8"/>
        <x:v>114100</x:v>
      </x:c>
      <x:c r="D456" s="25">
        <x:f t="shared" si="9"/>
        <x:v>125700</x:v>
      </x:c>
      <x:c r="E456" s="25">
        <x:f t="shared" si="10"/>
        <x:v>134400</x:v>
      </x:c>
      <x:c r="F456" s="58">
        <x:f t="shared" si="11"/>
        <x:v>142600</x:v>
      </x:c>
    </x:row>
    <x:row r="457">
      <x:c r="B457" s="63">
        <x:v>555</x:v>
      </x:c>
      <x:c r="C457" s="57">
        <x:f t="shared" si="8"/>
        <x:v>114100</x:v>
      </x:c>
      <x:c r="D457" s="25">
        <x:f t="shared" si="9"/>
        <x:v>125700</x:v>
      </x:c>
      <x:c r="E457" s="25">
        <x:f t="shared" si="10"/>
        <x:v>134400</x:v>
      </x:c>
      <x:c r="F457" s="58">
        <x:f t="shared" si="11"/>
        <x:v>142600</x:v>
      </x:c>
    </x:row>
    <x:row r="458">
      <x:c r="B458" s="63">
        <x:v>556</x:v>
      </x:c>
      <x:c r="C458" s="57">
        <x:f t="shared" si="8"/>
        <x:v>114100</x:v>
      </x:c>
      <x:c r="D458" s="25">
        <x:f t="shared" si="9"/>
        <x:v>125700</x:v>
      </x:c>
      <x:c r="E458" s="25">
        <x:f t="shared" si="10"/>
        <x:v>134400</x:v>
      </x:c>
      <x:c r="F458" s="58">
        <x:f t="shared" si="11"/>
        <x:v>142600</x:v>
      </x:c>
    </x:row>
    <x:row r="459">
      <x:c r="B459" s="63">
        <x:v>557</x:v>
      </x:c>
      <x:c r="C459" s="57">
        <x:f t="shared" si="8"/>
        <x:v>114100</x:v>
      </x:c>
      <x:c r="D459" s="25">
        <x:f t="shared" si="9"/>
        <x:v>125700</x:v>
      </x:c>
      <x:c r="E459" s="25">
        <x:f t="shared" si="10"/>
        <x:v>134400</x:v>
      </x:c>
      <x:c r="F459" s="58">
        <x:f t="shared" si="11"/>
        <x:v>142600</x:v>
      </x:c>
    </x:row>
    <x:row r="460">
      <x:c r="B460" s="63">
        <x:v>558</x:v>
      </x:c>
      <x:c r="C460" s="57">
        <x:f t="shared" si="8"/>
        <x:v>114100</x:v>
      </x:c>
      <x:c r="D460" s="25">
        <x:f t="shared" si="9"/>
        <x:v>125700</x:v>
      </x:c>
      <x:c r="E460" s="25">
        <x:f t="shared" si="10"/>
        <x:v>134400</x:v>
      </x:c>
      <x:c r="F460" s="58">
        <x:f t="shared" si="11"/>
        <x:v>142600</x:v>
      </x:c>
    </x:row>
    <x:row r="461">
      <x:c r="B461" s="63">
        <x:v>559</x:v>
      </x:c>
      <x:c r="C461" s="57">
        <x:f t="shared" si="8"/>
        <x:v>114100</x:v>
      </x:c>
      <x:c r="D461" s="25">
        <x:f t="shared" si="9"/>
        <x:v>125700</x:v>
      </x:c>
      <x:c r="E461" s="25">
        <x:f t="shared" si="10"/>
        <x:v>134400</x:v>
      </x:c>
      <x:c r="F461" s="58">
        <x:f t="shared" si="11"/>
        <x:v>142600</x:v>
      </x:c>
    </x:row>
    <x:row r="462">
      <x:c r="B462" s="63">
        <x:v>560</x:v>
      </x:c>
      <x:c r="C462" s="57">
        <x:f t="shared" si="8"/>
        <x:v>114100</x:v>
      </x:c>
      <x:c r="D462" s="25">
        <x:f t="shared" si="9"/>
        <x:v>125700</x:v>
      </x:c>
      <x:c r="E462" s="25">
        <x:f t="shared" si="10"/>
        <x:v>134400</x:v>
      </x:c>
      <x:c r="F462" s="58">
        <x:f t="shared" si="11"/>
        <x:v>142600</x:v>
      </x:c>
    </x:row>
    <x:row r="463">
      <x:c r="B463" s="63">
        <x:v>561</x:v>
      </x:c>
      <x:c r="C463" s="57">
        <x:f t="shared" si="8"/>
        <x:v>114100</x:v>
      </x:c>
      <x:c r="D463" s="25">
        <x:f t="shared" si="9"/>
        <x:v>125700</x:v>
      </x:c>
      <x:c r="E463" s="25">
        <x:f t="shared" si="10"/>
        <x:v>134400</x:v>
      </x:c>
      <x:c r="F463" s="58">
        <x:f t="shared" si="11"/>
        <x:v>142600</x:v>
      </x:c>
    </x:row>
    <x:row r="464">
      <x:c r="B464" s="63">
        <x:v>562</x:v>
      </x:c>
      <x:c r="C464" s="57">
        <x:f t="shared" si="8"/>
        <x:v>114100</x:v>
      </x:c>
      <x:c r="D464" s="25">
        <x:f t="shared" si="9"/>
        <x:v>125700</x:v>
      </x:c>
      <x:c r="E464" s="25">
        <x:f t="shared" si="10"/>
        <x:v>134400</x:v>
      </x:c>
      <x:c r="F464" s="58">
        <x:f t="shared" si="11"/>
        <x:v>142600</x:v>
      </x:c>
    </x:row>
    <x:row r="465">
      <x:c r="B465" s="63">
        <x:v>563</x:v>
      </x:c>
      <x:c r="C465" s="57">
        <x:f t="shared" si="8"/>
        <x:v>114100</x:v>
      </x:c>
      <x:c r="D465" s="25">
        <x:f t="shared" si="9"/>
        <x:v>125700</x:v>
      </x:c>
      <x:c r="E465" s="25">
        <x:f t="shared" si="10"/>
        <x:v>134400</x:v>
      </x:c>
      <x:c r="F465" s="58">
        <x:f t="shared" si="11"/>
        <x:v>142600</x:v>
      </x:c>
    </x:row>
    <x:row r="466">
      <x:c r="B466" s="63">
        <x:v>564</x:v>
      </x:c>
      <x:c r="C466" s="57">
        <x:f t="shared" si="8"/>
        <x:v>114100</x:v>
      </x:c>
      <x:c r="D466" s="25">
        <x:f t="shared" si="9"/>
        <x:v>125700</x:v>
      </x:c>
      <x:c r="E466" s="25">
        <x:f t="shared" si="10"/>
        <x:v>134400</x:v>
      </x:c>
      <x:c r="F466" s="58">
        <x:f t="shared" si="11"/>
        <x:v>142600</x:v>
      </x:c>
    </x:row>
    <x:row r="467">
      <x:c r="B467" s="63">
        <x:v>565</x:v>
      </x:c>
      <x:c r="C467" s="57">
        <x:f t="shared" si="8"/>
        <x:v>114100</x:v>
      </x:c>
      <x:c r="D467" s="25">
        <x:f t="shared" si="9"/>
        <x:v>125700</x:v>
      </x:c>
      <x:c r="E467" s="25">
        <x:f t="shared" si="10"/>
        <x:v>134400</x:v>
      </x:c>
      <x:c r="F467" s="58">
        <x:f t="shared" si="11"/>
        <x:v>142600</x:v>
      </x:c>
    </x:row>
    <x:row r="468">
      <x:c r="B468" s="63">
        <x:v>566</x:v>
      </x:c>
      <x:c r="C468" s="57">
        <x:f t="shared" si="8"/>
        <x:v>114100</x:v>
      </x:c>
      <x:c r="D468" s="25">
        <x:f t="shared" si="9"/>
        <x:v>125700</x:v>
      </x:c>
      <x:c r="E468" s="25">
        <x:f t="shared" si="10"/>
        <x:v>134400</x:v>
      </x:c>
      <x:c r="F468" s="58">
        <x:f t="shared" si="11"/>
        <x:v>142600</x:v>
      </x:c>
    </x:row>
    <x:row r="469">
      <x:c r="B469" s="63">
        <x:v>567</x:v>
      </x:c>
      <x:c r="C469" s="57">
        <x:f t="shared" si="8"/>
        <x:v>114100</x:v>
      </x:c>
      <x:c r="D469" s="25">
        <x:f t="shared" si="9"/>
        <x:v>125700</x:v>
      </x:c>
      <x:c r="E469" s="25">
        <x:f t="shared" si="10"/>
        <x:v>134400</x:v>
      </x:c>
      <x:c r="F469" s="58">
        <x:f t="shared" si="11"/>
        <x:v>142600</x:v>
      </x:c>
    </x:row>
    <x:row r="470">
      <x:c r="B470" s="63">
        <x:v>568</x:v>
      </x:c>
      <x:c r="C470" s="57">
        <x:f t="shared" si="8"/>
        <x:v>114100</x:v>
      </x:c>
      <x:c r="D470" s="25">
        <x:f t="shared" si="9"/>
        <x:v>125700</x:v>
      </x:c>
      <x:c r="E470" s="25">
        <x:f t="shared" si="10"/>
        <x:v>134400</x:v>
      </x:c>
      <x:c r="F470" s="58">
        <x:f t="shared" si="11"/>
        <x:v>142600</x:v>
      </x:c>
    </x:row>
    <x:row r="471">
      <x:c r="B471" s="63">
        <x:v>569</x:v>
      </x:c>
      <x:c r="C471" s="57">
        <x:f t="shared" si="8"/>
        <x:v>114100</x:v>
      </x:c>
      <x:c r="D471" s="25">
        <x:f t="shared" si="9"/>
        <x:v>125700</x:v>
      </x:c>
      <x:c r="E471" s="25">
        <x:f t="shared" si="10"/>
        <x:v>134400</x:v>
      </x:c>
      <x:c r="F471" s="58">
        <x:f t="shared" si="11"/>
        <x:v>142600</x:v>
      </x:c>
    </x:row>
    <x:row r="472">
      <x:c r="B472" s="63">
        <x:v>570</x:v>
      </x:c>
      <x:c r="C472" s="57">
        <x:f t="shared" si="8"/>
        <x:v>114100</x:v>
      </x:c>
      <x:c r="D472" s="25">
        <x:f t="shared" si="9"/>
        <x:v>125700</x:v>
      </x:c>
      <x:c r="E472" s="25">
        <x:f t="shared" si="10"/>
        <x:v>134400</x:v>
      </x:c>
      <x:c r="F472" s="58">
        <x:f t="shared" si="11"/>
        <x:v>142600</x:v>
      </x:c>
    </x:row>
    <x:row r="473">
      <x:c r="B473" s="63">
        <x:v>571</x:v>
      </x:c>
      <x:c r="C473" s="57">
        <x:f t="shared" si="8"/>
        <x:v>114100</x:v>
      </x:c>
      <x:c r="D473" s="25">
        <x:f t="shared" si="9"/>
        <x:v>125700</x:v>
      </x:c>
      <x:c r="E473" s="25">
        <x:f t="shared" si="10"/>
        <x:v>134400</x:v>
      </x:c>
      <x:c r="F473" s="58">
        <x:f t="shared" si="11"/>
        <x:v>142600</x:v>
      </x:c>
    </x:row>
    <x:row r="474">
      <x:c r="B474" s="63">
        <x:v>572</x:v>
      </x:c>
      <x:c r="C474" s="57">
        <x:f t="shared" si="8"/>
        <x:v>114100</x:v>
      </x:c>
      <x:c r="D474" s="25">
        <x:f t="shared" si="9"/>
        <x:v>125700</x:v>
      </x:c>
      <x:c r="E474" s="25">
        <x:f t="shared" si="10"/>
        <x:v>134400</x:v>
      </x:c>
      <x:c r="F474" s="58">
        <x:f t="shared" si="11"/>
        <x:v>142600</x:v>
      </x:c>
    </x:row>
    <x:row r="475">
      <x:c r="B475" s="63">
        <x:v>573</x:v>
      </x:c>
      <x:c r="C475" s="57">
        <x:f t="shared" si="8"/>
        <x:v>114100</x:v>
      </x:c>
      <x:c r="D475" s="25">
        <x:f t="shared" si="9"/>
        <x:v>125700</x:v>
      </x:c>
      <x:c r="E475" s="25">
        <x:f t="shared" si="10"/>
        <x:v>134400</x:v>
      </x:c>
      <x:c r="F475" s="58">
        <x:f t="shared" si="11"/>
        <x:v>142600</x:v>
      </x:c>
    </x:row>
    <x:row r="476">
      <x:c r="B476" s="63">
        <x:v>574</x:v>
      </x:c>
      <x:c r="C476" s="57">
        <x:f t="shared" si="8"/>
        <x:v>114100</x:v>
      </x:c>
      <x:c r="D476" s="25">
        <x:f t="shared" si="9"/>
        <x:v>125700</x:v>
      </x:c>
      <x:c r="E476" s="25">
        <x:f t="shared" si="10"/>
        <x:v>134400</x:v>
      </x:c>
      <x:c r="F476" s="58">
        <x:f t="shared" si="11"/>
        <x:v>142600</x:v>
      </x:c>
    </x:row>
    <x:row r="477">
      <x:c r="B477" s="63">
        <x:v>575</x:v>
      </x:c>
      <x:c r="C477" s="57">
        <x:f t="shared" si="8"/>
        <x:v>114100</x:v>
      </x:c>
      <x:c r="D477" s="25">
        <x:f t="shared" si="9"/>
        <x:v>125700</x:v>
      </x:c>
      <x:c r="E477" s="25">
        <x:f t="shared" si="10"/>
        <x:v>134400</x:v>
      </x:c>
      <x:c r="F477" s="58">
        <x:f t="shared" si="11"/>
        <x:v>142600</x:v>
      </x:c>
    </x:row>
    <x:row r="478">
      <x:c r="B478" s="63">
        <x:v>576</x:v>
      </x:c>
      <x:c r="C478" s="57">
        <x:f t="shared" si="8"/>
        <x:v>114100</x:v>
      </x:c>
      <x:c r="D478" s="25">
        <x:f t="shared" si="9"/>
        <x:v>125700</x:v>
      </x:c>
      <x:c r="E478" s="25">
        <x:f t="shared" si="10"/>
        <x:v>134400</x:v>
      </x:c>
      <x:c r="F478" s="58">
        <x:f t="shared" si="11"/>
        <x:v>142600</x:v>
      </x:c>
    </x:row>
    <x:row r="479">
      <x:c r="B479" s="63">
        <x:v>577</x:v>
      </x:c>
      <x:c r="C479" s="57">
        <x:f t="shared" si="8"/>
        <x:v>114100</x:v>
      </x:c>
      <x:c r="D479" s="25">
        <x:f t="shared" si="9"/>
        <x:v>125700</x:v>
      </x:c>
      <x:c r="E479" s="25">
        <x:f t="shared" si="10"/>
        <x:v>134400</x:v>
      </x:c>
      <x:c r="F479" s="58">
        <x:f t="shared" si="11"/>
        <x:v>142600</x:v>
      </x:c>
    </x:row>
    <x:row r="480">
      <x:c r="B480" s="63">
        <x:v>578</x:v>
      </x:c>
      <x:c r="C480" s="57">
        <x:f t="shared" si="8"/>
        <x:v>114100</x:v>
      </x:c>
      <x:c r="D480" s="25">
        <x:f t="shared" si="9"/>
        <x:v>125700</x:v>
      </x:c>
      <x:c r="E480" s="25">
        <x:f t="shared" si="10"/>
        <x:v>134400</x:v>
      </x:c>
      <x:c r="F480" s="58">
        <x:f t="shared" si="11"/>
        <x:v>142600</x:v>
      </x:c>
    </x:row>
    <x:row r="481">
      <x:c r="B481" s="63">
        <x:v>579</x:v>
      </x:c>
      <x:c r="C481" s="57">
        <x:f t="shared" si="8"/>
        <x:v>114100</x:v>
      </x:c>
      <x:c r="D481" s="25">
        <x:f t="shared" si="9"/>
        <x:v>125700</x:v>
      </x:c>
      <x:c r="E481" s="25">
        <x:f t="shared" si="10"/>
        <x:v>134400</x:v>
      </x:c>
      <x:c r="F481" s="58">
        <x:f t="shared" si="11"/>
        <x:v>142600</x:v>
      </x:c>
    </x:row>
    <x:row r="482">
      <x:c r="B482" s="63">
        <x:v>580</x:v>
      </x:c>
      <x:c r="C482" s="57">
        <x:f t="shared" si="8"/>
        <x:v>114100</x:v>
      </x:c>
      <x:c r="D482" s="25">
        <x:f t="shared" si="9"/>
        <x:v>125700</x:v>
      </x:c>
      <x:c r="E482" s="25">
        <x:f t="shared" si="10"/>
        <x:v>134400</x:v>
      </x:c>
      <x:c r="F482" s="58">
        <x:f t="shared" si="11"/>
        <x:v>142600</x:v>
      </x:c>
    </x:row>
    <x:row r="483">
      <x:c r="B483" s="63">
        <x:v>581</x:v>
      </x:c>
      <x:c r="C483" s="57">
        <x:f t="shared" si="8"/>
        <x:v>114100</x:v>
      </x:c>
      <x:c r="D483" s="25">
        <x:f t="shared" si="9"/>
        <x:v>125700</x:v>
      </x:c>
      <x:c r="E483" s="25">
        <x:f t="shared" si="10"/>
        <x:v>134400</x:v>
      </x:c>
      <x:c r="F483" s="58">
        <x:f t="shared" si="11"/>
        <x:v>142600</x:v>
      </x:c>
    </x:row>
    <x:row r="484">
      <x:c r="B484" s="63">
        <x:v>582</x:v>
      </x:c>
      <x:c r="C484" s="57">
        <x:f t="shared" si="8"/>
        <x:v>114100</x:v>
      </x:c>
      <x:c r="D484" s="25">
        <x:f t="shared" si="9"/>
        <x:v>125700</x:v>
      </x:c>
      <x:c r="E484" s="25">
        <x:f t="shared" si="10"/>
        <x:v>134400</x:v>
      </x:c>
      <x:c r="F484" s="58">
        <x:f t="shared" si="11"/>
        <x:v>142600</x:v>
      </x:c>
    </x:row>
    <x:row r="485">
      <x:c r="B485" s="63">
        <x:v>583</x:v>
      </x:c>
      <x:c r="C485" s="57">
        <x:f t="shared" si="8"/>
        <x:v>114100</x:v>
      </x:c>
      <x:c r="D485" s="25">
        <x:f t="shared" si="9"/>
        <x:v>125700</x:v>
      </x:c>
      <x:c r="E485" s="25">
        <x:f t="shared" si="10"/>
        <x:v>134400</x:v>
      </x:c>
      <x:c r="F485" s="58">
        <x:f t="shared" si="11"/>
        <x:v>142600</x:v>
      </x:c>
    </x:row>
    <x:row r="486">
      <x:c r="B486" s="63">
        <x:v>584</x:v>
      </x:c>
      <x:c r="C486" s="57">
        <x:f t="shared" si="8"/>
        <x:v>114100</x:v>
      </x:c>
      <x:c r="D486" s="25">
        <x:f t="shared" si="9"/>
        <x:v>125700</x:v>
      </x:c>
      <x:c r="E486" s="25">
        <x:f t="shared" si="10"/>
        <x:v>134400</x:v>
      </x:c>
      <x:c r="F486" s="58">
        <x:f t="shared" si="11"/>
        <x:v>142600</x:v>
      </x:c>
    </x:row>
    <x:row r="487">
      <x:c r="B487" s="63">
        <x:v>585</x:v>
      </x:c>
      <x:c r="C487" s="57">
        <x:f t="shared" si="8"/>
        <x:v>114100</x:v>
      </x:c>
      <x:c r="D487" s="25">
        <x:f t="shared" si="9"/>
        <x:v>125700</x:v>
      </x:c>
      <x:c r="E487" s="25">
        <x:f t="shared" si="10"/>
        <x:v>134400</x:v>
      </x:c>
      <x:c r="F487" s="58">
        <x:f t="shared" si="11"/>
        <x:v>142600</x:v>
      </x:c>
    </x:row>
    <x:row r="488">
      <x:c r="B488" s="63">
        <x:v>586</x:v>
      </x:c>
      <x:c r="C488" s="57">
        <x:f t="shared" si="8"/>
        <x:v>114100</x:v>
      </x:c>
      <x:c r="D488" s="25">
        <x:f t="shared" si="9"/>
        <x:v>125700</x:v>
      </x:c>
      <x:c r="E488" s="25">
        <x:f t="shared" si="10"/>
        <x:v>134400</x:v>
      </x:c>
      <x:c r="F488" s="58">
        <x:f t="shared" si="11"/>
        <x:v>142600</x:v>
      </x:c>
    </x:row>
    <x:row r="489">
      <x:c r="B489" s="63">
        <x:v>587</x:v>
      </x:c>
      <x:c r="C489" s="57">
        <x:f t="shared" si="8"/>
        <x:v>114100</x:v>
      </x:c>
      <x:c r="D489" s="25">
        <x:f t="shared" si="9"/>
        <x:v>125700</x:v>
      </x:c>
      <x:c r="E489" s="25">
        <x:f t="shared" si="10"/>
        <x:v>134400</x:v>
      </x:c>
      <x:c r="F489" s="58">
        <x:f t="shared" si="11"/>
        <x:v>142600</x:v>
      </x:c>
    </x:row>
    <x:row r="490">
      <x:c r="B490" s="63">
        <x:v>588</x:v>
      </x:c>
      <x:c r="C490" s="57">
        <x:f t="shared" si="8"/>
        <x:v>114100</x:v>
      </x:c>
      <x:c r="D490" s="25">
        <x:f t="shared" si="9"/>
        <x:v>125700</x:v>
      </x:c>
      <x:c r="E490" s="25">
        <x:f t="shared" si="10"/>
        <x:v>134400</x:v>
      </x:c>
      <x:c r="F490" s="58">
        <x:f t="shared" si="11"/>
        <x:v>142600</x:v>
      </x:c>
    </x:row>
    <x:row r="491">
      <x:c r="B491" s="63">
        <x:v>589</x:v>
      </x:c>
      <x:c r="C491" s="57">
        <x:f t="shared" si="8"/>
        <x:v>114100</x:v>
      </x:c>
      <x:c r="D491" s="25">
        <x:f t="shared" si="9"/>
        <x:v>125700</x:v>
      </x:c>
      <x:c r="E491" s="25">
        <x:f t="shared" si="10"/>
        <x:v>134400</x:v>
      </x:c>
      <x:c r="F491" s="58">
        <x:f t="shared" si="11"/>
        <x:v>142600</x:v>
      </x:c>
    </x:row>
    <x:row r="492">
      <x:c r="B492" s="63">
        <x:v>590</x:v>
      </x:c>
      <x:c r="C492" s="57">
        <x:f t="shared" si="8"/>
        <x:v>114100</x:v>
      </x:c>
      <x:c r="D492" s="25">
        <x:f t="shared" si="9"/>
        <x:v>125700</x:v>
      </x:c>
      <x:c r="E492" s="25">
        <x:f t="shared" si="10"/>
        <x:v>134400</x:v>
      </x:c>
      <x:c r="F492" s="58">
        <x:f t="shared" si="11"/>
        <x:v>142600</x:v>
      </x:c>
    </x:row>
    <x:row r="493">
      <x:c r="B493" s="63">
        <x:v>591</x:v>
      </x:c>
      <x:c r="C493" s="57">
        <x:f t="shared" si="8"/>
        <x:v>114100</x:v>
      </x:c>
      <x:c r="D493" s="25">
        <x:f t="shared" si="9"/>
        <x:v>125700</x:v>
      </x:c>
      <x:c r="E493" s="25">
        <x:f t="shared" si="10"/>
        <x:v>134400</x:v>
      </x:c>
      <x:c r="F493" s="58">
        <x:f t="shared" si="11"/>
        <x:v>142600</x:v>
      </x:c>
    </x:row>
    <x:row r="494">
      <x:c r="B494" s="63">
        <x:v>592</x:v>
      </x:c>
      <x:c r="C494" s="57">
        <x:f t="shared" si="8"/>
        <x:v>114100</x:v>
      </x:c>
      <x:c r="D494" s="25">
        <x:f t="shared" si="9"/>
        <x:v>125700</x:v>
      </x:c>
      <x:c r="E494" s="25">
        <x:f t="shared" si="10"/>
        <x:v>134400</x:v>
      </x:c>
      <x:c r="F494" s="58">
        <x:f t="shared" si="11"/>
        <x:v>142600</x:v>
      </x:c>
    </x:row>
    <x:row r="495">
      <x:c r="B495" s="63">
        <x:v>593</x:v>
      </x:c>
      <x:c r="C495" s="57">
        <x:f t="shared" si="8"/>
        <x:v>114100</x:v>
      </x:c>
      <x:c r="D495" s="25">
        <x:f t="shared" si="9"/>
        <x:v>125700</x:v>
      </x:c>
      <x:c r="E495" s="25">
        <x:f t="shared" si="10"/>
        <x:v>134400</x:v>
      </x:c>
      <x:c r="F495" s="58">
        <x:f t="shared" si="11"/>
        <x:v>142600</x:v>
      </x:c>
    </x:row>
    <x:row r="496">
      <x:c r="B496" s="63">
        <x:v>594</x:v>
      </x:c>
      <x:c r="C496" s="57">
        <x:f t="shared" si="8"/>
        <x:v>114100</x:v>
      </x:c>
      <x:c r="D496" s="25">
        <x:f t="shared" si="9"/>
        <x:v>125700</x:v>
      </x:c>
      <x:c r="E496" s="25">
        <x:f t="shared" si="10"/>
        <x:v>134400</x:v>
      </x:c>
      <x:c r="F496" s="58">
        <x:f t="shared" si="11"/>
        <x:v>142600</x:v>
      </x:c>
    </x:row>
    <x:row r="497">
      <x:c r="B497" s="63">
        <x:v>595</x:v>
      </x:c>
      <x:c r="C497" s="57">
        <x:f t="shared" si="8"/>
        <x:v>114100</x:v>
      </x:c>
      <x:c r="D497" s="25">
        <x:f t="shared" si="9"/>
        <x:v>125700</x:v>
      </x:c>
      <x:c r="E497" s="25">
        <x:f t="shared" si="10"/>
        <x:v>134400</x:v>
      </x:c>
      <x:c r="F497" s="58">
        <x:f t="shared" si="11"/>
        <x:v>142600</x:v>
      </x:c>
    </x:row>
    <x:row r="498">
      <x:c r="B498" s="63">
        <x:v>596</x:v>
      </x:c>
      <x:c r="C498" s="57">
        <x:f t="shared" si="8"/>
        <x:v>114100</x:v>
      </x:c>
      <x:c r="D498" s="25">
        <x:f t="shared" si="9"/>
        <x:v>125700</x:v>
      </x:c>
      <x:c r="E498" s="25">
        <x:f t="shared" si="10"/>
        <x:v>134400</x:v>
      </x:c>
      <x:c r="F498" s="58">
        <x:f t="shared" si="11"/>
        <x:v>142600</x:v>
      </x:c>
    </x:row>
    <x:row r="499">
      <x:c r="B499" s="63">
        <x:v>597</x:v>
      </x:c>
      <x:c r="C499" s="57">
        <x:f t="shared" si="8"/>
        <x:v>114100</x:v>
      </x:c>
      <x:c r="D499" s="25">
        <x:f t="shared" si="9"/>
        <x:v>125700</x:v>
      </x:c>
      <x:c r="E499" s="25">
        <x:f t="shared" si="10"/>
        <x:v>134400</x:v>
      </x:c>
      <x:c r="F499" s="58">
        <x:f t="shared" si="11"/>
        <x:v>142600</x:v>
      </x:c>
    </x:row>
    <x:row r="500">
      <x:c r="B500" s="63">
        <x:v>598</x:v>
      </x:c>
      <x:c r="C500" s="57">
        <x:f t="shared" si="8"/>
        <x:v>114100</x:v>
      </x:c>
      <x:c r="D500" s="25">
        <x:f t="shared" si="9"/>
        <x:v>125700</x:v>
      </x:c>
      <x:c r="E500" s="25">
        <x:f t="shared" si="10"/>
        <x:v>134400</x:v>
      </x:c>
      <x:c r="F500" s="58">
        <x:f t="shared" si="11"/>
        <x:v>142600</x:v>
      </x:c>
    </x:row>
    <x:row r="501">
      <x:c r="B501" s="63">
        <x:v>599</x:v>
      </x:c>
      <x:c r="C501" s="57">
        <x:f t="shared" si="8"/>
        <x:v>114100</x:v>
      </x:c>
      <x:c r="D501" s="25">
        <x:f t="shared" si="9"/>
        <x:v>125700</x:v>
      </x:c>
      <x:c r="E501" s="25">
        <x:f t="shared" si="10"/>
        <x:v>134400</x:v>
      </x:c>
      <x:c r="F501" s="58">
        <x:f t="shared" si="11"/>
        <x:v>142600</x:v>
      </x:c>
    </x:row>
    <x:row r="502">
      <x:c r="B502" s="63">
        <x:v>600</x:v>
      </x:c>
      <x:c r="C502" s="57">
        <x:f t="shared" si="8"/>
        <x:v>114100</x:v>
      </x:c>
      <x:c r="D502" s="25">
        <x:f t="shared" si="9"/>
        <x:v>125700</x:v>
      </x:c>
      <x:c r="E502" s="25">
        <x:f t="shared" si="10"/>
        <x:v>134400</x:v>
      </x:c>
      <x:c r="F502" s="58">
        <x:f t="shared" si="11"/>
        <x:v>142600</x:v>
      </x:c>
    </x:row>
    <x:row r="503">
      <x:c r="B503" s="63">
        <x:v>601</x:v>
      </x:c>
      <x:c r="C503" s="57" t="n">
        <x:f>$C$402+$J$5</x:f>
        <x:v>121400</x:v>
      </x:c>
      <x:c r="D503" s="25" t="n">
        <x:f>$D$402+$K$5</x:f>
        <x:v>133800</x:v>
      </x:c>
      <x:c r="E503" s="25" t="n">
        <x:f>$E$402+$L$5</x:f>
        <x:v>143100</x:v>
      </x:c>
      <x:c r="F503" s="58" t="n">
        <x:f>$F$402+$M$5</x:f>
        <x:v>151900</x:v>
      </x:c>
    </x:row>
    <x:row r="504">
      <x:c r="B504" s="63">
        <x:v>602</x:v>
      </x:c>
      <x:c r="C504" s="57" t="n">
        <x:f t="shared" ref="C504:C552" si="12">$C$402+$J$5</x:f>
        <x:v>121400</x:v>
      </x:c>
      <x:c r="D504" s="25" t="n">
        <x:f t="shared" ref="D504:D552" si="13">$D$402+$K$5</x:f>
        <x:v>133800</x:v>
      </x:c>
      <x:c r="E504" s="25" t="n">
        <x:f t="shared" ref="E504:E552" si="14">$E$402+$L$5</x:f>
        <x:v>143100</x:v>
      </x:c>
      <x:c r="F504" s="58" t="n">
        <x:f t="shared" ref="F504:F552" si="15">$F$402+$M$5</x:f>
        <x:v>151900</x:v>
      </x:c>
    </x:row>
    <x:row r="505">
      <x:c r="B505" s="63">
        <x:v>603</x:v>
      </x:c>
      <x:c r="C505" s="57">
        <x:f t="shared" si="12"/>
        <x:v>121400</x:v>
      </x:c>
      <x:c r="D505" s="25">
        <x:f t="shared" si="13"/>
        <x:v>133800</x:v>
      </x:c>
      <x:c r="E505" s="25">
        <x:f t="shared" si="14"/>
        <x:v>143100</x:v>
      </x:c>
      <x:c r="F505" s="58">
        <x:f t="shared" si="15"/>
        <x:v>151900</x:v>
      </x:c>
    </x:row>
    <x:row r="506">
      <x:c r="B506" s="63">
        <x:v>604</x:v>
      </x:c>
      <x:c r="C506" s="57">
        <x:f t="shared" si="12"/>
        <x:v>121400</x:v>
      </x:c>
      <x:c r="D506" s="25">
        <x:f t="shared" si="13"/>
        <x:v>133800</x:v>
      </x:c>
      <x:c r="E506" s="25">
        <x:f t="shared" si="14"/>
        <x:v>143100</x:v>
      </x:c>
      <x:c r="F506" s="58">
        <x:f t="shared" si="15"/>
        <x:v>151900</x:v>
      </x:c>
    </x:row>
    <x:row r="507">
      <x:c r="B507" s="63">
        <x:v>605</x:v>
      </x:c>
      <x:c r="C507" s="57">
        <x:f t="shared" si="12"/>
        <x:v>121400</x:v>
      </x:c>
      <x:c r="D507" s="25">
        <x:f t="shared" si="13"/>
        <x:v>133800</x:v>
      </x:c>
      <x:c r="E507" s="25">
        <x:f t="shared" si="14"/>
        <x:v>143100</x:v>
      </x:c>
      <x:c r="F507" s="58">
        <x:f t="shared" si="15"/>
        <x:v>151900</x:v>
      </x:c>
    </x:row>
    <x:row r="508">
      <x:c r="B508" s="63">
        <x:v>606</x:v>
      </x:c>
      <x:c r="C508" s="57">
        <x:f t="shared" si="12"/>
        <x:v>121400</x:v>
      </x:c>
      <x:c r="D508" s="25">
        <x:f t="shared" si="13"/>
        <x:v>133800</x:v>
      </x:c>
      <x:c r="E508" s="25">
        <x:f t="shared" si="14"/>
        <x:v>143100</x:v>
      </x:c>
      <x:c r="F508" s="58">
        <x:f t="shared" si="15"/>
        <x:v>151900</x:v>
      </x:c>
    </x:row>
    <x:row r="509">
      <x:c r="B509" s="63">
        <x:v>607</x:v>
      </x:c>
      <x:c r="C509" s="57">
        <x:f t="shared" si="12"/>
        <x:v>121400</x:v>
      </x:c>
      <x:c r="D509" s="25">
        <x:f t="shared" si="13"/>
        <x:v>133800</x:v>
      </x:c>
      <x:c r="E509" s="25">
        <x:f t="shared" si="14"/>
        <x:v>143100</x:v>
      </x:c>
      <x:c r="F509" s="58">
        <x:f t="shared" si="15"/>
        <x:v>151900</x:v>
      </x:c>
    </x:row>
    <x:row r="510">
      <x:c r="B510" s="63">
        <x:v>608</x:v>
      </x:c>
      <x:c r="C510" s="57">
        <x:f t="shared" si="12"/>
        <x:v>121400</x:v>
      </x:c>
      <x:c r="D510" s="25">
        <x:f t="shared" si="13"/>
        <x:v>133800</x:v>
      </x:c>
      <x:c r="E510" s="25">
        <x:f t="shared" si="14"/>
        <x:v>143100</x:v>
      </x:c>
      <x:c r="F510" s="58">
        <x:f t="shared" si="15"/>
        <x:v>151900</x:v>
      </x:c>
    </x:row>
    <x:row r="511">
      <x:c r="B511" s="63">
        <x:v>609</x:v>
      </x:c>
      <x:c r="C511" s="57">
        <x:f t="shared" si="12"/>
        <x:v>121400</x:v>
      </x:c>
      <x:c r="D511" s="25">
        <x:f t="shared" si="13"/>
        <x:v>133800</x:v>
      </x:c>
      <x:c r="E511" s="25">
        <x:f t="shared" si="14"/>
        <x:v>143100</x:v>
      </x:c>
      <x:c r="F511" s="58">
        <x:f t="shared" si="15"/>
        <x:v>151900</x:v>
      </x:c>
    </x:row>
    <x:row r="512">
      <x:c r="B512" s="63">
        <x:v>610</x:v>
      </x:c>
      <x:c r="C512" s="57">
        <x:f t="shared" si="12"/>
        <x:v>121400</x:v>
      </x:c>
      <x:c r="D512" s="25">
        <x:f t="shared" si="13"/>
        <x:v>133800</x:v>
      </x:c>
      <x:c r="E512" s="25">
        <x:f t="shared" si="14"/>
        <x:v>143100</x:v>
      </x:c>
      <x:c r="F512" s="58">
        <x:f t="shared" si="15"/>
        <x:v>151900</x:v>
      </x:c>
    </x:row>
    <x:row r="513">
      <x:c r="B513" s="63">
        <x:v>611</x:v>
      </x:c>
      <x:c r="C513" s="57">
        <x:f t="shared" si="12"/>
        <x:v>121400</x:v>
      </x:c>
      <x:c r="D513" s="25">
        <x:f t="shared" si="13"/>
        <x:v>133800</x:v>
      </x:c>
      <x:c r="E513" s="25">
        <x:f t="shared" si="14"/>
        <x:v>143100</x:v>
      </x:c>
      <x:c r="F513" s="58">
        <x:f t="shared" si="15"/>
        <x:v>151900</x:v>
      </x:c>
    </x:row>
    <x:row r="514">
      <x:c r="B514" s="63">
        <x:v>612</x:v>
      </x:c>
      <x:c r="C514" s="57">
        <x:f t="shared" si="12"/>
        <x:v>121400</x:v>
      </x:c>
      <x:c r="D514" s="25">
        <x:f t="shared" si="13"/>
        <x:v>133800</x:v>
      </x:c>
      <x:c r="E514" s="25">
        <x:f t="shared" si="14"/>
        <x:v>143100</x:v>
      </x:c>
      <x:c r="F514" s="58">
        <x:f t="shared" si="15"/>
        <x:v>151900</x:v>
      </x:c>
    </x:row>
    <x:row r="515">
      <x:c r="B515" s="63">
        <x:v>613</x:v>
      </x:c>
      <x:c r="C515" s="57">
        <x:f t="shared" si="12"/>
        <x:v>121400</x:v>
      </x:c>
      <x:c r="D515" s="25">
        <x:f t="shared" si="13"/>
        <x:v>133800</x:v>
      </x:c>
      <x:c r="E515" s="25">
        <x:f t="shared" si="14"/>
        <x:v>143100</x:v>
      </x:c>
      <x:c r="F515" s="58">
        <x:f t="shared" si="15"/>
        <x:v>151900</x:v>
      </x:c>
    </x:row>
    <x:row r="516">
      <x:c r="B516" s="63">
        <x:v>614</x:v>
      </x:c>
      <x:c r="C516" s="57">
        <x:f t="shared" si="12"/>
        <x:v>121400</x:v>
      </x:c>
      <x:c r="D516" s="25">
        <x:f t="shared" si="13"/>
        <x:v>133800</x:v>
      </x:c>
      <x:c r="E516" s="25">
        <x:f t="shared" si="14"/>
        <x:v>143100</x:v>
      </x:c>
      <x:c r="F516" s="58">
        <x:f t="shared" si="15"/>
        <x:v>151900</x:v>
      </x:c>
    </x:row>
    <x:row r="517">
      <x:c r="B517" s="63">
        <x:v>615</x:v>
      </x:c>
      <x:c r="C517" s="57">
        <x:f t="shared" si="12"/>
        <x:v>121400</x:v>
      </x:c>
      <x:c r="D517" s="25">
        <x:f t="shared" si="13"/>
        <x:v>133800</x:v>
      </x:c>
      <x:c r="E517" s="25">
        <x:f t="shared" si="14"/>
        <x:v>143100</x:v>
      </x:c>
      <x:c r="F517" s="58">
        <x:f t="shared" si="15"/>
        <x:v>151900</x:v>
      </x:c>
    </x:row>
    <x:row r="518">
      <x:c r="B518" s="63">
        <x:v>616</x:v>
      </x:c>
      <x:c r="C518" s="57">
        <x:f t="shared" si="12"/>
        <x:v>121400</x:v>
      </x:c>
      <x:c r="D518" s="25">
        <x:f t="shared" si="13"/>
        <x:v>133800</x:v>
      </x:c>
      <x:c r="E518" s="25">
        <x:f t="shared" si="14"/>
        <x:v>143100</x:v>
      </x:c>
      <x:c r="F518" s="58">
        <x:f t="shared" si="15"/>
        <x:v>151900</x:v>
      </x:c>
    </x:row>
    <x:row r="519">
      <x:c r="B519" s="63">
        <x:v>617</x:v>
      </x:c>
      <x:c r="C519" s="57">
        <x:f t="shared" si="12"/>
        <x:v>121400</x:v>
      </x:c>
      <x:c r="D519" s="25">
        <x:f t="shared" si="13"/>
        <x:v>133800</x:v>
      </x:c>
      <x:c r="E519" s="25">
        <x:f t="shared" si="14"/>
        <x:v>143100</x:v>
      </x:c>
      <x:c r="F519" s="58">
        <x:f t="shared" si="15"/>
        <x:v>151900</x:v>
      </x:c>
    </x:row>
    <x:row r="520">
      <x:c r="B520" s="63">
        <x:v>618</x:v>
      </x:c>
      <x:c r="C520" s="57">
        <x:f t="shared" si="12"/>
        <x:v>121400</x:v>
      </x:c>
      <x:c r="D520" s="25">
        <x:f t="shared" si="13"/>
        <x:v>133800</x:v>
      </x:c>
      <x:c r="E520" s="25">
        <x:f t="shared" si="14"/>
        <x:v>143100</x:v>
      </x:c>
      <x:c r="F520" s="58">
        <x:f t="shared" si="15"/>
        <x:v>151900</x:v>
      </x:c>
    </x:row>
    <x:row r="521">
      <x:c r="B521" s="63">
        <x:v>619</x:v>
      </x:c>
      <x:c r="C521" s="57">
        <x:f t="shared" si="12"/>
        <x:v>121400</x:v>
      </x:c>
      <x:c r="D521" s="25">
        <x:f t="shared" si="13"/>
        <x:v>133800</x:v>
      </x:c>
      <x:c r="E521" s="25">
        <x:f t="shared" si="14"/>
        <x:v>143100</x:v>
      </x:c>
      <x:c r="F521" s="58">
        <x:f t="shared" si="15"/>
        <x:v>151900</x:v>
      </x:c>
    </x:row>
    <x:row r="522">
      <x:c r="B522" s="63">
        <x:v>620</x:v>
      </x:c>
      <x:c r="C522" s="57">
        <x:f t="shared" si="12"/>
        <x:v>121400</x:v>
      </x:c>
      <x:c r="D522" s="25">
        <x:f t="shared" si="13"/>
        <x:v>133800</x:v>
      </x:c>
      <x:c r="E522" s="25">
        <x:f t="shared" si="14"/>
        <x:v>143100</x:v>
      </x:c>
      <x:c r="F522" s="58">
        <x:f t="shared" si="15"/>
        <x:v>151900</x:v>
      </x:c>
    </x:row>
    <x:row r="523">
      <x:c r="B523" s="63">
        <x:v>621</x:v>
      </x:c>
      <x:c r="C523" s="57">
        <x:f t="shared" si="12"/>
        <x:v>121400</x:v>
      </x:c>
      <x:c r="D523" s="25">
        <x:f t="shared" si="13"/>
        <x:v>133800</x:v>
      </x:c>
      <x:c r="E523" s="25">
        <x:f t="shared" si="14"/>
        <x:v>143100</x:v>
      </x:c>
      <x:c r="F523" s="58">
        <x:f t="shared" si="15"/>
        <x:v>151900</x:v>
      </x:c>
    </x:row>
    <x:row r="524">
      <x:c r="B524" s="63">
        <x:v>622</x:v>
      </x:c>
      <x:c r="C524" s="57">
        <x:f t="shared" si="12"/>
        <x:v>121400</x:v>
      </x:c>
      <x:c r="D524" s="25">
        <x:f t="shared" si="13"/>
        <x:v>133800</x:v>
      </x:c>
      <x:c r="E524" s="25">
        <x:f t="shared" si="14"/>
        <x:v>143100</x:v>
      </x:c>
      <x:c r="F524" s="58">
        <x:f t="shared" si="15"/>
        <x:v>151900</x:v>
      </x:c>
    </x:row>
    <x:row r="525">
      <x:c r="B525" s="63">
        <x:v>623</x:v>
      </x:c>
      <x:c r="C525" s="57">
        <x:f t="shared" si="12"/>
        <x:v>121400</x:v>
      </x:c>
      <x:c r="D525" s="25">
        <x:f t="shared" si="13"/>
        <x:v>133800</x:v>
      </x:c>
      <x:c r="E525" s="25">
        <x:f t="shared" si="14"/>
        <x:v>143100</x:v>
      </x:c>
      <x:c r="F525" s="58">
        <x:f t="shared" si="15"/>
        <x:v>151900</x:v>
      </x:c>
    </x:row>
    <x:row r="526">
      <x:c r="B526" s="63">
        <x:v>624</x:v>
      </x:c>
      <x:c r="C526" s="57">
        <x:f t="shared" si="12"/>
        <x:v>121400</x:v>
      </x:c>
      <x:c r="D526" s="25">
        <x:f t="shared" si="13"/>
        <x:v>133800</x:v>
      </x:c>
      <x:c r="E526" s="25">
        <x:f t="shared" si="14"/>
        <x:v>143100</x:v>
      </x:c>
      <x:c r="F526" s="58">
        <x:f t="shared" si="15"/>
        <x:v>151900</x:v>
      </x:c>
    </x:row>
    <x:row r="527">
      <x:c r="B527" s="63">
        <x:v>625</x:v>
      </x:c>
      <x:c r="C527" s="57">
        <x:f t="shared" si="12"/>
        <x:v>121400</x:v>
      </x:c>
      <x:c r="D527" s="25">
        <x:f t="shared" si="13"/>
        <x:v>133800</x:v>
      </x:c>
      <x:c r="E527" s="25">
        <x:f t="shared" si="14"/>
        <x:v>143100</x:v>
      </x:c>
      <x:c r="F527" s="58">
        <x:f t="shared" si="15"/>
        <x:v>151900</x:v>
      </x:c>
    </x:row>
    <x:row r="528">
      <x:c r="B528" s="63">
        <x:v>626</x:v>
      </x:c>
      <x:c r="C528" s="57">
        <x:f t="shared" si="12"/>
        <x:v>121400</x:v>
      </x:c>
      <x:c r="D528" s="25">
        <x:f t="shared" si="13"/>
        <x:v>133800</x:v>
      </x:c>
      <x:c r="E528" s="25">
        <x:f t="shared" si="14"/>
        <x:v>143100</x:v>
      </x:c>
      <x:c r="F528" s="58">
        <x:f t="shared" si="15"/>
        <x:v>151900</x:v>
      </x:c>
    </x:row>
    <x:row r="529">
      <x:c r="B529" s="63">
        <x:v>627</x:v>
      </x:c>
      <x:c r="C529" s="57">
        <x:f t="shared" si="12"/>
        <x:v>121400</x:v>
      </x:c>
      <x:c r="D529" s="25">
        <x:f t="shared" si="13"/>
        <x:v>133800</x:v>
      </x:c>
      <x:c r="E529" s="25">
        <x:f t="shared" si="14"/>
        <x:v>143100</x:v>
      </x:c>
      <x:c r="F529" s="58">
        <x:f t="shared" si="15"/>
        <x:v>151900</x:v>
      </x:c>
    </x:row>
    <x:row r="530">
      <x:c r="B530" s="63">
        <x:v>628</x:v>
      </x:c>
      <x:c r="C530" s="57">
        <x:f t="shared" si="12"/>
        <x:v>121400</x:v>
      </x:c>
      <x:c r="D530" s="25">
        <x:f t="shared" si="13"/>
        <x:v>133800</x:v>
      </x:c>
      <x:c r="E530" s="25">
        <x:f t="shared" si="14"/>
        <x:v>143100</x:v>
      </x:c>
      <x:c r="F530" s="58">
        <x:f t="shared" si="15"/>
        <x:v>151900</x:v>
      </x:c>
    </x:row>
    <x:row r="531">
      <x:c r="B531" s="63">
        <x:v>629</x:v>
      </x:c>
      <x:c r="C531" s="57">
        <x:f t="shared" si="12"/>
        <x:v>121400</x:v>
      </x:c>
      <x:c r="D531" s="25">
        <x:f t="shared" si="13"/>
        <x:v>133800</x:v>
      </x:c>
      <x:c r="E531" s="25">
        <x:f t="shared" si="14"/>
        <x:v>143100</x:v>
      </x:c>
      <x:c r="F531" s="58">
        <x:f t="shared" si="15"/>
        <x:v>151900</x:v>
      </x:c>
    </x:row>
    <x:row r="532">
      <x:c r="B532" s="63">
        <x:v>630</x:v>
      </x:c>
      <x:c r="C532" s="57">
        <x:f t="shared" si="12"/>
        <x:v>121400</x:v>
      </x:c>
      <x:c r="D532" s="25">
        <x:f t="shared" si="13"/>
        <x:v>133800</x:v>
      </x:c>
      <x:c r="E532" s="25">
        <x:f t="shared" si="14"/>
        <x:v>143100</x:v>
      </x:c>
      <x:c r="F532" s="58">
        <x:f t="shared" si="15"/>
        <x:v>151900</x:v>
      </x:c>
    </x:row>
    <x:row r="533">
      <x:c r="B533" s="63">
        <x:v>631</x:v>
      </x:c>
      <x:c r="C533" s="57">
        <x:f t="shared" si="12"/>
        <x:v>121400</x:v>
      </x:c>
      <x:c r="D533" s="25">
        <x:f t="shared" si="13"/>
        <x:v>133800</x:v>
      </x:c>
      <x:c r="E533" s="25">
        <x:f t="shared" si="14"/>
        <x:v>143100</x:v>
      </x:c>
      <x:c r="F533" s="58">
        <x:f t="shared" si="15"/>
        <x:v>151900</x:v>
      </x:c>
    </x:row>
    <x:row r="534">
      <x:c r="B534" s="63">
        <x:v>632</x:v>
      </x:c>
      <x:c r="C534" s="57">
        <x:f t="shared" si="12"/>
        <x:v>121400</x:v>
      </x:c>
      <x:c r="D534" s="25">
        <x:f t="shared" si="13"/>
        <x:v>133800</x:v>
      </x:c>
      <x:c r="E534" s="25">
        <x:f t="shared" si="14"/>
        <x:v>143100</x:v>
      </x:c>
      <x:c r="F534" s="58">
        <x:f t="shared" si="15"/>
        <x:v>151900</x:v>
      </x:c>
    </x:row>
    <x:row r="535">
      <x:c r="B535" s="63">
        <x:v>633</x:v>
      </x:c>
      <x:c r="C535" s="57">
        <x:f t="shared" si="12"/>
        <x:v>121400</x:v>
      </x:c>
      <x:c r="D535" s="25">
        <x:f t="shared" si="13"/>
        <x:v>133800</x:v>
      </x:c>
      <x:c r="E535" s="25">
        <x:f t="shared" si="14"/>
        <x:v>143100</x:v>
      </x:c>
      <x:c r="F535" s="58">
        <x:f t="shared" si="15"/>
        <x:v>151900</x:v>
      </x:c>
    </x:row>
    <x:row r="536">
      <x:c r="B536" s="63">
        <x:v>634</x:v>
      </x:c>
      <x:c r="C536" s="57">
        <x:f t="shared" si="12"/>
        <x:v>121400</x:v>
      </x:c>
      <x:c r="D536" s="25">
        <x:f t="shared" si="13"/>
        <x:v>133800</x:v>
      </x:c>
      <x:c r="E536" s="25">
        <x:f t="shared" si="14"/>
        <x:v>143100</x:v>
      </x:c>
      <x:c r="F536" s="58">
        <x:f t="shared" si="15"/>
        <x:v>151900</x:v>
      </x:c>
    </x:row>
    <x:row r="537">
      <x:c r="B537" s="63">
        <x:v>635</x:v>
      </x:c>
      <x:c r="C537" s="57">
        <x:f t="shared" si="12"/>
        <x:v>121400</x:v>
      </x:c>
      <x:c r="D537" s="25">
        <x:f t="shared" si="13"/>
        <x:v>133800</x:v>
      </x:c>
      <x:c r="E537" s="25">
        <x:f t="shared" si="14"/>
        <x:v>143100</x:v>
      </x:c>
      <x:c r="F537" s="58">
        <x:f t="shared" si="15"/>
        <x:v>151900</x:v>
      </x:c>
    </x:row>
    <x:row r="538">
      <x:c r="B538" s="63">
        <x:v>636</x:v>
      </x:c>
      <x:c r="C538" s="57">
        <x:f t="shared" si="12"/>
        <x:v>121400</x:v>
      </x:c>
      <x:c r="D538" s="25">
        <x:f t="shared" si="13"/>
        <x:v>133800</x:v>
      </x:c>
      <x:c r="E538" s="25">
        <x:f t="shared" si="14"/>
        <x:v>143100</x:v>
      </x:c>
      <x:c r="F538" s="58">
        <x:f t="shared" si="15"/>
        <x:v>151900</x:v>
      </x:c>
    </x:row>
    <x:row r="539">
      <x:c r="B539" s="63">
        <x:v>637</x:v>
      </x:c>
      <x:c r="C539" s="57">
        <x:f t="shared" si="12"/>
        <x:v>121400</x:v>
      </x:c>
      <x:c r="D539" s="25">
        <x:f t="shared" si="13"/>
        <x:v>133800</x:v>
      </x:c>
      <x:c r="E539" s="25">
        <x:f t="shared" si="14"/>
        <x:v>143100</x:v>
      </x:c>
      <x:c r="F539" s="58">
        <x:f t="shared" si="15"/>
        <x:v>151900</x:v>
      </x:c>
    </x:row>
    <x:row r="540">
      <x:c r="B540" s="63">
        <x:v>638</x:v>
      </x:c>
      <x:c r="C540" s="57">
        <x:f t="shared" si="12"/>
        <x:v>121400</x:v>
      </x:c>
      <x:c r="D540" s="25">
        <x:f t="shared" si="13"/>
        <x:v>133800</x:v>
      </x:c>
      <x:c r="E540" s="25">
        <x:f t="shared" si="14"/>
        <x:v>143100</x:v>
      </x:c>
      <x:c r="F540" s="58">
        <x:f t="shared" si="15"/>
        <x:v>151900</x:v>
      </x:c>
    </x:row>
    <x:row r="541">
      <x:c r="B541" s="63">
        <x:v>639</x:v>
      </x:c>
      <x:c r="C541" s="57">
        <x:f t="shared" si="12"/>
        <x:v>121400</x:v>
      </x:c>
      <x:c r="D541" s="25">
        <x:f t="shared" si="13"/>
        <x:v>133800</x:v>
      </x:c>
      <x:c r="E541" s="25">
        <x:f t="shared" si="14"/>
        <x:v>143100</x:v>
      </x:c>
      <x:c r="F541" s="58">
        <x:f t="shared" si="15"/>
        <x:v>151900</x:v>
      </x:c>
    </x:row>
    <x:row r="542">
      <x:c r="B542" s="63">
        <x:v>640</x:v>
      </x:c>
      <x:c r="C542" s="57">
        <x:f t="shared" si="12"/>
        <x:v>121400</x:v>
      </x:c>
      <x:c r="D542" s="25">
        <x:f t="shared" si="13"/>
        <x:v>133800</x:v>
      </x:c>
      <x:c r="E542" s="25">
        <x:f t="shared" si="14"/>
        <x:v>143100</x:v>
      </x:c>
      <x:c r="F542" s="58">
        <x:f t="shared" si="15"/>
        <x:v>151900</x:v>
      </x:c>
    </x:row>
    <x:row r="543">
      <x:c r="B543" s="63">
        <x:v>641</x:v>
      </x:c>
      <x:c r="C543" s="57">
        <x:f t="shared" si="12"/>
        <x:v>121400</x:v>
      </x:c>
      <x:c r="D543" s="25">
        <x:f t="shared" si="13"/>
        <x:v>133800</x:v>
      </x:c>
      <x:c r="E543" s="25">
        <x:f t="shared" si="14"/>
        <x:v>143100</x:v>
      </x:c>
      <x:c r="F543" s="58">
        <x:f t="shared" si="15"/>
        <x:v>151900</x:v>
      </x:c>
    </x:row>
    <x:row r="544">
      <x:c r="B544" s="63">
        <x:v>642</x:v>
      </x:c>
      <x:c r="C544" s="57">
        <x:f t="shared" si="12"/>
        <x:v>121400</x:v>
      </x:c>
      <x:c r="D544" s="25">
        <x:f t="shared" si="13"/>
        <x:v>133800</x:v>
      </x:c>
      <x:c r="E544" s="25">
        <x:f t="shared" si="14"/>
        <x:v>143100</x:v>
      </x:c>
      <x:c r="F544" s="58">
        <x:f t="shared" si="15"/>
        <x:v>151900</x:v>
      </x:c>
    </x:row>
    <x:row r="545">
      <x:c r="B545" s="63">
        <x:v>643</x:v>
      </x:c>
      <x:c r="C545" s="57">
        <x:f t="shared" si="12"/>
        <x:v>121400</x:v>
      </x:c>
      <x:c r="D545" s="25">
        <x:f t="shared" si="13"/>
        <x:v>133800</x:v>
      </x:c>
      <x:c r="E545" s="25">
        <x:f t="shared" si="14"/>
        <x:v>143100</x:v>
      </x:c>
      <x:c r="F545" s="58">
        <x:f t="shared" si="15"/>
        <x:v>151900</x:v>
      </x:c>
    </x:row>
    <x:row r="546">
      <x:c r="B546" s="63">
        <x:v>644</x:v>
      </x:c>
      <x:c r="C546" s="57">
        <x:f t="shared" si="12"/>
        <x:v>121400</x:v>
      </x:c>
      <x:c r="D546" s="25">
        <x:f t="shared" si="13"/>
        <x:v>133800</x:v>
      </x:c>
      <x:c r="E546" s="25">
        <x:f t="shared" si="14"/>
        <x:v>143100</x:v>
      </x:c>
      <x:c r="F546" s="58">
        <x:f t="shared" si="15"/>
        <x:v>151900</x:v>
      </x:c>
    </x:row>
    <x:row r="547">
      <x:c r="B547" s="63">
        <x:v>645</x:v>
      </x:c>
      <x:c r="C547" s="57">
        <x:f t="shared" si="12"/>
        <x:v>121400</x:v>
      </x:c>
      <x:c r="D547" s="25">
        <x:f t="shared" si="13"/>
        <x:v>133800</x:v>
      </x:c>
      <x:c r="E547" s="25">
        <x:f t="shared" si="14"/>
        <x:v>143100</x:v>
      </x:c>
      <x:c r="F547" s="58">
        <x:f t="shared" si="15"/>
        <x:v>151900</x:v>
      </x:c>
    </x:row>
    <x:row r="548">
      <x:c r="B548" s="63">
        <x:v>646</x:v>
      </x:c>
      <x:c r="C548" s="57">
        <x:f t="shared" si="12"/>
        <x:v>121400</x:v>
      </x:c>
      <x:c r="D548" s="25">
        <x:f t="shared" si="13"/>
        <x:v>133800</x:v>
      </x:c>
      <x:c r="E548" s="25">
        <x:f t="shared" si="14"/>
        <x:v>143100</x:v>
      </x:c>
      <x:c r="F548" s="58">
        <x:f t="shared" si="15"/>
        <x:v>151900</x:v>
      </x:c>
    </x:row>
    <x:row r="549">
      <x:c r="B549" s="63">
        <x:v>647</x:v>
      </x:c>
      <x:c r="C549" s="57">
        <x:f t="shared" si="12"/>
        <x:v>121400</x:v>
      </x:c>
      <x:c r="D549" s="25">
        <x:f t="shared" si="13"/>
        <x:v>133800</x:v>
      </x:c>
      <x:c r="E549" s="25">
        <x:f t="shared" si="14"/>
        <x:v>143100</x:v>
      </x:c>
      <x:c r="F549" s="58">
        <x:f t="shared" si="15"/>
        <x:v>151900</x:v>
      </x:c>
    </x:row>
    <x:row r="550">
      <x:c r="B550" s="63">
        <x:v>648</x:v>
      </x:c>
      <x:c r="C550" s="57">
        <x:f t="shared" si="12"/>
        <x:v>121400</x:v>
      </x:c>
      <x:c r="D550" s="25">
        <x:f t="shared" si="13"/>
        <x:v>133800</x:v>
      </x:c>
      <x:c r="E550" s="25">
        <x:f t="shared" si="14"/>
        <x:v>143100</x:v>
      </x:c>
      <x:c r="F550" s="58">
        <x:f t="shared" si="15"/>
        <x:v>151900</x:v>
      </x:c>
    </x:row>
    <x:row r="551">
      <x:c r="B551" s="63">
        <x:v>649</x:v>
      </x:c>
      <x:c r="C551" s="57">
        <x:f t="shared" si="12"/>
        <x:v>121400</x:v>
      </x:c>
      <x:c r="D551" s="25">
        <x:f t="shared" si="13"/>
        <x:v>133800</x:v>
      </x:c>
      <x:c r="E551" s="25">
        <x:f t="shared" si="14"/>
        <x:v>143100</x:v>
      </x:c>
      <x:c r="F551" s="58">
        <x:f t="shared" si="15"/>
        <x:v>151900</x:v>
      </x:c>
    </x:row>
    <x:row r="552">
      <x:c r="B552" s="63">
        <x:v>650</x:v>
      </x:c>
      <x:c r="C552" s="57">
        <x:f t="shared" si="12"/>
        <x:v>121400</x:v>
      </x:c>
      <x:c r="D552" s="25">
        <x:f t="shared" si="13"/>
        <x:v>133800</x:v>
      </x:c>
      <x:c r="E552" s="25">
        <x:f t="shared" si="14"/>
        <x:v>143100</x:v>
      </x:c>
      <x:c r="F552" s="58">
        <x:f t="shared" si="15"/>
        <x:v>151900</x:v>
      </x:c>
    </x:row>
    <x:row r="553">
      <x:c r="B553" s="63">
        <x:v>651</x:v>
      </x:c>
      <x:c r="C553" s="57" t="n">
        <x:f>$C$402+$J$6</x:f>
        <x:v>128700</x:v>
      </x:c>
      <x:c r="D553" s="25" t="n">
        <x:f>$D$402+$K$6</x:f>
        <x:v>141900</x:v>
      </x:c>
      <x:c r="E553" s="25" t="n">
        <x:f>$E$402+$L$6</x:f>
        <x:v>151800</x:v>
      </x:c>
      <x:c r="F553" s="58" t="n">
        <x:f>$F$402+$M$6</x:f>
        <x:v>161200</x:v>
      </x:c>
    </x:row>
    <x:row r="554">
      <x:c r="B554" s="63">
        <x:v>652</x:v>
      </x:c>
      <x:c r="C554" s="57" t="n">
        <x:f t="shared" ref="C554:C602" si="16">$C$402+$J$6</x:f>
        <x:v>128700</x:v>
      </x:c>
      <x:c r="D554" s="25" t="n">
        <x:f t="shared" ref="D554:D602" si="17">$D$402+$K$6</x:f>
        <x:v>141900</x:v>
      </x:c>
      <x:c r="E554" s="25" t="n">
        <x:f t="shared" ref="E554:E602" si="18">$E$402+$L$6</x:f>
        <x:v>151800</x:v>
      </x:c>
      <x:c r="F554" s="58" t="n">
        <x:f t="shared" ref="F554:F602" si="19">$F$402+$M$6</x:f>
        <x:v>161200</x:v>
      </x:c>
    </x:row>
    <x:row r="555">
      <x:c r="B555" s="63">
        <x:v>653</x:v>
      </x:c>
      <x:c r="C555" s="57">
        <x:f t="shared" si="16"/>
        <x:v>128700</x:v>
      </x:c>
      <x:c r="D555" s="25">
        <x:f t="shared" si="17"/>
        <x:v>141900</x:v>
      </x:c>
      <x:c r="E555" s="25">
        <x:f t="shared" si="18"/>
        <x:v>151800</x:v>
      </x:c>
      <x:c r="F555" s="58">
        <x:f t="shared" si="19"/>
        <x:v>161200</x:v>
      </x:c>
    </x:row>
    <x:row r="556">
      <x:c r="B556" s="63">
        <x:v>654</x:v>
      </x:c>
      <x:c r="C556" s="57">
        <x:f t="shared" si="16"/>
        <x:v>128700</x:v>
      </x:c>
      <x:c r="D556" s="25">
        <x:f t="shared" si="17"/>
        <x:v>141900</x:v>
      </x:c>
      <x:c r="E556" s="25">
        <x:f t="shared" si="18"/>
        <x:v>151800</x:v>
      </x:c>
      <x:c r="F556" s="58">
        <x:f t="shared" si="19"/>
        <x:v>161200</x:v>
      </x:c>
    </x:row>
    <x:row r="557">
      <x:c r="B557" s="63">
        <x:v>655</x:v>
      </x:c>
      <x:c r="C557" s="57">
        <x:f t="shared" si="16"/>
        <x:v>128700</x:v>
      </x:c>
      <x:c r="D557" s="25">
        <x:f t="shared" si="17"/>
        <x:v>141900</x:v>
      </x:c>
      <x:c r="E557" s="25">
        <x:f t="shared" si="18"/>
        <x:v>151800</x:v>
      </x:c>
      <x:c r="F557" s="58">
        <x:f t="shared" si="19"/>
        <x:v>161200</x:v>
      </x:c>
    </x:row>
    <x:row r="558">
      <x:c r="B558" s="63">
        <x:v>656</x:v>
      </x:c>
      <x:c r="C558" s="57">
        <x:f t="shared" si="16"/>
        <x:v>128700</x:v>
      </x:c>
      <x:c r="D558" s="25">
        <x:f t="shared" si="17"/>
        <x:v>141900</x:v>
      </x:c>
      <x:c r="E558" s="25">
        <x:f t="shared" si="18"/>
        <x:v>151800</x:v>
      </x:c>
      <x:c r="F558" s="58">
        <x:f t="shared" si="19"/>
        <x:v>161200</x:v>
      </x:c>
    </x:row>
    <x:row r="559">
      <x:c r="B559" s="63">
        <x:v>657</x:v>
      </x:c>
      <x:c r="C559" s="57">
        <x:f t="shared" si="16"/>
        <x:v>128700</x:v>
      </x:c>
      <x:c r="D559" s="25">
        <x:f t="shared" si="17"/>
        <x:v>141900</x:v>
      </x:c>
      <x:c r="E559" s="25">
        <x:f t="shared" si="18"/>
        <x:v>151800</x:v>
      </x:c>
      <x:c r="F559" s="58">
        <x:f t="shared" si="19"/>
        <x:v>161200</x:v>
      </x:c>
    </x:row>
    <x:row r="560">
      <x:c r="B560" s="63">
        <x:v>658</x:v>
      </x:c>
      <x:c r="C560" s="57">
        <x:f t="shared" si="16"/>
        <x:v>128700</x:v>
      </x:c>
      <x:c r="D560" s="25">
        <x:f t="shared" si="17"/>
        <x:v>141900</x:v>
      </x:c>
      <x:c r="E560" s="25">
        <x:f t="shared" si="18"/>
        <x:v>151800</x:v>
      </x:c>
      <x:c r="F560" s="58">
        <x:f t="shared" si="19"/>
        <x:v>161200</x:v>
      </x:c>
    </x:row>
    <x:row r="561">
      <x:c r="B561" s="63">
        <x:v>659</x:v>
      </x:c>
      <x:c r="C561" s="57">
        <x:f t="shared" si="16"/>
        <x:v>128700</x:v>
      </x:c>
      <x:c r="D561" s="25">
        <x:f t="shared" si="17"/>
        <x:v>141900</x:v>
      </x:c>
      <x:c r="E561" s="25">
        <x:f t="shared" si="18"/>
        <x:v>151800</x:v>
      </x:c>
      <x:c r="F561" s="58">
        <x:f t="shared" si="19"/>
        <x:v>161200</x:v>
      </x:c>
    </x:row>
    <x:row r="562">
      <x:c r="B562" s="63">
        <x:v>660</x:v>
      </x:c>
      <x:c r="C562" s="57">
        <x:f t="shared" si="16"/>
        <x:v>128700</x:v>
      </x:c>
      <x:c r="D562" s="25">
        <x:f t="shared" si="17"/>
        <x:v>141900</x:v>
      </x:c>
      <x:c r="E562" s="25">
        <x:f t="shared" si="18"/>
        <x:v>151800</x:v>
      </x:c>
      <x:c r="F562" s="58">
        <x:f t="shared" si="19"/>
        <x:v>161200</x:v>
      </x:c>
    </x:row>
    <x:row r="563">
      <x:c r="B563" s="63">
        <x:v>661</x:v>
      </x:c>
      <x:c r="C563" s="57">
        <x:f t="shared" si="16"/>
        <x:v>128700</x:v>
      </x:c>
      <x:c r="D563" s="25">
        <x:f t="shared" si="17"/>
        <x:v>141900</x:v>
      </x:c>
      <x:c r="E563" s="25">
        <x:f t="shared" si="18"/>
        <x:v>151800</x:v>
      </x:c>
      <x:c r="F563" s="58">
        <x:f t="shared" si="19"/>
        <x:v>161200</x:v>
      </x:c>
    </x:row>
    <x:row r="564">
      <x:c r="B564" s="63">
        <x:v>662</x:v>
      </x:c>
      <x:c r="C564" s="57">
        <x:f t="shared" si="16"/>
        <x:v>128700</x:v>
      </x:c>
      <x:c r="D564" s="25">
        <x:f t="shared" si="17"/>
        <x:v>141900</x:v>
      </x:c>
      <x:c r="E564" s="25">
        <x:f t="shared" si="18"/>
        <x:v>151800</x:v>
      </x:c>
      <x:c r="F564" s="58">
        <x:f t="shared" si="19"/>
        <x:v>161200</x:v>
      </x:c>
    </x:row>
    <x:row r="565">
      <x:c r="B565" s="63">
        <x:v>663</x:v>
      </x:c>
      <x:c r="C565" s="57">
        <x:f t="shared" si="16"/>
        <x:v>128700</x:v>
      </x:c>
      <x:c r="D565" s="25">
        <x:f t="shared" si="17"/>
        <x:v>141900</x:v>
      </x:c>
      <x:c r="E565" s="25">
        <x:f t="shared" si="18"/>
        <x:v>151800</x:v>
      </x:c>
      <x:c r="F565" s="58">
        <x:f t="shared" si="19"/>
        <x:v>161200</x:v>
      </x:c>
    </x:row>
    <x:row r="566">
      <x:c r="B566" s="63">
        <x:v>664</x:v>
      </x:c>
      <x:c r="C566" s="57">
        <x:f t="shared" si="16"/>
        <x:v>128700</x:v>
      </x:c>
      <x:c r="D566" s="25">
        <x:f t="shared" si="17"/>
        <x:v>141900</x:v>
      </x:c>
      <x:c r="E566" s="25">
        <x:f t="shared" si="18"/>
        <x:v>151800</x:v>
      </x:c>
      <x:c r="F566" s="58">
        <x:f t="shared" si="19"/>
        <x:v>161200</x:v>
      </x:c>
    </x:row>
    <x:row r="567">
      <x:c r="B567" s="63">
        <x:v>665</x:v>
      </x:c>
      <x:c r="C567" s="57">
        <x:f t="shared" si="16"/>
        <x:v>128700</x:v>
      </x:c>
      <x:c r="D567" s="25">
        <x:f t="shared" si="17"/>
        <x:v>141900</x:v>
      </x:c>
      <x:c r="E567" s="25">
        <x:f t="shared" si="18"/>
        <x:v>151800</x:v>
      </x:c>
      <x:c r="F567" s="58">
        <x:f t="shared" si="19"/>
        <x:v>161200</x:v>
      </x:c>
    </x:row>
    <x:row r="568">
      <x:c r="B568" s="63">
        <x:v>666</x:v>
      </x:c>
      <x:c r="C568" s="57">
        <x:f t="shared" si="16"/>
        <x:v>128700</x:v>
      </x:c>
      <x:c r="D568" s="25">
        <x:f t="shared" si="17"/>
        <x:v>141900</x:v>
      </x:c>
      <x:c r="E568" s="25">
        <x:f t="shared" si="18"/>
        <x:v>151800</x:v>
      </x:c>
      <x:c r="F568" s="58">
        <x:f t="shared" si="19"/>
        <x:v>161200</x:v>
      </x:c>
    </x:row>
    <x:row r="569">
      <x:c r="B569" s="63">
        <x:v>667</x:v>
      </x:c>
      <x:c r="C569" s="57">
        <x:f t="shared" si="16"/>
        <x:v>128700</x:v>
      </x:c>
      <x:c r="D569" s="25">
        <x:f t="shared" si="17"/>
        <x:v>141900</x:v>
      </x:c>
      <x:c r="E569" s="25">
        <x:f t="shared" si="18"/>
        <x:v>151800</x:v>
      </x:c>
      <x:c r="F569" s="58">
        <x:f t="shared" si="19"/>
        <x:v>161200</x:v>
      </x:c>
    </x:row>
    <x:row r="570">
      <x:c r="B570" s="63">
        <x:v>668</x:v>
      </x:c>
      <x:c r="C570" s="57">
        <x:f t="shared" si="16"/>
        <x:v>128700</x:v>
      </x:c>
      <x:c r="D570" s="25">
        <x:f t="shared" si="17"/>
        <x:v>141900</x:v>
      </x:c>
      <x:c r="E570" s="25">
        <x:f t="shared" si="18"/>
        <x:v>151800</x:v>
      </x:c>
      <x:c r="F570" s="58">
        <x:f t="shared" si="19"/>
        <x:v>161200</x:v>
      </x:c>
    </x:row>
    <x:row r="571">
      <x:c r="B571" s="63">
        <x:v>669</x:v>
      </x:c>
      <x:c r="C571" s="57">
        <x:f t="shared" si="16"/>
        <x:v>128700</x:v>
      </x:c>
      <x:c r="D571" s="25">
        <x:f t="shared" si="17"/>
        <x:v>141900</x:v>
      </x:c>
      <x:c r="E571" s="25">
        <x:f t="shared" si="18"/>
        <x:v>151800</x:v>
      </x:c>
      <x:c r="F571" s="58">
        <x:f t="shared" si="19"/>
        <x:v>161200</x:v>
      </x:c>
    </x:row>
    <x:row r="572">
      <x:c r="B572" s="63">
        <x:v>670</x:v>
      </x:c>
      <x:c r="C572" s="57">
        <x:f t="shared" si="16"/>
        <x:v>128700</x:v>
      </x:c>
      <x:c r="D572" s="25">
        <x:f t="shared" si="17"/>
        <x:v>141900</x:v>
      </x:c>
      <x:c r="E572" s="25">
        <x:f t="shared" si="18"/>
        <x:v>151800</x:v>
      </x:c>
      <x:c r="F572" s="58">
        <x:f t="shared" si="19"/>
        <x:v>161200</x:v>
      </x:c>
    </x:row>
    <x:row r="573">
      <x:c r="B573" s="63">
        <x:v>671</x:v>
      </x:c>
      <x:c r="C573" s="57">
        <x:f t="shared" si="16"/>
        <x:v>128700</x:v>
      </x:c>
      <x:c r="D573" s="25">
        <x:f t="shared" si="17"/>
        <x:v>141900</x:v>
      </x:c>
      <x:c r="E573" s="25">
        <x:f t="shared" si="18"/>
        <x:v>151800</x:v>
      </x:c>
      <x:c r="F573" s="58">
        <x:f t="shared" si="19"/>
        <x:v>161200</x:v>
      </x:c>
    </x:row>
    <x:row r="574">
      <x:c r="B574" s="63">
        <x:v>672</x:v>
      </x:c>
      <x:c r="C574" s="57">
        <x:f t="shared" si="16"/>
        <x:v>128700</x:v>
      </x:c>
      <x:c r="D574" s="25">
        <x:f t="shared" si="17"/>
        <x:v>141900</x:v>
      </x:c>
      <x:c r="E574" s="25">
        <x:f t="shared" si="18"/>
        <x:v>151800</x:v>
      </x:c>
      <x:c r="F574" s="58">
        <x:f t="shared" si="19"/>
        <x:v>161200</x:v>
      </x:c>
    </x:row>
    <x:row r="575">
      <x:c r="B575" s="63">
        <x:v>673</x:v>
      </x:c>
      <x:c r="C575" s="57">
        <x:f t="shared" si="16"/>
        <x:v>128700</x:v>
      </x:c>
      <x:c r="D575" s="25">
        <x:f t="shared" si="17"/>
        <x:v>141900</x:v>
      </x:c>
      <x:c r="E575" s="25">
        <x:f t="shared" si="18"/>
        <x:v>151800</x:v>
      </x:c>
      <x:c r="F575" s="58">
        <x:f t="shared" si="19"/>
        <x:v>161200</x:v>
      </x:c>
    </x:row>
    <x:row r="576">
      <x:c r="B576" s="63">
        <x:v>674</x:v>
      </x:c>
      <x:c r="C576" s="57">
        <x:f t="shared" si="16"/>
        <x:v>128700</x:v>
      </x:c>
      <x:c r="D576" s="25">
        <x:f t="shared" si="17"/>
        <x:v>141900</x:v>
      </x:c>
      <x:c r="E576" s="25">
        <x:f t="shared" si="18"/>
        <x:v>151800</x:v>
      </x:c>
      <x:c r="F576" s="58">
        <x:f t="shared" si="19"/>
        <x:v>161200</x:v>
      </x:c>
    </x:row>
    <x:row r="577">
      <x:c r="B577" s="63">
        <x:v>675</x:v>
      </x:c>
      <x:c r="C577" s="57">
        <x:f t="shared" si="16"/>
        <x:v>128700</x:v>
      </x:c>
      <x:c r="D577" s="25">
        <x:f t="shared" si="17"/>
        <x:v>141900</x:v>
      </x:c>
      <x:c r="E577" s="25">
        <x:f t="shared" si="18"/>
        <x:v>151800</x:v>
      </x:c>
      <x:c r="F577" s="58">
        <x:f t="shared" si="19"/>
        <x:v>161200</x:v>
      </x:c>
    </x:row>
    <x:row r="578">
      <x:c r="B578" s="63">
        <x:v>676</x:v>
      </x:c>
      <x:c r="C578" s="57">
        <x:f t="shared" si="16"/>
        <x:v>128700</x:v>
      </x:c>
      <x:c r="D578" s="25">
        <x:f t="shared" si="17"/>
        <x:v>141900</x:v>
      </x:c>
      <x:c r="E578" s="25">
        <x:f t="shared" si="18"/>
        <x:v>151800</x:v>
      </x:c>
      <x:c r="F578" s="58">
        <x:f t="shared" si="19"/>
        <x:v>161200</x:v>
      </x:c>
    </x:row>
    <x:row r="579">
      <x:c r="B579" s="63">
        <x:v>677</x:v>
      </x:c>
      <x:c r="C579" s="57">
        <x:f t="shared" si="16"/>
        <x:v>128700</x:v>
      </x:c>
      <x:c r="D579" s="25">
        <x:f t="shared" si="17"/>
        <x:v>141900</x:v>
      </x:c>
      <x:c r="E579" s="25">
        <x:f t="shared" si="18"/>
        <x:v>151800</x:v>
      </x:c>
      <x:c r="F579" s="58">
        <x:f t="shared" si="19"/>
        <x:v>161200</x:v>
      </x:c>
    </x:row>
    <x:row r="580">
      <x:c r="B580" s="63">
        <x:v>678</x:v>
      </x:c>
      <x:c r="C580" s="57">
        <x:f t="shared" si="16"/>
        <x:v>128700</x:v>
      </x:c>
      <x:c r="D580" s="25">
        <x:f t="shared" si="17"/>
        <x:v>141900</x:v>
      </x:c>
      <x:c r="E580" s="25">
        <x:f t="shared" si="18"/>
        <x:v>151800</x:v>
      </x:c>
      <x:c r="F580" s="58">
        <x:f t="shared" si="19"/>
        <x:v>161200</x:v>
      </x:c>
    </x:row>
    <x:row r="581">
      <x:c r="B581" s="63">
        <x:v>679</x:v>
      </x:c>
      <x:c r="C581" s="57">
        <x:f t="shared" si="16"/>
        <x:v>128700</x:v>
      </x:c>
      <x:c r="D581" s="25">
        <x:f t="shared" si="17"/>
        <x:v>141900</x:v>
      </x:c>
      <x:c r="E581" s="25">
        <x:f t="shared" si="18"/>
        <x:v>151800</x:v>
      </x:c>
      <x:c r="F581" s="58">
        <x:f t="shared" si="19"/>
        <x:v>161200</x:v>
      </x:c>
    </x:row>
    <x:row r="582">
      <x:c r="B582" s="63">
        <x:v>680</x:v>
      </x:c>
      <x:c r="C582" s="57">
        <x:f t="shared" si="16"/>
        <x:v>128700</x:v>
      </x:c>
      <x:c r="D582" s="25">
        <x:f t="shared" si="17"/>
        <x:v>141900</x:v>
      </x:c>
      <x:c r="E582" s="25">
        <x:f t="shared" si="18"/>
        <x:v>151800</x:v>
      </x:c>
      <x:c r="F582" s="58">
        <x:f t="shared" si="19"/>
        <x:v>161200</x:v>
      </x:c>
    </x:row>
    <x:row r="583">
      <x:c r="B583" s="63">
        <x:v>681</x:v>
      </x:c>
      <x:c r="C583" s="57">
        <x:f t="shared" si="16"/>
        <x:v>128700</x:v>
      </x:c>
      <x:c r="D583" s="25">
        <x:f t="shared" si="17"/>
        <x:v>141900</x:v>
      </x:c>
      <x:c r="E583" s="25">
        <x:f t="shared" si="18"/>
        <x:v>151800</x:v>
      </x:c>
      <x:c r="F583" s="58">
        <x:f t="shared" si="19"/>
        <x:v>161200</x:v>
      </x:c>
    </x:row>
    <x:row r="584">
      <x:c r="B584" s="63">
        <x:v>682</x:v>
      </x:c>
      <x:c r="C584" s="57">
        <x:f t="shared" si="16"/>
        <x:v>128700</x:v>
      </x:c>
      <x:c r="D584" s="25">
        <x:f t="shared" si="17"/>
        <x:v>141900</x:v>
      </x:c>
      <x:c r="E584" s="25">
        <x:f t="shared" si="18"/>
        <x:v>151800</x:v>
      </x:c>
      <x:c r="F584" s="58">
        <x:f t="shared" si="19"/>
        <x:v>161200</x:v>
      </x:c>
    </x:row>
    <x:row r="585">
      <x:c r="B585" s="63">
        <x:v>683</x:v>
      </x:c>
      <x:c r="C585" s="57">
        <x:f t="shared" si="16"/>
        <x:v>128700</x:v>
      </x:c>
      <x:c r="D585" s="25">
        <x:f t="shared" si="17"/>
        <x:v>141900</x:v>
      </x:c>
      <x:c r="E585" s="25">
        <x:f t="shared" si="18"/>
        <x:v>151800</x:v>
      </x:c>
      <x:c r="F585" s="58">
        <x:f t="shared" si="19"/>
        <x:v>161200</x:v>
      </x:c>
    </x:row>
    <x:row r="586">
      <x:c r="B586" s="63">
        <x:v>684</x:v>
      </x:c>
      <x:c r="C586" s="57">
        <x:f t="shared" si="16"/>
        <x:v>128700</x:v>
      </x:c>
      <x:c r="D586" s="25">
        <x:f t="shared" si="17"/>
        <x:v>141900</x:v>
      </x:c>
      <x:c r="E586" s="25">
        <x:f t="shared" si="18"/>
        <x:v>151800</x:v>
      </x:c>
      <x:c r="F586" s="58">
        <x:f t="shared" si="19"/>
        <x:v>161200</x:v>
      </x:c>
    </x:row>
    <x:row r="587">
      <x:c r="B587" s="63">
        <x:v>685</x:v>
      </x:c>
      <x:c r="C587" s="57">
        <x:f t="shared" si="16"/>
        <x:v>128700</x:v>
      </x:c>
      <x:c r="D587" s="25">
        <x:f t="shared" si="17"/>
        <x:v>141900</x:v>
      </x:c>
      <x:c r="E587" s="25">
        <x:f t="shared" si="18"/>
        <x:v>151800</x:v>
      </x:c>
      <x:c r="F587" s="58">
        <x:f t="shared" si="19"/>
        <x:v>161200</x:v>
      </x:c>
    </x:row>
    <x:row r="588">
      <x:c r="B588" s="63">
        <x:v>686</x:v>
      </x:c>
      <x:c r="C588" s="57">
        <x:f t="shared" si="16"/>
        <x:v>128700</x:v>
      </x:c>
      <x:c r="D588" s="25">
        <x:f t="shared" si="17"/>
        <x:v>141900</x:v>
      </x:c>
      <x:c r="E588" s="25">
        <x:f t="shared" si="18"/>
        <x:v>151800</x:v>
      </x:c>
      <x:c r="F588" s="58">
        <x:f t="shared" si="19"/>
        <x:v>161200</x:v>
      </x:c>
    </x:row>
    <x:row r="589">
      <x:c r="B589" s="63">
        <x:v>687</x:v>
      </x:c>
      <x:c r="C589" s="57">
        <x:f t="shared" si="16"/>
        <x:v>128700</x:v>
      </x:c>
      <x:c r="D589" s="25">
        <x:f t="shared" si="17"/>
        <x:v>141900</x:v>
      </x:c>
      <x:c r="E589" s="25">
        <x:f t="shared" si="18"/>
        <x:v>151800</x:v>
      </x:c>
      <x:c r="F589" s="58">
        <x:f t="shared" si="19"/>
        <x:v>161200</x:v>
      </x:c>
    </x:row>
    <x:row r="590">
      <x:c r="B590" s="63">
        <x:v>688</x:v>
      </x:c>
      <x:c r="C590" s="57">
        <x:f t="shared" si="16"/>
        <x:v>128700</x:v>
      </x:c>
      <x:c r="D590" s="25">
        <x:f t="shared" si="17"/>
        <x:v>141900</x:v>
      </x:c>
      <x:c r="E590" s="25">
        <x:f t="shared" si="18"/>
        <x:v>151800</x:v>
      </x:c>
      <x:c r="F590" s="58">
        <x:f t="shared" si="19"/>
        <x:v>161200</x:v>
      </x:c>
    </x:row>
    <x:row r="591">
      <x:c r="B591" s="63">
        <x:v>689</x:v>
      </x:c>
      <x:c r="C591" s="57">
        <x:f t="shared" si="16"/>
        <x:v>128700</x:v>
      </x:c>
      <x:c r="D591" s="25">
        <x:f t="shared" si="17"/>
        <x:v>141900</x:v>
      </x:c>
      <x:c r="E591" s="25">
        <x:f t="shared" si="18"/>
        <x:v>151800</x:v>
      </x:c>
      <x:c r="F591" s="58">
        <x:f t="shared" si="19"/>
        <x:v>161200</x:v>
      </x:c>
    </x:row>
    <x:row r="592">
      <x:c r="B592" s="63">
        <x:v>690</x:v>
      </x:c>
      <x:c r="C592" s="57">
        <x:f t="shared" si="16"/>
        <x:v>128700</x:v>
      </x:c>
      <x:c r="D592" s="25">
        <x:f t="shared" si="17"/>
        <x:v>141900</x:v>
      </x:c>
      <x:c r="E592" s="25">
        <x:f t="shared" si="18"/>
        <x:v>151800</x:v>
      </x:c>
      <x:c r="F592" s="58">
        <x:f t="shared" si="19"/>
        <x:v>161200</x:v>
      </x:c>
    </x:row>
    <x:row r="593">
      <x:c r="B593" s="63">
        <x:v>691</x:v>
      </x:c>
      <x:c r="C593" s="57">
        <x:f t="shared" si="16"/>
        <x:v>128700</x:v>
      </x:c>
      <x:c r="D593" s="25">
        <x:f t="shared" si="17"/>
        <x:v>141900</x:v>
      </x:c>
      <x:c r="E593" s="25">
        <x:f t="shared" si="18"/>
        <x:v>151800</x:v>
      </x:c>
      <x:c r="F593" s="58">
        <x:f t="shared" si="19"/>
        <x:v>161200</x:v>
      </x:c>
    </x:row>
    <x:row r="594">
      <x:c r="B594" s="63">
        <x:v>692</x:v>
      </x:c>
      <x:c r="C594" s="57">
        <x:f t="shared" si="16"/>
        <x:v>128700</x:v>
      </x:c>
      <x:c r="D594" s="25">
        <x:f t="shared" si="17"/>
        <x:v>141900</x:v>
      </x:c>
      <x:c r="E594" s="25">
        <x:f t="shared" si="18"/>
        <x:v>151800</x:v>
      </x:c>
      <x:c r="F594" s="58">
        <x:f t="shared" si="19"/>
        <x:v>161200</x:v>
      </x:c>
    </x:row>
    <x:row r="595">
      <x:c r="B595" s="63">
        <x:v>693</x:v>
      </x:c>
      <x:c r="C595" s="57">
        <x:f t="shared" si="16"/>
        <x:v>128700</x:v>
      </x:c>
      <x:c r="D595" s="25">
        <x:f t="shared" si="17"/>
        <x:v>141900</x:v>
      </x:c>
      <x:c r="E595" s="25">
        <x:f t="shared" si="18"/>
        <x:v>151800</x:v>
      </x:c>
      <x:c r="F595" s="58">
        <x:f t="shared" si="19"/>
        <x:v>161200</x:v>
      </x:c>
    </x:row>
    <x:row r="596">
      <x:c r="B596" s="63">
        <x:v>694</x:v>
      </x:c>
      <x:c r="C596" s="57">
        <x:f t="shared" si="16"/>
        <x:v>128700</x:v>
      </x:c>
      <x:c r="D596" s="25">
        <x:f t="shared" si="17"/>
        <x:v>141900</x:v>
      </x:c>
      <x:c r="E596" s="25">
        <x:f t="shared" si="18"/>
        <x:v>151800</x:v>
      </x:c>
      <x:c r="F596" s="58">
        <x:f t="shared" si="19"/>
        <x:v>161200</x:v>
      </x:c>
    </x:row>
    <x:row r="597">
      <x:c r="B597" s="63">
        <x:v>695</x:v>
      </x:c>
      <x:c r="C597" s="57">
        <x:f t="shared" si="16"/>
        <x:v>128700</x:v>
      </x:c>
      <x:c r="D597" s="25">
        <x:f t="shared" si="17"/>
        <x:v>141900</x:v>
      </x:c>
      <x:c r="E597" s="25">
        <x:f t="shared" si="18"/>
        <x:v>151800</x:v>
      </x:c>
      <x:c r="F597" s="58">
        <x:f t="shared" si="19"/>
        <x:v>161200</x:v>
      </x:c>
    </x:row>
    <x:row r="598">
      <x:c r="B598" s="63">
        <x:v>696</x:v>
      </x:c>
      <x:c r="C598" s="57">
        <x:f t="shared" si="16"/>
        <x:v>128700</x:v>
      </x:c>
      <x:c r="D598" s="25">
        <x:f t="shared" si="17"/>
        <x:v>141900</x:v>
      </x:c>
      <x:c r="E598" s="25">
        <x:f t="shared" si="18"/>
        <x:v>151800</x:v>
      </x:c>
      <x:c r="F598" s="58">
        <x:f t="shared" si="19"/>
        <x:v>161200</x:v>
      </x:c>
    </x:row>
    <x:row r="599">
      <x:c r="B599" s="63">
        <x:v>697</x:v>
      </x:c>
      <x:c r="C599" s="57">
        <x:f t="shared" si="16"/>
        <x:v>128700</x:v>
      </x:c>
      <x:c r="D599" s="25">
        <x:f t="shared" si="17"/>
        <x:v>141900</x:v>
      </x:c>
      <x:c r="E599" s="25">
        <x:f t="shared" si="18"/>
        <x:v>151800</x:v>
      </x:c>
      <x:c r="F599" s="58">
        <x:f t="shared" si="19"/>
        <x:v>161200</x:v>
      </x:c>
    </x:row>
    <x:row r="600">
      <x:c r="B600" s="63">
        <x:v>698</x:v>
      </x:c>
      <x:c r="C600" s="57">
        <x:f t="shared" si="16"/>
        <x:v>128700</x:v>
      </x:c>
      <x:c r="D600" s="25">
        <x:f t="shared" si="17"/>
        <x:v>141900</x:v>
      </x:c>
      <x:c r="E600" s="25">
        <x:f t="shared" si="18"/>
        <x:v>151800</x:v>
      </x:c>
      <x:c r="F600" s="58">
        <x:f t="shared" si="19"/>
        <x:v>161200</x:v>
      </x:c>
    </x:row>
    <x:row r="601">
      <x:c r="B601" s="63">
        <x:v>699</x:v>
      </x:c>
      <x:c r="C601" s="57">
        <x:f t="shared" si="16"/>
        <x:v>128700</x:v>
      </x:c>
      <x:c r="D601" s="25">
        <x:f t="shared" si="17"/>
        <x:v>141900</x:v>
      </x:c>
      <x:c r="E601" s="25">
        <x:f t="shared" si="18"/>
        <x:v>151800</x:v>
      </x:c>
      <x:c r="F601" s="58">
        <x:f t="shared" si="19"/>
        <x:v>161200</x:v>
      </x:c>
    </x:row>
    <x:row r="602">
      <x:c r="B602" s="63">
        <x:v>700</x:v>
      </x:c>
      <x:c r="C602" s="57">
        <x:f t="shared" si="16"/>
        <x:v>128700</x:v>
      </x:c>
      <x:c r="D602" s="25">
        <x:f t="shared" si="17"/>
        <x:v>141900</x:v>
      </x:c>
      <x:c r="E602" s="25">
        <x:f t="shared" si="18"/>
        <x:v>151800</x:v>
      </x:c>
      <x:c r="F602" s="58">
        <x:f t="shared" si="19"/>
        <x:v>161200</x:v>
      </x:c>
    </x:row>
    <x:row r="603">
      <x:c r="B603" s="63">
        <x:v>701</x:v>
      </x:c>
      <x:c r="C603" s="57" t="n">
        <x:f>$C$402+$J$7</x:f>
        <x:v>136000</x:v>
      </x:c>
      <x:c r="D603" s="25" t="n">
        <x:f>$D$402+$K$7</x:f>
        <x:v>150000</x:v>
      </x:c>
      <x:c r="E603" s="25" t="n">
        <x:f>$E$402+$L$7</x:f>
        <x:v>160500</x:v>
      </x:c>
      <x:c r="F603" s="58" t="n">
        <x:f>$F$402+$M$7</x:f>
        <x:v>170500</x:v>
      </x:c>
    </x:row>
    <x:row r="604">
      <x:c r="B604" s="63">
        <x:v>702</x:v>
      </x:c>
      <x:c r="C604" s="57" t="n">
        <x:f t="shared" ref="C604:C652" si="20">$C$402+$J$7</x:f>
        <x:v>136000</x:v>
      </x:c>
      <x:c r="D604" s="25" t="n">
        <x:f t="shared" ref="D604:D652" si="21">$D$402+$K$7</x:f>
        <x:v>150000</x:v>
      </x:c>
      <x:c r="E604" s="25" t="n">
        <x:f t="shared" ref="E604:E652" si="22">$E$402+$L$7</x:f>
        <x:v>160500</x:v>
      </x:c>
      <x:c r="F604" s="58" t="n">
        <x:f t="shared" ref="F604:F652" si="23">$F$402+$M$7</x:f>
        <x:v>170500</x:v>
      </x:c>
    </x:row>
    <x:row r="605">
      <x:c r="B605" s="63">
        <x:v>703</x:v>
      </x:c>
      <x:c r="C605" s="57">
        <x:f t="shared" si="20"/>
        <x:v>136000</x:v>
      </x:c>
      <x:c r="D605" s="25">
        <x:f t="shared" si="21"/>
        <x:v>150000</x:v>
      </x:c>
      <x:c r="E605" s="25">
        <x:f t="shared" si="22"/>
        <x:v>160500</x:v>
      </x:c>
      <x:c r="F605" s="58">
        <x:f t="shared" si="23"/>
        <x:v>170500</x:v>
      </x:c>
    </x:row>
    <x:row r="606">
      <x:c r="B606" s="63">
        <x:v>704</x:v>
      </x:c>
      <x:c r="C606" s="57">
        <x:f t="shared" si="20"/>
        <x:v>136000</x:v>
      </x:c>
      <x:c r="D606" s="25">
        <x:f t="shared" si="21"/>
        <x:v>150000</x:v>
      </x:c>
      <x:c r="E606" s="25">
        <x:f t="shared" si="22"/>
        <x:v>160500</x:v>
      </x:c>
      <x:c r="F606" s="58">
        <x:f t="shared" si="23"/>
        <x:v>170500</x:v>
      </x:c>
    </x:row>
    <x:row r="607">
      <x:c r="B607" s="63">
        <x:v>705</x:v>
      </x:c>
      <x:c r="C607" s="57">
        <x:f t="shared" si="20"/>
        <x:v>136000</x:v>
      </x:c>
      <x:c r="D607" s="25">
        <x:f t="shared" si="21"/>
        <x:v>150000</x:v>
      </x:c>
      <x:c r="E607" s="25">
        <x:f t="shared" si="22"/>
        <x:v>160500</x:v>
      </x:c>
      <x:c r="F607" s="58">
        <x:f t="shared" si="23"/>
        <x:v>170500</x:v>
      </x:c>
    </x:row>
    <x:row r="608">
      <x:c r="B608" s="63">
        <x:v>706</x:v>
      </x:c>
      <x:c r="C608" s="57">
        <x:f t="shared" si="20"/>
        <x:v>136000</x:v>
      </x:c>
      <x:c r="D608" s="25">
        <x:f t="shared" si="21"/>
        <x:v>150000</x:v>
      </x:c>
      <x:c r="E608" s="25">
        <x:f t="shared" si="22"/>
        <x:v>160500</x:v>
      </x:c>
      <x:c r="F608" s="58">
        <x:f t="shared" si="23"/>
        <x:v>170500</x:v>
      </x:c>
    </x:row>
    <x:row r="609">
      <x:c r="B609" s="63">
        <x:v>707</x:v>
      </x:c>
      <x:c r="C609" s="57">
        <x:f t="shared" si="20"/>
        <x:v>136000</x:v>
      </x:c>
      <x:c r="D609" s="25">
        <x:f t="shared" si="21"/>
        <x:v>150000</x:v>
      </x:c>
      <x:c r="E609" s="25">
        <x:f t="shared" si="22"/>
        <x:v>160500</x:v>
      </x:c>
      <x:c r="F609" s="58">
        <x:f t="shared" si="23"/>
        <x:v>170500</x:v>
      </x:c>
    </x:row>
    <x:row r="610">
      <x:c r="B610" s="63">
        <x:v>708</x:v>
      </x:c>
      <x:c r="C610" s="57">
        <x:f t="shared" si="20"/>
        <x:v>136000</x:v>
      </x:c>
      <x:c r="D610" s="25">
        <x:f t="shared" si="21"/>
        <x:v>150000</x:v>
      </x:c>
      <x:c r="E610" s="25">
        <x:f t="shared" si="22"/>
        <x:v>160500</x:v>
      </x:c>
      <x:c r="F610" s="58">
        <x:f t="shared" si="23"/>
        <x:v>170500</x:v>
      </x:c>
    </x:row>
    <x:row r="611">
      <x:c r="B611" s="63">
        <x:v>709</x:v>
      </x:c>
      <x:c r="C611" s="57">
        <x:f t="shared" si="20"/>
        <x:v>136000</x:v>
      </x:c>
      <x:c r="D611" s="25">
        <x:f t="shared" si="21"/>
        <x:v>150000</x:v>
      </x:c>
      <x:c r="E611" s="25">
        <x:f t="shared" si="22"/>
        <x:v>160500</x:v>
      </x:c>
      <x:c r="F611" s="58">
        <x:f t="shared" si="23"/>
        <x:v>170500</x:v>
      </x:c>
    </x:row>
    <x:row r="612">
      <x:c r="B612" s="63">
        <x:v>710</x:v>
      </x:c>
      <x:c r="C612" s="57">
        <x:f t="shared" si="20"/>
        <x:v>136000</x:v>
      </x:c>
      <x:c r="D612" s="25">
        <x:f t="shared" si="21"/>
        <x:v>150000</x:v>
      </x:c>
      <x:c r="E612" s="25">
        <x:f t="shared" si="22"/>
        <x:v>160500</x:v>
      </x:c>
      <x:c r="F612" s="58">
        <x:f t="shared" si="23"/>
        <x:v>170500</x:v>
      </x:c>
    </x:row>
    <x:row r="613">
      <x:c r="B613" s="63">
        <x:v>711</x:v>
      </x:c>
      <x:c r="C613" s="57">
        <x:f t="shared" si="20"/>
        <x:v>136000</x:v>
      </x:c>
      <x:c r="D613" s="25">
        <x:f t="shared" si="21"/>
        <x:v>150000</x:v>
      </x:c>
      <x:c r="E613" s="25">
        <x:f t="shared" si="22"/>
        <x:v>160500</x:v>
      </x:c>
      <x:c r="F613" s="58">
        <x:f t="shared" si="23"/>
        <x:v>170500</x:v>
      </x:c>
    </x:row>
    <x:row r="614">
      <x:c r="B614" s="63">
        <x:v>712</x:v>
      </x:c>
      <x:c r="C614" s="57">
        <x:f t="shared" si="20"/>
        <x:v>136000</x:v>
      </x:c>
      <x:c r="D614" s="25">
        <x:f t="shared" si="21"/>
        <x:v>150000</x:v>
      </x:c>
      <x:c r="E614" s="25">
        <x:f t="shared" si="22"/>
        <x:v>160500</x:v>
      </x:c>
      <x:c r="F614" s="58">
        <x:f t="shared" si="23"/>
        <x:v>170500</x:v>
      </x:c>
    </x:row>
    <x:row r="615">
      <x:c r="B615" s="63">
        <x:v>713</x:v>
      </x:c>
      <x:c r="C615" s="57">
        <x:f t="shared" si="20"/>
        <x:v>136000</x:v>
      </x:c>
      <x:c r="D615" s="25">
        <x:f t="shared" si="21"/>
        <x:v>150000</x:v>
      </x:c>
      <x:c r="E615" s="25">
        <x:f t="shared" si="22"/>
        <x:v>160500</x:v>
      </x:c>
      <x:c r="F615" s="58">
        <x:f t="shared" si="23"/>
        <x:v>170500</x:v>
      </x:c>
    </x:row>
    <x:row r="616">
      <x:c r="B616" s="63">
        <x:v>714</x:v>
      </x:c>
      <x:c r="C616" s="57">
        <x:f t="shared" si="20"/>
        <x:v>136000</x:v>
      </x:c>
      <x:c r="D616" s="25">
        <x:f t="shared" si="21"/>
        <x:v>150000</x:v>
      </x:c>
      <x:c r="E616" s="25">
        <x:f t="shared" si="22"/>
        <x:v>160500</x:v>
      </x:c>
      <x:c r="F616" s="58">
        <x:f t="shared" si="23"/>
        <x:v>170500</x:v>
      </x:c>
    </x:row>
    <x:row r="617">
      <x:c r="B617" s="63">
        <x:v>715</x:v>
      </x:c>
      <x:c r="C617" s="57">
        <x:f t="shared" si="20"/>
        <x:v>136000</x:v>
      </x:c>
      <x:c r="D617" s="25">
        <x:f t="shared" si="21"/>
        <x:v>150000</x:v>
      </x:c>
      <x:c r="E617" s="25">
        <x:f t="shared" si="22"/>
        <x:v>160500</x:v>
      </x:c>
      <x:c r="F617" s="58">
        <x:f t="shared" si="23"/>
        <x:v>170500</x:v>
      </x:c>
    </x:row>
    <x:row r="618">
      <x:c r="B618" s="63">
        <x:v>716</x:v>
      </x:c>
      <x:c r="C618" s="57">
        <x:f t="shared" si="20"/>
        <x:v>136000</x:v>
      </x:c>
      <x:c r="D618" s="25">
        <x:f t="shared" si="21"/>
        <x:v>150000</x:v>
      </x:c>
      <x:c r="E618" s="25">
        <x:f t="shared" si="22"/>
        <x:v>160500</x:v>
      </x:c>
      <x:c r="F618" s="58">
        <x:f t="shared" si="23"/>
        <x:v>170500</x:v>
      </x:c>
    </x:row>
    <x:row r="619">
      <x:c r="B619" s="63">
        <x:v>717</x:v>
      </x:c>
      <x:c r="C619" s="57">
        <x:f t="shared" si="20"/>
        <x:v>136000</x:v>
      </x:c>
      <x:c r="D619" s="25">
        <x:f t="shared" si="21"/>
        <x:v>150000</x:v>
      </x:c>
      <x:c r="E619" s="25">
        <x:f t="shared" si="22"/>
        <x:v>160500</x:v>
      </x:c>
      <x:c r="F619" s="58">
        <x:f t="shared" si="23"/>
        <x:v>170500</x:v>
      </x:c>
    </x:row>
    <x:row r="620">
      <x:c r="B620" s="63">
        <x:v>718</x:v>
      </x:c>
      <x:c r="C620" s="57">
        <x:f t="shared" si="20"/>
        <x:v>136000</x:v>
      </x:c>
      <x:c r="D620" s="25">
        <x:f t="shared" si="21"/>
        <x:v>150000</x:v>
      </x:c>
      <x:c r="E620" s="25">
        <x:f t="shared" si="22"/>
        <x:v>160500</x:v>
      </x:c>
      <x:c r="F620" s="58">
        <x:f t="shared" si="23"/>
        <x:v>170500</x:v>
      </x:c>
    </x:row>
    <x:row r="621">
      <x:c r="B621" s="63">
        <x:v>719</x:v>
      </x:c>
      <x:c r="C621" s="57">
        <x:f t="shared" si="20"/>
        <x:v>136000</x:v>
      </x:c>
      <x:c r="D621" s="25">
        <x:f t="shared" si="21"/>
        <x:v>150000</x:v>
      </x:c>
      <x:c r="E621" s="25">
        <x:f t="shared" si="22"/>
        <x:v>160500</x:v>
      </x:c>
      <x:c r="F621" s="58">
        <x:f t="shared" si="23"/>
        <x:v>170500</x:v>
      </x:c>
    </x:row>
    <x:row r="622">
      <x:c r="B622" s="63">
        <x:v>720</x:v>
      </x:c>
      <x:c r="C622" s="57">
        <x:f t="shared" si="20"/>
        <x:v>136000</x:v>
      </x:c>
      <x:c r="D622" s="25">
        <x:f t="shared" si="21"/>
        <x:v>150000</x:v>
      </x:c>
      <x:c r="E622" s="25">
        <x:f t="shared" si="22"/>
        <x:v>160500</x:v>
      </x:c>
      <x:c r="F622" s="58">
        <x:f t="shared" si="23"/>
        <x:v>170500</x:v>
      </x:c>
    </x:row>
    <x:row r="623">
      <x:c r="B623" s="63">
        <x:v>721</x:v>
      </x:c>
      <x:c r="C623" s="57">
        <x:f t="shared" si="20"/>
        <x:v>136000</x:v>
      </x:c>
      <x:c r="D623" s="25">
        <x:f t="shared" si="21"/>
        <x:v>150000</x:v>
      </x:c>
      <x:c r="E623" s="25">
        <x:f t="shared" si="22"/>
        <x:v>160500</x:v>
      </x:c>
      <x:c r="F623" s="58">
        <x:f t="shared" si="23"/>
        <x:v>170500</x:v>
      </x:c>
    </x:row>
    <x:row r="624">
      <x:c r="B624" s="63">
        <x:v>722</x:v>
      </x:c>
      <x:c r="C624" s="57">
        <x:f t="shared" si="20"/>
        <x:v>136000</x:v>
      </x:c>
      <x:c r="D624" s="25">
        <x:f t="shared" si="21"/>
        <x:v>150000</x:v>
      </x:c>
      <x:c r="E624" s="25">
        <x:f t="shared" si="22"/>
        <x:v>160500</x:v>
      </x:c>
      <x:c r="F624" s="58">
        <x:f t="shared" si="23"/>
        <x:v>170500</x:v>
      </x:c>
    </x:row>
    <x:row r="625">
      <x:c r="B625" s="63">
        <x:v>723</x:v>
      </x:c>
      <x:c r="C625" s="57">
        <x:f t="shared" si="20"/>
        <x:v>136000</x:v>
      </x:c>
      <x:c r="D625" s="25">
        <x:f t="shared" si="21"/>
        <x:v>150000</x:v>
      </x:c>
      <x:c r="E625" s="25">
        <x:f t="shared" si="22"/>
        <x:v>160500</x:v>
      </x:c>
      <x:c r="F625" s="58">
        <x:f t="shared" si="23"/>
        <x:v>170500</x:v>
      </x:c>
    </x:row>
    <x:row r="626">
      <x:c r="B626" s="63">
        <x:v>724</x:v>
      </x:c>
      <x:c r="C626" s="57">
        <x:f t="shared" si="20"/>
        <x:v>136000</x:v>
      </x:c>
      <x:c r="D626" s="25">
        <x:f t="shared" si="21"/>
        <x:v>150000</x:v>
      </x:c>
      <x:c r="E626" s="25">
        <x:f t="shared" si="22"/>
        <x:v>160500</x:v>
      </x:c>
      <x:c r="F626" s="58">
        <x:f t="shared" si="23"/>
        <x:v>170500</x:v>
      </x:c>
    </x:row>
    <x:row r="627">
      <x:c r="B627" s="63">
        <x:v>725</x:v>
      </x:c>
      <x:c r="C627" s="57">
        <x:f t="shared" si="20"/>
        <x:v>136000</x:v>
      </x:c>
      <x:c r="D627" s="25">
        <x:f t="shared" si="21"/>
        <x:v>150000</x:v>
      </x:c>
      <x:c r="E627" s="25">
        <x:f t="shared" si="22"/>
        <x:v>160500</x:v>
      </x:c>
      <x:c r="F627" s="58">
        <x:f t="shared" si="23"/>
        <x:v>170500</x:v>
      </x:c>
    </x:row>
    <x:row r="628">
      <x:c r="B628" s="63">
        <x:v>726</x:v>
      </x:c>
      <x:c r="C628" s="57">
        <x:f t="shared" si="20"/>
        <x:v>136000</x:v>
      </x:c>
      <x:c r="D628" s="25">
        <x:f t="shared" si="21"/>
        <x:v>150000</x:v>
      </x:c>
      <x:c r="E628" s="25">
        <x:f t="shared" si="22"/>
        <x:v>160500</x:v>
      </x:c>
      <x:c r="F628" s="58">
        <x:f t="shared" si="23"/>
        <x:v>170500</x:v>
      </x:c>
    </x:row>
    <x:row r="629">
      <x:c r="B629" s="63">
        <x:v>727</x:v>
      </x:c>
      <x:c r="C629" s="57">
        <x:f t="shared" si="20"/>
        <x:v>136000</x:v>
      </x:c>
      <x:c r="D629" s="25">
        <x:f t="shared" si="21"/>
        <x:v>150000</x:v>
      </x:c>
      <x:c r="E629" s="25">
        <x:f t="shared" si="22"/>
        <x:v>160500</x:v>
      </x:c>
      <x:c r="F629" s="58">
        <x:f t="shared" si="23"/>
        <x:v>170500</x:v>
      </x:c>
    </x:row>
    <x:row r="630">
      <x:c r="B630" s="63">
        <x:v>728</x:v>
      </x:c>
      <x:c r="C630" s="57">
        <x:f t="shared" si="20"/>
        <x:v>136000</x:v>
      </x:c>
      <x:c r="D630" s="25">
        <x:f t="shared" si="21"/>
        <x:v>150000</x:v>
      </x:c>
      <x:c r="E630" s="25">
        <x:f t="shared" si="22"/>
        <x:v>160500</x:v>
      </x:c>
      <x:c r="F630" s="58">
        <x:f t="shared" si="23"/>
        <x:v>170500</x:v>
      </x:c>
    </x:row>
    <x:row r="631">
      <x:c r="B631" s="63">
        <x:v>729</x:v>
      </x:c>
      <x:c r="C631" s="57">
        <x:f t="shared" si="20"/>
        <x:v>136000</x:v>
      </x:c>
      <x:c r="D631" s="25">
        <x:f t="shared" si="21"/>
        <x:v>150000</x:v>
      </x:c>
      <x:c r="E631" s="25">
        <x:f t="shared" si="22"/>
        <x:v>160500</x:v>
      </x:c>
      <x:c r="F631" s="58">
        <x:f t="shared" si="23"/>
        <x:v>170500</x:v>
      </x:c>
    </x:row>
    <x:row r="632">
      <x:c r="B632" s="63">
        <x:v>730</x:v>
      </x:c>
      <x:c r="C632" s="57">
        <x:f t="shared" si="20"/>
        <x:v>136000</x:v>
      </x:c>
      <x:c r="D632" s="25">
        <x:f t="shared" si="21"/>
        <x:v>150000</x:v>
      </x:c>
      <x:c r="E632" s="25">
        <x:f t="shared" si="22"/>
        <x:v>160500</x:v>
      </x:c>
      <x:c r="F632" s="58">
        <x:f t="shared" si="23"/>
        <x:v>170500</x:v>
      </x:c>
    </x:row>
    <x:row r="633">
      <x:c r="B633" s="63">
        <x:v>731</x:v>
      </x:c>
      <x:c r="C633" s="57">
        <x:f t="shared" si="20"/>
        <x:v>136000</x:v>
      </x:c>
      <x:c r="D633" s="25">
        <x:f t="shared" si="21"/>
        <x:v>150000</x:v>
      </x:c>
      <x:c r="E633" s="25">
        <x:f t="shared" si="22"/>
        <x:v>160500</x:v>
      </x:c>
      <x:c r="F633" s="58">
        <x:f t="shared" si="23"/>
        <x:v>170500</x:v>
      </x:c>
    </x:row>
    <x:row r="634">
      <x:c r="B634" s="63">
        <x:v>732</x:v>
      </x:c>
      <x:c r="C634" s="57">
        <x:f t="shared" si="20"/>
        <x:v>136000</x:v>
      </x:c>
      <x:c r="D634" s="25">
        <x:f t="shared" si="21"/>
        <x:v>150000</x:v>
      </x:c>
      <x:c r="E634" s="25">
        <x:f t="shared" si="22"/>
        <x:v>160500</x:v>
      </x:c>
      <x:c r="F634" s="58">
        <x:f t="shared" si="23"/>
        <x:v>170500</x:v>
      </x:c>
    </x:row>
    <x:row r="635">
      <x:c r="B635" s="63">
        <x:v>733</x:v>
      </x:c>
      <x:c r="C635" s="57">
        <x:f t="shared" si="20"/>
        <x:v>136000</x:v>
      </x:c>
      <x:c r="D635" s="25">
        <x:f t="shared" si="21"/>
        <x:v>150000</x:v>
      </x:c>
      <x:c r="E635" s="25">
        <x:f t="shared" si="22"/>
        <x:v>160500</x:v>
      </x:c>
      <x:c r="F635" s="58">
        <x:f t="shared" si="23"/>
        <x:v>170500</x:v>
      </x:c>
    </x:row>
    <x:row r="636">
      <x:c r="B636" s="63">
        <x:v>734</x:v>
      </x:c>
      <x:c r="C636" s="57">
        <x:f t="shared" si="20"/>
        <x:v>136000</x:v>
      </x:c>
      <x:c r="D636" s="25">
        <x:f t="shared" si="21"/>
        <x:v>150000</x:v>
      </x:c>
      <x:c r="E636" s="25">
        <x:f t="shared" si="22"/>
        <x:v>160500</x:v>
      </x:c>
      <x:c r="F636" s="58">
        <x:f t="shared" si="23"/>
        <x:v>170500</x:v>
      </x:c>
    </x:row>
    <x:row r="637">
      <x:c r="B637" s="63">
        <x:v>735</x:v>
      </x:c>
      <x:c r="C637" s="57">
        <x:f t="shared" si="20"/>
        <x:v>136000</x:v>
      </x:c>
      <x:c r="D637" s="25">
        <x:f t="shared" si="21"/>
        <x:v>150000</x:v>
      </x:c>
      <x:c r="E637" s="25">
        <x:f t="shared" si="22"/>
        <x:v>160500</x:v>
      </x:c>
      <x:c r="F637" s="58">
        <x:f t="shared" si="23"/>
        <x:v>170500</x:v>
      </x:c>
    </x:row>
    <x:row r="638">
      <x:c r="B638" s="63">
        <x:v>736</x:v>
      </x:c>
      <x:c r="C638" s="57">
        <x:f t="shared" si="20"/>
        <x:v>136000</x:v>
      </x:c>
      <x:c r="D638" s="25">
        <x:f t="shared" si="21"/>
        <x:v>150000</x:v>
      </x:c>
      <x:c r="E638" s="25">
        <x:f t="shared" si="22"/>
        <x:v>160500</x:v>
      </x:c>
      <x:c r="F638" s="58">
        <x:f t="shared" si="23"/>
        <x:v>170500</x:v>
      </x:c>
    </x:row>
    <x:row r="639">
      <x:c r="B639" s="63">
        <x:v>737</x:v>
      </x:c>
      <x:c r="C639" s="57">
        <x:f t="shared" si="20"/>
        <x:v>136000</x:v>
      </x:c>
      <x:c r="D639" s="25">
        <x:f t="shared" si="21"/>
        <x:v>150000</x:v>
      </x:c>
      <x:c r="E639" s="25">
        <x:f t="shared" si="22"/>
        <x:v>160500</x:v>
      </x:c>
      <x:c r="F639" s="58">
        <x:f t="shared" si="23"/>
        <x:v>170500</x:v>
      </x:c>
    </x:row>
    <x:row r="640">
      <x:c r="B640" s="63">
        <x:v>738</x:v>
      </x:c>
      <x:c r="C640" s="57">
        <x:f t="shared" si="20"/>
        <x:v>136000</x:v>
      </x:c>
      <x:c r="D640" s="25">
        <x:f t="shared" si="21"/>
        <x:v>150000</x:v>
      </x:c>
      <x:c r="E640" s="25">
        <x:f t="shared" si="22"/>
        <x:v>160500</x:v>
      </x:c>
      <x:c r="F640" s="58">
        <x:f t="shared" si="23"/>
        <x:v>170500</x:v>
      </x:c>
    </x:row>
    <x:row r="641">
      <x:c r="B641" s="63">
        <x:v>739</x:v>
      </x:c>
      <x:c r="C641" s="57">
        <x:f t="shared" si="20"/>
        <x:v>136000</x:v>
      </x:c>
      <x:c r="D641" s="25">
        <x:f t="shared" si="21"/>
        <x:v>150000</x:v>
      </x:c>
      <x:c r="E641" s="25">
        <x:f t="shared" si="22"/>
        <x:v>160500</x:v>
      </x:c>
      <x:c r="F641" s="58">
        <x:f t="shared" si="23"/>
        <x:v>170500</x:v>
      </x:c>
    </x:row>
    <x:row r="642">
      <x:c r="B642" s="63">
        <x:v>740</x:v>
      </x:c>
      <x:c r="C642" s="57">
        <x:f t="shared" si="20"/>
        <x:v>136000</x:v>
      </x:c>
      <x:c r="D642" s="25">
        <x:f t="shared" si="21"/>
        <x:v>150000</x:v>
      </x:c>
      <x:c r="E642" s="25">
        <x:f t="shared" si="22"/>
        <x:v>160500</x:v>
      </x:c>
      <x:c r="F642" s="58">
        <x:f t="shared" si="23"/>
        <x:v>170500</x:v>
      </x:c>
    </x:row>
    <x:row r="643">
      <x:c r="B643" s="63">
        <x:v>741</x:v>
      </x:c>
      <x:c r="C643" s="57">
        <x:f t="shared" si="20"/>
        <x:v>136000</x:v>
      </x:c>
      <x:c r="D643" s="25">
        <x:f t="shared" si="21"/>
        <x:v>150000</x:v>
      </x:c>
      <x:c r="E643" s="25">
        <x:f t="shared" si="22"/>
        <x:v>160500</x:v>
      </x:c>
      <x:c r="F643" s="58">
        <x:f t="shared" si="23"/>
        <x:v>170500</x:v>
      </x:c>
    </x:row>
    <x:row r="644">
      <x:c r="B644" s="63">
        <x:v>742</x:v>
      </x:c>
      <x:c r="C644" s="57">
        <x:f t="shared" si="20"/>
        <x:v>136000</x:v>
      </x:c>
      <x:c r="D644" s="25">
        <x:f t="shared" si="21"/>
        <x:v>150000</x:v>
      </x:c>
      <x:c r="E644" s="25">
        <x:f t="shared" si="22"/>
        <x:v>160500</x:v>
      </x:c>
      <x:c r="F644" s="58">
        <x:f t="shared" si="23"/>
        <x:v>170500</x:v>
      </x:c>
    </x:row>
    <x:row r="645">
      <x:c r="B645" s="63">
        <x:v>743</x:v>
      </x:c>
      <x:c r="C645" s="57">
        <x:f t="shared" si="20"/>
        <x:v>136000</x:v>
      </x:c>
      <x:c r="D645" s="25">
        <x:f t="shared" si="21"/>
        <x:v>150000</x:v>
      </x:c>
      <x:c r="E645" s="25">
        <x:f t="shared" si="22"/>
        <x:v>160500</x:v>
      </x:c>
      <x:c r="F645" s="58">
        <x:f t="shared" si="23"/>
        <x:v>170500</x:v>
      </x:c>
    </x:row>
    <x:row r="646">
      <x:c r="B646" s="63">
        <x:v>744</x:v>
      </x:c>
      <x:c r="C646" s="57">
        <x:f t="shared" si="20"/>
        <x:v>136000</x:v>
      </x:c>
      <x:c r="D646" s="25">
        <x:f t="shared" si="21"/>
        <x:v>150000</x:v>
      </x:c>
      <x:c r="E646" s="25">
        <x:f t="shared" si="22"/>
        <x:v>160500</x:v>
      </x:c>
      <x:c r="F646" s="58">
        <x:f t="shared" si="23"/>
        <x:v>170500</x:v>
      </x:c>
    </x:row>
    <x:row r="647">
      <x:c r="B647" s="63">
        <x:v>745</x:v>
      </x:c>
      <x:c r="C647" s="57">
        <x:f t="shared" si="20"/>
        <x:v>136000</x:v>
      </x:c>
      <x:c r="D647" s="25">
        <x:f t="shared" si="21"/>
        <x:v>150000</x:v>
      </x:c>
      <x:c r="E647" s="25">
        <x:f t="shared" si="22"/>
        <x:v>160500</x:v>
      </x:c>
      <x:c r="F647" s="58">
        <x:f t="shared" si="23"/>
        <x:v>170500</x:v>
      </x:c>
    </x:row>
    <x:row r="648">
      <x:c r="B648" s="63">
        <x:v>746</x:v>
      </x:c>
      <x:c r="C648" s="57">
        <x:f t="shared" si="20"/>
        <x:v>136000</x:v>
      </x:c>
      <x:c r="D648" s="25">
        <x:f t="shared" si="21"/>
        <x:v>150000</x:v>
      </x:c>
      <x:c r="E648" s="25">
        <x:f t="shared" si="22"/>
        <x:v>160500</x:v>
      </x:c>
      <x:c r="F648" s="58">
        <x:f t="shared" si="23"/>
        <x:v>170500</x:v>
      </x:c>
    </x:row>
    <x:row r="649">
      <x:c r="B649" s="63">
        <x:v>747</x:v>
      </x:c>
      <x:c r="C649" s="57">
        <x:f t="shared" si="20"/>
        <x:v>136000</x:v>
      </x:c>
      <x:c r="D649" s="25">
        <x:f t="shared" si="21"/>
        <x:v>150000</x:v>
      </x:c>
      <x:c r="E649" s="25">
        <x:f t="shared" si="22"/>
        <x:v>160500</x:v>
      </x:c>
      <x:c r="F649" s="58">
        <x:f t="shared" si="23"/>
        <x:v>170500</x:v>
      </x:c>
    </x:row>
    <x:row r="650">
      <x:c r="B650" s="63">
        <x:v>748</x:v>
      </x:c>
      <x:c r="C650" s="57">
        <x:f t="shared" si="20"/>
        <x:v>136000</x:v>
      </x:c>
      <x:c r="D650" s="25">
        <x:f t="shared" si="21"/>
        <x:v>150000</x:v>
      </x:c>
      <x:c r="E650" s="25">
        <x:f t="shared" si="22"/>
        <x:v>160500</x:v>
      </x:c>
      <x:c r="F650" s="58">
        <x:f t="shared" si="23"/>
        <x:v>170500</x:v>
      </x:c>
    </x:row>
    <x:row r="651">
      <x:c r="B651" s="63">
        <x:v>749</x:v>
      </x:c>
      <x:c r="C651" s="57">
        <x:f t="shared" si="20"/>
        <x:v>136000</x:v>
      </x:c>
      <x:c r="D651" s="25">
        <x:f t="shared" si="21"/>
        <x:v>150000</x:v>
      </x:c>
      <x:c r="E651" s="25">
        <x:f t="shared" si="22"/>
        <x:v>160500</x:v>
      </x:c>
      <x:c r="F651" s="58">
        <x:f t="shared" si="23"/>
        <x:v>170500</x:v>
      </x:c>
    </x:row>
    <x:row r="652">
      <x:c r="B652" s="63">
        <x:v>750</x:v>
      </x:c>
      <x:c r="C652" s="57">
        <x:f t="shared" si="20"/>
        <x:v>136000</x:v>
      </x:c>
      <x:c r="D652" s="25">
        <x:f t="shared" si="21"/>
        <x:v>150000</x:v>
      </x:c>
      <x:c r="E652" s="25">
        <x:f t="shared" si="22"/>
        <x:v>160500</x:v>
      </x:c>
      <x:c r="F652" s="58">
        <x:f t="shared" si="23"/>
        <x:v>170500</x:v>
      </x:c>
    </x:row>
    <x:row r="653">
      <x:c r="B653" s="63">
        <x:v>751</x:v>
      </x:c>
      <x:c r="C653" s="57" t="n">
        <x:f>$C$402+$J$8</x:f>
        <x:v>143300</x:v>
      </x:c>
      <x:c r="D653" s="25" t="n">
        <x:f>$D$402+$K$8</x:f>
        <x:v>158100</x:v>
      </x:c>
      <x:c r="E653" s="25" t="n">
        <x:f>$E$402+$L$8</x:f>
        <x:v>169200</x:v>
      </x:c>
      <x:c r="F653" s="58" t="n">
        <x:f>$F$402+$M$8</x:f>
        <x:v>179800</x:v>
      </x:c>
    </x:row>
    <x:row r="654">
      <x:c r="B654" s="63">
        <x:v>752</x:v>
      </x:c>
      <x:c r="C654" s="57" t="n">
        <x:f t="shared" ref="C654:C702" si="24">$C$402+$J$8</x:f>
        <x:v>143300</x:v>
      </x:c>
      <x:c r="D654" s="25" t="n">
        <x:f t="shared" ref="D654:D702" si="25">$D$402+$K$8</x:f>
        <x:v>158100</x:v>
      </x:c>
      <x:c r="E654" s="25" t="n">
        <x:f t="shared" ref="E654:E702" si="26">$E$402+$L$8</x:f>
        <x:v>169200</x:v>
      </x:c>
      <x:c r="F654" s="58" t="n">
        <x:f t="shared" ref="F654:F702" si="27">$F$402+$M$8</x:f>
        <x:v>179800</x:v>
      </x:c>
    </x:row>
    <x:row r="655">
      <x:c r="B655" s="63">
        <x:v>753</x:v>
      </x:c>
      <x:c r="C655" s="57">
        <x:f t="shared" si="24"/>
        <x:v>143300</x:v>
      </x:c>
      <x:c r="D655" s="25">
        <x:f t="shared" si="25"/>
        <x:v>158100</x:v>
      </x:c>
      <x:c r="E655" s="25">
        <x:f t="shared" si="26"/>
        <x:v>169200</x:v>
      </x:c>
      <x:c r="F655" s="58">
        <x:f t="shared" si="27"/>
        <x:v>179800</x:v>
      </x:c>
    </x:row>
    <x:row r="656">
      <x:c r="B656" s="63">
        <x:v>754</x:v>
      </x:c>
      <x:c r="C656" s="57">
        <x:f t="shared" si="24"/>
        <x:v>143300</x:v>
      </x:c>
      <x:c r="D656" s="25">
        <x:f t="shared" si="25"/>
        <x:v>158100</x:v>
      </x:c>
      <x:c r="E656" s="25">
        <x:f t="shared" si="26"/>
        <x:v>169200</x:v>
      </x:c>
      <x:c r="F656" s="58">
        <x:f t="shared" si="27"/>
        <x:v>179800</x:v>
      </x:c>
    </x:row>
    <x:row r="657">
      <x:c r="B657" s="63">
        <x:v>755</x:v>
      </x:c>
      <x:c r="C657" s="57">
        <x:f t="shared" si="24"/>
        <x:v>143300</x:v>
      </x:c>
      <x:c r="D657" s="25">
        <x:f t="shared" si="25"/>
        <x:v>158100</x:v>
      </x:c>
      <x:c r="E657" s="25">
        <x:f t="shared" si="26"/>
        <x:v>169200</x:v>
      </x:c>
      <x:c r="F657" s="58">
        <x:f t="shared" si="27"/>
        <x:v>179800</x:v>
      </x:c>
    </x:row>
    <x:row r="658">
      <x:c r="B658" s="63">
        <x:v>756</x:v>
      </x:c>
      <x:c r="C658" s="57">
        <x:f t="shared" si="24"/>
        <x:v>143300</x:v>
      </x:c>
      <x:c r="D658" s="25">
        <x:f t="shared" si="25"/>
        <x:v>158100</x:v>
      </x:c>
      <x:c r="E658" s="25">
        <x:f t="shared" si="26"/>
        <x:v>169200</x:v>
      </x:c>
      <x:c r="F658" s="58">
        <x:f t="shared" si="27"/>
        <x:v>179800</x:v>
      </x:c>
    </x:row>
    <x:row r="659">
      <x:c r="B659" s="63">
        <x:v>757</x:v>
      </x:c>
      <x:c r="C659" s="57">
        <x:f t="shared" si="24"/>
        <x:v>143300</x:v>
      </x:c>
      <x:c r="D659" s="25">
        <x:f t="shared" si="25"/>
        <x:v>158100</x:v>
      </x:c>
      <x:c r="E659" s="25">
        <x:f t="shared" si="26"/>
        <x:v>169200</x:v>
      </x:c>
      <x:c r="F659" s="58">
        <x:f t="shared" si="27"/>
        <x:v>179800</x:v>
      </x:c>
    </x:row>
    <x:row r="660">
      <x:c r="B660" s="63">
        <x:v>758</x:v>
      </x:c>
      <x:c r="C660" s="57">
        <x:f t="shared" si="24"/>
        <x:v>143300</x:v>
      </x:c>
      <x:c r="D660" s="25">
        <x:f t="shared" si="25"/>
        <x:v>158100</x:v>
      </x:c>
      <x:c r="E660" s="25">
        <x:f t="shared" si="26"/>
        <x:v>169200</x:v>
      </x:c>
      <x:c r="F660" s="58">
        <x:f t="shared" si="27"/>
        <x:v>179800</x:v>
      </x:c>
    </x:row>
    <x:row r="661">
      <x:c r="B661" s="63">
        <x:v>759</x:v>
      </x:c>
      <x:c r="C661" s="57">
        <x:f t="shared" si="24"/>
        <x:v>143300</x:v>
      </x:c>
      <x:c r="D661" s="25">
        <x:f t="shared" si="25"/>
        <x:v>158100</x:v>
      </x:c>
      <x:c r="E661" s="25">
        <x:f t="shared" si="26"/>
        <x:v>169200</x:v>
      </x:c>
      <x:c r="F661" s="58">
        <x:f t="shared" si="27"/>
        <x:v>179800</x:v>
      </x:c>
    </x:row>
    <x:row r="662">
      <x:c r="B662" s="63">
        <x:v>760</x:v>
      </x:c>
      <x:c r="C662" s="57">
        <x:f t="shared" si="24"/>
        <x:v>143300</x:v>
      </x:c>
      <x:c r="D662" s="25">
        <x:f t="shared" si="25"/>
        <x:v>158100</x:v>
      </x:c>
      <x:c r="E662" s="25">
        <x:f t="shared" si="26"/>
        <x:v>169200</x:v>
      </x:c>
      <x:c r="F662" s="58">
        <x:f t="shared" si="27"/>
        <x:v>179800</x:v>
      </x:c>
    </x:row>
    <x:row r="663">
      <x:c r="B663" s="63">
        <x:v>761</x:v>
      </x:c>
      <x:c r="C663" s="57">
        <x:f t="shared" si="24"/>
        <x:v>143300</x:v>
      </x:c>
      <x:c r="D663" s="25">
        <x:f t="shared" si="25"/>
        <x:v>158100</x:v>
      </x:c>
      <x:c r="E663" s="25">
        <x:f t="shared" si="26"/>
        <x:v>169200</x:v>
      </x:c>
      <x:c r="F663" s="58">
        <x:f t="shared" si="27"/>
        <x:v>179800</x:v>
      </x:c>
    </x:row>
    <x:row r="664">
      <x:c r="B664" s="63">
        <x:v>762</x:v>
      </x:c>
      <x:c r="C664" s="57">
        <x:f t="shared" si="24"/>
        <x:v>143300</x:v>
      </x:c>
      <x:c r="D664" s="25">
        <x:f t="shared" si="25"/>
        <x:v>158100</x:v>
      </x:c>
      <x:c r="E664" s="25">
        <x:f t="shared" si="26"/>
        <x:v>169200</x:v>
      </x:c>
      <x:c r="F664" s="58">
        <x:f t="shared" si="27"/>
        <x:v>179800</x:v>
      </x:c>
    </x:row>
    <x:row r="665">
      <x:c r="B665" s="63">
        <x:v>763</x:v>
      </x:c>
      <x:c r="C665" s="57">
        <x:f t="shared" si="24"/>
        <x:v>143300</x:v>
      </x:c>
      <x:c r="D665" s="25">
        <x:f t="shared" si="25"/>
        <x:v>158100</x:v>
      </x:c>
      <x:c r="E665" s="25">
        <x:f t="shared" si="26"/>
        <x:v>169200</x:v>
      </x:c>
      <x:c r="F665" s="58">
        <x:f t="shared" si="27"/>
        <x:v>179800</x:v>
      </x:c>
    </x:row>
    <x:row r="666">
      <x:c r="B666" s="63">
        <x:v>764</x:v>
      </x:c>
      <x:c r="C666" s="57">
        <x:f t="shared" si="24"/>
        <x:v>143300</x:v>
      </x:c>
      <x:c r="D666" s="25">
        <x:f t="shared" si="25"/>
        <x:v>158100</x:v>
      </x:c>
      <x:c r="E666" s="25">
        <x:f t="shared" si="26"/>
        <x:v>169200</x:v>
      </x:c>
      <x:c r="F666" s="58">
        <x:f t="shared" si="27"/>
        <x:v>179800</x:v>
      </x:c>
    </x:row>
    <x:row r="667">
      <x:c r="B667" s="63">
        <x:v>765</x:v>
      </x:c>
      <x:c r="C667" s="57">
        <x:f t="shared" si="24"/>
        <x:v>143300</x:v>
      </x:c>
      <x:c r="D667" s="25">
        <x:f t="shared" si="25"/>
        <x:v>158100</x:v>
      </x:c>
      <x:c r="E667" s="25">
        <x:f t="shared" si="26"/>
        <x:v>169200</x:v>
      </x:c>
      <x:c r="F667" s="58">
        <x:f t="shared" si="27"/>
        <x:v>179800</x:v>
      </x:c>
    </x:row>
    <x:row r="668">
      <x:c r="B668" s="63">
        <x:v>766</x:v>
      </x:c>
      <x:c r="C668" s="57">
        <x:f t="shared" si="24"/>
        <x:v>143300</x:v>
      </x:c>
      <x:c r="D668" s="25">
        <x:f t="shared" si="25"/>
        <x:v>158100</x:v>
      </x:c>
      <x:c r="E668" s="25">
        <x:f t="shared" si="26"/>
        <x:v>169200</x:v>
      </x:c>
      <x:c r="F668" s="58">
        <x:f t="shared" si="27"/>
        <x:v>179800</x:v>
      </x:c>
    </x:row>
    <x:row r="669">
      <x:c r="B669" s="63">
        <x:v>767</x:v>
      </x:c>
      <x:c r="C669" s="57">
        <x:f t="shared" si="24"/>
        <x:v>143300</x:v>
      </x:c>
      <x:c r="D669" s="25">
        <x:f t="shared" si="25"/>
        <x:v>158100</x:v>
      </x:c>
      <x:c r="E669" s="25">
        <x:f t="shared" si="26"/>
        <x:v>169200</x:v>
      </x:c>
      <x:c r="F669" s="58">
        <x:f t="shared" si="27"/>
        <x:v>179800</x:v>
      </x:c>
    </x:row>
    <x:row r="670">
      <x:c r="B670" s="63">
        <x:v>768</x:v>
      </x:c>
      <x:c r="C670" s="57">
        <x:f t="shared" si="24"/>
        <x:v>143300</x:v>
      </x:c>
      <x:c r="D670" s="25">
        <x:f t="shared" si="25"/>
        <x:v>158100</x:v>
      </x:c>
      <x:c r="E670" s="25">
        <x:f t="shared" si="26"/>
        <x:v>169200</x:v>
      </x:c>
      <x:c r="F670" s="58">
        <x:f t="shared" si="27"/>
        <x:v>179800</x:v>
      </x:c>
    </x:row>
    <x:row r="671">
      <x:c r="B671" s="63">
        <x:v>769</x:v>
      </x:c>
      <x:c r="C671" s="57">
        <x:f t="shared" si="24"/>
        <x:v>143300</x:v>
      </x:c>
      <x:c r="D671" s="25">
        <x:f t="shared" si="25"/>
        <x:v>158100</x:v>
      </x:c>
      <x:c r="E671" s="25">
        <x:f t="shared" si="26"/>
        <x:v>169200</x:v>
      </x:c>
      <x:c r="F671" s="58">
        <x:f t="shared" si="27"/>
        <x:v>179800</x:v>
      </x:c>
    </x:row>
    <x:row r="672">
      <x:c r="B672" s="63">
        <x:v>770</x:v>
      </x:c>
      <x:c r="C672" s="57">
        <x:f t="shared" si="24"/>
        <x:v>143300</x:v>
      </x:c>
      <x:c r="D672" s="25">
        <x:f t="shared" si="25"/>
        <x:v>158100</x:v>
      </x:c>
      <x:c r="E672" s="25">
        <x:f t="shared" si="26"/>
        <x:v>169200</x:v>
      </x:c>
      <x:c r="F672" s="58">
        <x:f t="shared" si="27"/>
        <x:v>179800</x:v>
      </x:c>
    </x:row>
    <x:row r="673">
      <x:c r="B673" s="63">
        <x:v>771</x:v>
      </x:c>
      <x:c r="C673" s="57">
        <x:f t="shared" si="24"/>
        <x:v>143300</x:v>
      </x:c>
      <x:c r="D673" s="25">
        <x:f t="shared" si="25"/>
        <x:v>158100</x:v>
      </x:c>
      <x:c r="E673" s="25">
        <x:f t="shared" si="26"/>
        <x:v>169200</x:v>
      </x:c>
      <x:c r="F673" s="58">
        <x:f t="shared" si="27"/>
        <x:v>179800</x:v>
      </x:c>
    </x:row>
    <x:row r="674">
      <x:c r="B674" s="63">
        <x:v>772</x:v>
      </x:c>
      <x:c r="C674" s="57">
        <x:f t="shared" si="24"/>
        <x:v>143300</x:v>
      </x:c>
      <x:c r="D674" s="25">
        <x:f t="shared" si="25"/>
        <x:v>158100</x:v>
      </x:c>
      <x:c r="E674" s="25">
        <x:f t="shared" si="26"/>
        <x:v>169200</x:v>
      </x:c>
      <x:c r="F674" s="58">
        <x:f t="shared" si="27"/>
        <x:v>179800</x:v>
      </x:c>
    </x:row>
    <x:row r="675">
      <x:c r="B675" s="63">
        <x:v>773</x:v>
      </x:c>
      <x:c r="C675" s="57">
        <x:f t="shared" si="24"/>
        <x:v>143300</x:v>
      </x:c>
      <x:c r="D675" s="25">
        <x:f t="shared" si="25"/>
        <x:v>158100</x:v>
      </x:c>
      <x:c r="E675" s="25">
        <x:f t="shared" si="26"/>
        <x:v>169200</x:v>
      </x:c>
      <x:c r="F675" s="58">
        <x:f t="shared" si="27"/>
        <x:v>179800</x:v>
      </x:c>
    </x:row>
    <x:row r="676">
      <x:c r="B676" s="63">
        <x:v>774</x:v>
      </x:c>
      <x:c r="C676" s="57">
        <x:f t="shared" si="24"/>
        <x:v>143300</x:v>
      </x:c>
      <x:c r="D676" s="25">
        <x:f t="shared" si="25"/>
        <x:v>158100</x:v>
      </x:c>
      <x:c r="E676" s="25">
        <x:f t="shared" si="26"/>
        <x:v>169200</x:v>
      </x:c>
      <x:c r="F676" s="58">
        <x:f t="shared" si="27"/>
        <x:v>179800</x:v>
      </x:c>
    </x:row>
    <x:row r="677">
      <x:c r="B677" s="63">
        <x:v>775</x:v>
      </x:c>
      <x:c r="C677" s="57">
        <x:f t="shared" si="24"/>
        <x:v>143300</x:v>
      </x:c>
      <x:c r="D677" s="25">
        <x:f t="shared" si="25"/>
        <x:v>158100</x:v>
      </x:c>
      <x:c r="E677" s="25">
        <x:f t="shared" si="26"/>
        <x:v>169200</x:v>
      </x:c>
      <x:c r="F677" s="58">
        <x:f t="shared" si="27"/>
        <x:v>179800</x:v>
      </x:c>
    </x:row>
    <x:row r="678">
      <x:c r="B678" s="63">
        <x:v>776</x:v>
      </x:c>
      <x:c r="C678" s="57">
        <x:f t="shared" si="24"/>
        <x:v>143300</x:v>
      </x:c>
      <x:c r="D678" s="25">
        <x:f t="shared" si="25"/>
        <x:v>158100</x:v>
      </x:c>
      <x:c r="E678" s="25">
        <x:f t="shared" si="26"/>
        <x:v>169200</x:v>
      </x:c>
      <x:c r="F678" s="58">
        <x:f t="shared" si="27"/>
        <x:v>179800</x:v>
      </x:c>
    </x:row>
    <x:row r="679">
      <x:c r="B679" s="63">
        <x:v>777</x:v>
      </x:c>
      <x:c r="C679" s="57">
        <x:f t="shared" si="24"/>
        <x:v>143300</x:v>
      </x:c>
      <x:c r="D679" s="25">
        <x:f t="shared" si="25"/>
        <x:v>158100</x:v>
      </x:c>
      <x:c r="E679" s="25">
        <x:f t="shared" si="26"/>
        <x:v>169200</x:v>
      </x:c>
      <x:c r="F679" s="58">
        <x:f t="shared" si="27"/>
        <x:v>179800</x:v>
      </x:c>
    </x:row>
    <x:row r="680">
      <x:c r="B680" s="63">
        <x:v>778</x:v>
      </x:c>
      <x:c r="C680" s="57">
        <x:f t="shared" si="24"/>
        <x:v>143300</x:v>
      </x:c>
      <x:c r="D680" s="25">
        <x:f t="shared" si="25"/>
        <x:v>158100</x:v>
      </x:c>
      <x:c r="E680" s="25">
        <x:f t="shared" si="26"/>
        <x:v>169200</x:v>
      </x:c>
      <x:c r="F680" s="58">
        <x:f t="shared" si="27"/>
        <x:v>179800</x:v>
      </x:c>
    </x:row>
    <x:row r="681">
      <x:c r="B681" s="63">
        <x:v>779</x:v>
      </x:c>
      <x:c r="C681" s="57">
        <x:f t="shared" si="24"/>
        <x:v>143300</x:v>
      </x:c>
      <x:c r="D681" s="25">
        <x:f t="shared" si="25"/>
        <x:v>158100</x:v>
      </x:c>
      <x:c r="E681" s="25">
        <x:f t="shared" si="26"/>
        <x:v>169200</x:v>
      </x:c>
      <x:c r="F681" s="58">
        <x:f t="shared" si="27"/>
        <x:v>179800</x:v>
      </x:c>
    </x:row>
    <x:row r="682">
      <x:c r="B682" s="63">
        <x:v>780</x:v>
      </x:c>
      <x:c r="C682" s="57">
        <x:f t="shared" si="24"/>
        <x:v>143300</x:v>
      </x:c>
      <x:c r="D682" s="25">
        <x:f t="shared" si="25"/>
        <x:v>158100</x:v>
      </x:c>
      <x:c r="E682" s="25">
        <x:f t="shared" si="26"/>
        <x:v>169200</x:v>
      </x:c>
      <x:c r="F682" s="58">
        <x:f t="shared" si="27"/>
        <x:v>179800</x:v>
      </x:c>
    </x:row>
    <x:row r="683">
      <x:c r="B683" s="63">
        <x:v>781</x:v>
      </x:c>
      <x:c r="C683" s="57">
        <x:f t="shared" si="24"/>
        <x:v>143300</x:v>
      </x:c>
      <x:c r="D683" s="25">
        <x:f t="shared" si="25"/>
        <x:v>158100</x:v>
      </x:c>
      <x:c r="E683" s="25">
        <x:f t="shared" si="26"/>
        <x:v>169200</x:v>
      </x:c>
      <x:c r="F683" s="58">
        <x:f t="shared" si="27"/>
        <x:v>179800</x:v>
      </x:c>
    </x:row>
    <x:row r="684">
      <x:c r="B684" s="63">
        <x:v>782</x:v>
      </x:c>
      <x:c r="C684" s="57">
        <x:f t="shared" si="24"/>
        <x:v>143300</x:v>
      </x:c>
      <x:c r="D684" s="25">
        <x:f t="shared" si="25"/>
        <x:v>158100</x:v>
      </x:c>
      <x:c r="E684" s="25">
        <x:f t="shared" si="26"/>
        <x:v>169200</x:v>
      </x:c>
      <x:c r="F684" s="58">
        <x:f t="shared" si="27"/>
        <x:v>179800</x:v>
      </x:c>
    </x:row>
    <x:row r="685">
      <x:c r="B685" s="63">
        <x:v>783</x:v>
      </x:c>
      <x:c r="C685" s="57">
        <x:f t="shared" si="24"/>
        <x:v>143300</x:v>
      </x:c>
      <x:c r="D685" s="25">
        <x:f t="shared" si="25"/>
        <x:v>158100</x:v>
      </x:c>
      <x:c r="E685" s="25">
        <x:f t="shared" si="26"/>
        <x:v>169200</x:v>
      </x:c>
      <x:c r="F685" s="58">
        <x:f t="shared" si="27"/>
        <x:v>179800</x:v>
      </x:c>
    </x:row>
    <x:row r="686">
      <x:c r="B686" s="63">
        <x:v>784</x:v>
      </x:c>
      <x:c r="C686" s="57">
        <x:f t="shared" si="24"/>
        <x:v>143300</x:v>
      </x:c>
      <x:c r="D686" s="25">
        <x:f t="shared" si="25"/>
        <x:v>158100</x:v>
      </x:c>
      <x:c r="E686" s="25">
        <x:f t="shared" si="26"/>
        <x:v>169200</x:v>
      </x:c>
      <x:c r="F686" s="58">
        <x:f t="shared" si="27"/>
        <x:v>179800</x:v>
      </x:c>
    </x:row>
    <x:row r="687">
      <x:c r="B687" s="63">
        <x:v>785</x:v>
      </x:c>
      <x:c r="C687" s="57">
        <x:f t="shared" si="24"/>
        <x:v>143300</x:v>
      </x:c>
      <x:c r="D687" s="25">
        <x:f t="shared" si="25"/>
        <x:v>158100</x:v>
      </x:c>
      <x:c r="E687" s="25">
        <x:f t="shared" si="26"/>
        <x:v>169200</x:v>
      </x:c>
      <x:c r="F687" s="58">
        <x:f t="shared" si="27"/>
        <x:v>179800</x:v>
      </x:c>
    </x:row>
    <x:row r="688">
      <x:c r="B688" s="63">
        <x:v>786</x:v>
      </x:c>
      <x:c r="C688" s="57">
        <x:f t="shared" si="24"/>
        <x:v>143300</x:v>
      </x:c>
      <x:c r="D688" s="25">
        <x:f t="shared" si="25"/>
        <x:v>158100</x:v>
      </x:c>
      <x:c r="E688" s="25">
        <x:f t="shared" si="26"/>
        <x:v>169200</x:v>
      </x:c>
      <x:c r="F688" s="58">
        <x:f t="shared" si="27"/>
        <x:v>179800</x:v>
      </x:c>
    </x:row>
    <x:row r="689">
      <x:c r="B689" s="63">
        <x:v>787</x:v>
      </x:c>
      <x:c r="C689" s="57">
        <x:f t="shared" si="24"/>
        <x:v>143300</x:v>
      </x:c>
      <x:c r="D689" s="25">
        <x:f t="shared" si="25"/>
        <x:v>158100</x:v>
      </x:c>
      <x:c r="E689" s="25">
        <x:f t="shared" si="26"/>
        <x:v>169200</x:v>
      </x:c>
      <x:c r="F689" s="58">
        <x:f t="shared" si="27"/>
        <x:v>179800</x:v>
      </x:c>
    </x:row>
    <x:row r="690">
      <x:c r="B690" s="63">
        <x:v>788</x:v>
      </x:c>
      <x:c r="C690" s="57">
        <x:f t="shared" si="24"/>
        <x:v>143300</x:v>
      </x:c>
      <x:c r="D690" s="25">
        <x:f t="shared" si="25"/>
        <x:v>158100</x:v>
      </x:c>
      <x:c r="E690" s="25">
        <x:f t="shared" si="26"/>
        <x:v>169200</x:v>
      </x:c>
      <x:c r="F690" s="58">
        <x:f t="shared" si="27"/>
        <x:v>179800</x:v>
      </x:c>
    </x:row>
    <x:row r="691">
      <x:c r="B691" s="63">
        <x:v>789</x:v>
      </x:c>
      <x:c r="C691" s="57">
        <x:f t="shared" si="24"/>
        <x:v>143300</x:v>
      </x:c>
      <x:c r="D691" s="25">
        <x:f t="shared" si="25"/>
        <x:v>158100</x:v>
      </x:c>
      <x:c r="E691" s="25">
        <x:f t="shared" si="26"/>
        <x:v>169200</x:v>
      </x:c>
      <x:c r="F691" s="58">
        <x:f t="shared" si="27"/>
        <x:v>179800</x:v>
      </x:c>
    </x:row>
    <x:row r="692">
      <x:c r="B692" s="63">
        <x:v>790</x:v>
      </x:c>
      <x:c r="C692" s="57">
        <x:f t="shared" si="24"/>
        <x:v>143300</x:v>
      </x:c>
      <x:c r="D692" s="25">
        <x:f t="shared" si="25"/>
        <x:v>158100</x:v>
      </x:c>
      <x:c r="E692" s="25">
        <x:f t="shared" si="26"/>
        <x:v>169200</x:v>
      </x:c>
      <x:c r="F692" s="58">
        <x:f t="shared" si="27"/>
        <x:v>179800</x:v>
      </x:c>
    </x:row>
    <x:row r="693">
      <x:c r="B693" s="63">
        <x:v>791</x:v>
      </x:c>
      <x:c r="C693" s="57">
        <x:f t="shared" si="24"/>
        <x:v>143300</x:v>
      </x:c>
      <x:c r="D693" s="25">
        <x:f t="shared" si="25"/>
        <x:v>158100</x:v>
      </x:c>
      <x:c r="E693" s="25">
        <x:f t="shared" si="26"/>
        <x:v>169200</x:v>
      </x:c>
      <x:c r="F693" s="58">
        <x:f t="shared" si="27"/>
        <x:v>179800</x:v>
      </x:c>
    </x:row>
    <x:row r="694">
      <x:c r="B694" s="63">
        <x:v>792</x:v>
      </x:c>
      <x:c r="C694" s="57">
        <x:f t="shared" si="24"/>
        <x:v>143300</x:v>
      </x:c>
      <x:c r="D694" s="25">
        <x:f t="shared" si="25"/>
        <x:v>158100</x:v>
      </x:c>
      <x:c r="E694" s="25">
        <x:f t="shared" si="26"/>
        <x:v>169200</x:v>
      </x:c>
      <x:c r="F694" s="58">
        <x:f t="shared" si="27"/>
        <x:v>179800</x:v>
      </x:c>
    </x:row>
    <x:row r="695">
      <x:c r="B695" s="63">
        <x:v>793</x:v>
      </x:c>
      <x:c r="C695" s="57">
        <x:f t="shared" si="24"/>
        <x:v>143300</x:v>
      </x:c>
      <x:c r="D695" s="25">
        <x:f t="shared" si="25"/>
        <x:v>158100</x:v>
      </x:c>
      <x:c r="E695" s="25">
        <x:f t="shared" si="26"/>
        <x:v>169200</x:v>
      </x:c>
      <x:c r="F695" s="58">
        <x:f t="shared" si="27"/>
        <x:v>179800</x:v>
      </x:c>
    </x:row>
    <x:row r="696">
      <x:c r="B696" s="63">
        <x:v>794</x:v>
      </x:c>
      <x:c r="C696" s="57">
        <x:f t="shared" si="24"/>
        <x:v>143300</x:v>
      </x:c>
      <x:c r="D696" s="25">
        <x:f t="shared" si="25"/>
        <x:v>158100</x:v>
      </x:c>
      <x:c r="E696" s="25">
        <x:f t="shared" si="26"/>
        <x:v>169200</x:v>
      </x:c>
      <x:c r="F696" s="58">
        <x:f t="shared" si="27"/>
        <x:v>179800</x:v>
      </x:c>
    </x:row>
    <x:row r="697">
      <x:c r="B697" s="63">
        <x:v>795</x:v>
      </x:c>
      <x:c r="C697" s="57">
        <x:f t="shared" si="24"/>
        <x:v>143300</x:v>
      </x:c>
      <x:c r="D697" s="25">
        <x:f t="shared" si="25"/>
        <x:v>158100</x:v>
      </x:c>
      <x:c r="E697" s="25">
        <x:f t="shared" si="26"/>
        <x:v>169200</x:v>
      </x:c>
      <x:c r="F697" s="58">
        <x:f t="shared" si="27"/>
        <x:v>179800</x:v>
      </x:c>
    </x:row>
    <x:row r="698">
      <x:c r="B698" s="63">
        <x:v>796</x:v>
      </x:c>
      <x:c r="C698" s="57">
        <x:f t="shared" si="24"/>
        <x:v>143300</x:v>
      </x:c>
      <x:c r="D698" s="25">
        <x:f t="shared" si="25"/>
        <x:v>158100</x:v>
      </x:c>
      <x:c r="E698" s="25">
        <x:f t="shared" si="26"/>
        <x:v>169200</x:v>
      </x:c>
      <x:c r="F698" s="58">
        <x:f t="shared" si="27"/>
        <x:v>179800</x:v>
      </x:c>
    </x:row>
    <x:row r="699">
      <x:c r="B699" s="63">
        <x:v>797</x:v>
      </x:c>
      <x:c r="C699" s="57">
        <x:f t="shared" si="24"/>
        <x:v>143300</x:v>
      </x:c>
      <x:c r="D699" s="25">
        <x:f t="shared" si="25"/>
        <x:v>158100</x:v>
      </x:c>
      <x:c r="E699" s="25">
        <x:f t="shared" si="26"/>
        <x:v>169200</x:v>
      </x:c>
      <x:c r="F699" s="58">
        <x:f t="shared" si="27"/>
        <x:v>179800</x:v>
      </x:c>
    </x:row>
    <x:row r="700">
      <x:c r="B700" s="63">
        <x:v>798</x:v>
      </x:c>
      <x:c r="C700" s="57">
        <x:f t="shared" si="24"/>
        <x:v>143300</x:v>
      </x:c>
      <x:c r="D700" s="25">
        <x:f t="shared" si="25"/>
        <x:v>158100</x:v>
      </x:c>
      <x:c r="E700" s="25">
        <x:f t="shared" si="26"/>
        <x:v>169200</x:v>
      </x:c>
      <x:c r="F700" s="58">
        <x:f t="shared" si="27"/>
        <x:v>179800</x:v>
      </x:c>
    </x:row>
    <x:row r="701">
      <x:c r="B701" s="63">
        <x:v>799</x:v>
      </x:c>
      <x:c r="C701" s="57">
        <x:f t="shared" si="24"/>
        <x:v>143300</x:v>
      </x:c>
      <x:c r="D701" s="25">
        <x:f t="shared" si="25"/>
        <x:v>158100</x:v>
      </x:c>
      <x:c r="E701" s="25">
        <x:f t="shared" si="26"/>
        <x:v>169200</x:v>
      </x:c>
      <x:c r="F701" s="58">
        <x:f t="shared" si="27"/>
        <x:v>179800</x:v>
      </x:c>
    </x:row>
    <x:row r="702">
      <x:c r="B702" s="63">
        <x:v>800</x:v>
      </x:c>
      <x:c r="C702" s="57">
        <x:f t="shared" si="24"/>
        <x:v>143300</x:v>
      </x:c>
      <x:c r="D702" s="25">
        <x:f t="shared" si="25"/>
        <x:v>158100</x:v>
      </x:c>
      <x:c r="E702" s="25">
        <x:f t="shared" si="26"/>
        <x:v>169200</x:v>
      </x:c>
      <x:c r="F702" s="58">
        <x:f t="shared" si="27"/>
        <x:v>179800</x:v>
      </x:c>
    </x:row>
    <x:row r="703">
      <x:c r="B703" s="63">
        <x:v>801</x:v>
      </x:c>
      <x:c r="C703" s="57" t="n">
        <x:f>$C$402+$J$9</x:f>
        <x:v>150600</x:v>
      </x:c>
      <x:c r="D703" s="25" t="n">
        <x:f>$D$402+$K$9</x:f>
        <x:v>166200</x:v>
      </x:c>
      <x:c r="E703" s="25" t="n">
        <x:f>$E$402+$L$9</x:f>
        <x:v>177900</x:v>
      </x:c>
      <x:c r="F703" s="58" t="n">
        <x:f>$F$402+$M$9</x:f>
        <x:v>189100</x:v>
      </x:c>
    </x:row>
    <x:row r="704">
      <x:c r="B704" s="63">
        <x:v>802</x:v>
      </x:c>
      <x:c r="C704" s="57" t="n">
        <x:f t="shared" ref="C704:C752" si="28">$C$402+$J$9</x:f>
        <x:v>150600</x:v>
      </x:c>
      <x:c r="D704" s="25" t="n">
        <x:f t="shared" ref="D704:D752" si="29">$D$402+$K$9</x:f>
        <x:v>166200</x:v>
      </x:c>
      <x:c r="E704" s="25" t="n">
        <x:f t="shared" ref="E704:E752" si="30">$E$402+$L$9</x:f>
        <x:v>177900</x:v>
      </x:c>
      <x:c r="F704" s="58" t="n">
        <x:f t="shared" ref="F704:F752" si="31">$F$402+$M$9</x:f>
        <x:v>189100</x:v>
      </x:c>
    </x:row>
    <x:row r="705">
      <x:c r="B705" s="63">
        <x:v>803</x:v>
      </x:c>
      <x:c r="C705" s="57">
        <x:f t="shared" si="28"/>
        <x:v>150600</x:v>
      </x:c>
      <x:c r="D705" s="25">
        <x:f t="shared" si="29"/>
        <x:v>166200</x:v>
      </x:c>
      <x:c r="E705" s="25">
        <x:f t="shared" si="30"/>
        <x:v>177900</x:v>
      </x:c>
      <x:c r="F705" s="58">
        <x:f t="shared" si="31"/>
        <x:v>189100</x:v>
      </x:c>
    </x:row>
    <x:row r="706">
      <x:c r="B706" s="63">
        <x:v>804</x:v>
      </x:c>
      <x:c r="C706" s="57">
        <x:f t="shared" si="28"/>
        <x:v>150600</x:v>
      </x:c>
      <x:c r="D706" s="25">
        <x:f t="shared" si="29"/>
        <x:v>166200</x:v>
      </x:c>
      <x:c r="E706" s="25">
        <x:f t="shared" si="30"/>
        <x:v>177900</x:v>
      </x:c>
      <x:c r="F706" s="58">
        <x:f t="shared" si="31"/>
        <x:v>189100</x:v>
      </x:c>
    </x:row>
    <x:row r="707">
      <x:c r="B707" s="63">
        <x:v>805</x:v>
      </x:c>
      <x:c r="C707" s="57">
        <x:f t="shared" si="28"/>
        <x:v>150600</x:v>
      </x:c>
      <x:c r="D707" s="25">
        <x:f t="shared" si="29"/>
        <x:v>166200</x:v>
      </x:c>
      <x:c r="E707" s="25">
        <x:f t="shared" si="30"/>
        <x:v>177900</x:v>
      </x:c>
      <x:c r="F707" s="58">
        <x:f t="shared" si="31"/>
        <x:v>189100</x:v>
      </x:c>
    </x:row>
    <x:row r="708">
      <x:c r="B708" s="63">
        <x:v>806</x:v>
      </x:c>
      <x:c r="C708" s="57">
        <x:f t="shared" si="28"/>
        <x:v>150600</x:v>
      </x:c>
      <x:c r="D708" s="25">
        <x:f t="shared" si="29"/>
        <x:v>166200</x:v>
      </x:c>
      <x:c r="E708" s="25">
        <x:f t="shared" si="30"/>
        <x:v>177900</x:v>
      </x:c>
      <x:c r="F708" s="58">
        <x:f t="shared" si="31"/>
        <x:v>189100</x:v>
      </x:c>
    </x:row>
    <x:row r="709">
      <x:c r="B709" s="63">
        <x:v>807</x:v>
      </x:c>
      <x:c r="C709" s="57">
        <x:f t="shared" si="28"/>
        <x:v>150600</x:v>
      </x:c>
      <x:c r="D709" s="25">
        <x:f t="shared" si="29"/>
        <x:v>166200</x:v>
      </x:c>
      <x:c r="E709" s="25">
        <x:f t="shared" si="30"/>
        <x:v>177900</x:v>
      </x:c>
      <x:c r="F709" s="58">
        <x:f t="shared" si="31"/>
        <x:v>189100</x:v>
      </x:c>
    </x:row>
    <x:row r="710">
      <x:c r="B710" s="63">
        <x:v>808</x:v>
      </x:c>
      <x:c r="C710" s="57">
        <x:f t="shared" si="28"/>
        <x:v>150600</x:v>
      </x:c>
      <x:c r="D710" s="25">
        <x:f t="shared" si="29"/>
        <x:v>166200</x:v>
      </x:c>
      <x:c r="E710" s="25">
        <x:f t="shared" si="30"/>
        <x:v>177900</x:v>
      </x:c>
      <x:c r="F710" s="58">
        <x:f t="shared" si="31"/>
        <x:v>189100</x:v>
      </x:c>
    </x:row>
    <x:row r="711">
      <x:c r="B711" s="63">
        <x:v>809</x:v>
      </x:c>
      <x:c r="C711" s="57">
        <x:f t="shared" si="28"/>
        <x:v>150600</x:v>
      </x:c>
      <x:c r="D711" s="25">
        <x:f t="shared" si="29"/>
        <x:v>166200</x:v>
      </x:c>
      <x:c r="E711" s="25">
        <x:f t="shared" si="30"/>
        <x:v>177900</x:v>
      </x:c>
      <x:c r="F711" s="58">
        <x:f t="shared" si="31"/>
        <x:v>189100</x:v>
      </x:c>
    </x:row>
    <x:row r="712">
      <x:c r="B712" s="63">
        <x:v>810</x:v>
      </x:c>
      <x:c r="C712" s="57">
        <x:f t="shared" si="28"/>
        <x:v>150600</x:v>
      </x:c>
      <x:c r="D712" s="25">
        <x:f t="shared" si="29"/>
        <x:v>166200</x:v>
      </x:c>
      <x:c r="E712" s="25">
        <x:f t="shared" si="30"/>
        <x:v>177900</x:v>
      </x:c>
      <x:c r="F712" s="58">
        <x:f t="shared" si="31"/>
        <x:v>189100</x:v>
      </x:c>
    </x:row>
    <x:row r="713">
      <x:c r="B713" s="63">
        <x:v>811</x:v>
      </x:c>
      <x:c r="C713" s="57">
        <x:f t="shared" si="28"/>
        <x:v>150600</x:v>
      </x:c>
      <x:c r="D713" s="25">
        <x:f t="shared" si="29"/>
        <x:v>166200</x:v>
      </x:c>
      <x:c r="E713" s="25">
        <x:f t="shared" si="30"/>
        <x:v>177900</x:v>
      </x:c>
      <x:c r="F713" s="58">
        <x:f t="shared" si="31"/>
        <x:v>189100</x:v>
      </x:c>
    </x:row>
    <x:row r="714">
      <x:c r="B714" s="63">
        <x:v>812</x:v>
      </x:c>
      <x:c r="C714" s="57">
        <x:f t="shared" si="28"/>
        <x:v>150600</x:v>
      </x:c>
      <x:c r="D714" s="25">
        <x:f t="shared" si="29"/>
        <x:v>166200</x:v>
      </x:c>
      <x:c r="E714" s="25">
        <x:f t="shared" si="30"/>
        <x:v>177900</x:v>
      </x:c>
      <x:c r="F714" s="58">
        <x:f t="shared" si="31"/>
        <x:v>189100</x:v>
      </x:c>
    </x:row>
    <x:row r="715">
      <x:c r="B715" s="63">
        <x:v>813</x:v>
      </x:c>
      <x:c r="C715" s="57">
        <x:f t="shared" si="28"/>
        <x:v>150600</x:v>
      </x:c>
      <x:c r="D715" s="25">
        <x:f t="shared" si="29"/>
        <x:v>166200</x:v>
      </x:c>
      <x:c r="E715" s="25">
        <x:f t="shared" si="30"/>
        <x:v>177900</x:v>
      </x:c>
      <x:c r="F715" s="58">
        <x:f t="shared" si="31"/>
        <x:v>189100</x:v>
      </x:c>
    </x:row>
    <x:row r="716">
      <x:c r="B716" s="63">
        <x:v>814</x:v>
      </x:c>
      <x:c r="C716" s="57">
        <x:f t="shared" si="28"/>
        <x:v>150600</x:v>
      </x:c>
      <x:c r="D716" s="25">
        <x:f t="shared" si="29"/>
        <x:v>166200</x:v>
      </x:c>
      <x:c r="E716" s="25">
        <x:f t="shared" si="30"/>
        <x:v>177900</x:v>
      </x:c>
      <x:c r="F716" s="58">
        <x:f t="shared" si="31"/>
        <x:v>189100</x:v>
      </x:c>
    </x:row>
    <x:row r="717">
      <x:c r="B717" s="63">
        <x:v>815</x:v>
      </x:c>
      <x:c r="C717" s="57">
        <x:f t="shared" si="28"/>
        <x:v>150600</x:v>
      </x:c>
      <x:c r="D717" s="25">
        <x:f t="shared" si="29"/>
        <x:v>166200</x:v>
      </x:c>
      <x:c r="E717" s="25">
        <x:f t="shared" si="30"/>
        <x:v>177900</x:v>
      </x:c>
      <x:c r="F717" s="58">
        <x:f t="shared" si="31"/>
        <x:v>189100</x:v>
      </x:c>
    </x:row>
    <x:row r="718">
      <x:c r="B718" s="63">
        <x:v>816</x:v>
      </x:c>
      <x:c r="C718" s="57">
        <x:f t="shared" si="28"/>
        <x:v>150600</x:v>
      </x:c>
      <x:c r="D718" s="25">
        <x:f t="shared" si="29"/>
        <x:v>166200</x:v>
      </x:c>
      <x:c r="E718" s="25">
        <x:f t="shared" si="30"/>
        <x:v>177900</x:v>
      </x:c>
      <x:c r="F718" s="58">
        <x:f t="shared" si="31"/>
        <x:v>189100</x:v>
      </x:c>
    </x:row>
    <x:row r="719">
      <x:c r="B719" s="63">
        <x:v>817</x:v>
      </x:c>
      <x:c r="C719" s="57">
        <x:f t="shared" si="28"/>
        <x:v>150600</x:v>
      </x:c>
      <x:c r="D719" s="25">
        <x:f t="shared" si="29"/>
        <x:v>166200</x:v>
      </x:c>
      <x:c r="E719" s="25">
        <x:f t="shared" si="30"/>
        <x:v>177900</x:v>
      </x:c>
      <x:c r="F719" s="58">
        <x:f t="shared" si="31"/>
        <x:v>189100</x:v>
      </x:c>
    </x:row>
    <x:row r="720">
      <x:c r="B720" s="63">
        <x:v>818</x:v>
      </x:c>
      <x:c r="C720" s="57">
        <x:f t="shared" si="28"/>
        <x:v>150600</x:v>
      </x:c>
      <x:c r="D720" s="25">
        <x:f t="shared" si="29"/>
        <x:v>166200</x:v>
      </x:c>
      <x:c r="E720" s="25">
        <x:f t="shared" si="30"/>
        <x:v>177900</x:v>
      </x:c>
      <x:c r="F720" s="58">
        <x:f t="shared" si="31"/>
        <x:v>189100</x:v>
      </x:c>
    </x:row>
    <x:row r="721">
      <x:c r="B721" s="63">
        <x:v>819</x:v>
      </x:c>
      <x:c r="C721" s="57">
        <x:f t="shared" si="28"/>
        <x:v>150600</x:v>
      </x:c>
      <x:c r="D721" s="25">
        <x:f t="shared" si="29"/>
        <x:v>166200</x:v>
      </x:c>
      <x:c r="E721" s="25">
        <x:f t="shared" si="30"/>
        <x:v>177900</x:v>
      </x:c>
      <x:c r="F721" s="58">
        <x:f t="shared" si="31"/>
        <x:v>189100</x:v>
      </x:c>
    </x:row>
    <x:row r="722">
      <x:c r="B722" s="63">
        <x:v>820</x:v>
      </x:c>
      <x:c r="C722" s="57">
        <x:f t="shared" si="28"/>
        <x:v>150600</x:v>
      </x:c>
      <x:c r="D722" s="25">
        <x:f t="shared" si="29"/>
        <x:v>166200</x:v>
      </x:c>
      <x:c r="E722" s="25">
        <x:f t="shared" si="30"/>
        <x:v>177900</x:v>
      </x:c>
      <x:c r="F722" s="58">
        <x:f t="shared" si="31"/>
        <x:v>189100</x:v>
      </x:c>
    </x:row>
    <x:row r="723">
      <x:c r="B723" s="63">
        <x:v>821</x:v>
      </x:c>
      <x:c r="C723" s="57">
        <x:f t="shared" si="28"/>
        <x:v>150600</x:v>
      </x:c>
      <x:c r="D723" s="25">
        <x:f t="shared" si="29"/>
        <x:v>166200</x:v>
      </x:c>
      <x:c r="E723" s="25">
        <x:f t="shared" si="30"/>
        <x:v>177900</x:v>
      </x:c>
      <x:c r="F723" s="58">
        <x:f t="shared" si="31"/>
        <x:v>189100</x:v>
      </x:c>
    </x:row>
    <x:row r="724">
      <x:c r="B724" s="63">
        <x:v>822</x:v>
      </x:c>
      <x:c r="C724" s="57">
        <x:f t="shared" si="28"/>
        <x:v>150600</x:v>
      </x:c>
      <x:c r="D724" s="25">
        <x:f t="shared" si="29"/>
        <x:v>166200</x:v>
      </x:c>
      <x:c r="E724" s="25">
        <x:f t="shared" si="30"/>
        <x:v>177900</x:v>
      </x:c>
      <x:c r="F724" s="58">
        <x:f t="shared" si="31"/>
        <x:v>189100</x:v>
      </x:c>
    </x:row>
    <x:row r="725">
      <x:c r="B725" s="63">
        <x:v>823</x:v>
      </x:c>
      <x:c r="C725" s="57">
        <x:f t="shared" si="28"/>
        <x:v>150600</x:v>
      </x:c>
      <x:c r="D725" s="25">
        <x:f t="shared" si="29"/>
        <x:v>166200</x:v>
      </x:c>
      <x:c r="E725" s="25">
        <x:f t="shared" si="30"/>
        <x:v>177900</x:v>
      </x:c>
      <x:c r="F725" s="58">
        <x:f t="shared" si="31"/>
        <x:v>189100</x:v>
      </x:c>
    </x:row>
    <x:row r="726">
      <x:c r="B726" s="63">
        <x:v>824</x:v>
      </x:c>
      <x:c r="C726" s="57">
        <x:f t="shared" si="28"/>
        <x:v>150600</x:v>
      </x:c>
      <x:c r="D726" s="25">
        <x:f t="shared" si="29"/>
        <x:v>166200</x:v>
      </x:c>
      <x:c r="E726" s="25">
        <x:f t="shared" si="30"/>
        <x:v>177900</x:v>
      </x:c>
      <x:c r="F726" s="58">
        <x:f t="shared" si="31"/>
        <x:v>189100</x:v>
      </x:c>
    </x:row>
    <x:row r="727">
      <x:c r="B727" s="63">
        <x:v>825</x:v>
      </x:c>
      <x:c r="C727" s="57">
        <x:f t="shared" si="28"/>
        <x:v>150600</x:v>
      </x:c>
      <x:c r="D727" s="25">
        <x:f t="shared" si="29"/>
        <x:v>166200</x:v>
      </x:c>
      <x:c r="E727" s="25">
        <x:f t="shared" si="30"/>
        <x:v>177900</x:v>
      </x:c>
      <x:c r="F727" s="58">
        <x:f t="shared" si="31"/>
        <x:v>189100</x:v>
      </x:c>
    </x:row>
    <x:row r="728">
      <x:c r="B728" s="63">
        <x:v>826</x:v>
      </x:c>
      <x:c r="C728" s="57">
        <x:f t="shared" si="28"/>
        <x:v>150600</x:v>
      </x:c>
      <x:c r="D728" s="25">
        <x:f t="shared" si="29"/>
        <x:v>166200</x:v>
      </x:c>
      <x:c r="E728" s="25">
        <x:f t="shared" si="30"/>
        <x:v>177900</x:v>
      </x:c>
      <x:c r="F728" s="58">
        <x:f t="shared" si="31"/>
        <x:v>189100</x:v>
      </x:c>
    </x:row>
    <x:row r="729">
      <x:c r="B729" s="63">
        <x:v>827</x:v>
      </x:c>
      <x:c r="C729" s="57">
        <x:f t="shared" si="28"/>
        <x:v>150600</x:v>
      </x:c>
      <x:c r="D729" s="25">
        <x:f t="shared" si="29"/>
        <x:v>166200</x:v>
      </x:c>
      <x:c r="E729" s="25">
        <x:f t="shared" si="30"/>
        <x:v>177900</x:v>
      </x:c>
      <x:c r="F729" s="58">
        <x:f t="shared" si="31"/>
        <x:v>189100</x:v>
      </x:c>
    </x:row>
    <x:row r="730">
      <x:c r="B730" s="63">
        <x:v>828</x:v>
      </x:c>
      <x:c r="C730" s="57">
        <x:f t="shared" si="28"/>
        <x:v>150600</x:v>
      </x:c>
      <x:c r="D730" s="25">
        <x:f t="shared" si="29"/>
        <x:v>166200</x:v>
      </x:c>
      <x:c r="E730" s="25">
        <x:f t="shared" si="30"/>
        <x:v>177900</x:v>
      </x:c>
      <x:c r="F730" s="58">
        <x:f t="shared" si="31"/>
        <x:v>189100</x:v>
      </x:c>
    </x:row>
    <x:row r="731">
      <x:c r="B731" s="63">
        <x:v>829</x:v>
      </x:c>
      <x:c r="C731" s="57">
        <x:f t="shared" si="28"/>
        <x:v>150600</x:v>
      </x:c>
      <x:c r="D731" s="25">
        <x:f t="shared" si="29"/>
        <x:v>166200</x:v>
      </x:c>
      <x:c r="E731" s="25">
        <x:f t="shared" si="30"/>
        <x:v>177900</x:v>
      </x:c>
      <x:c r="F731" s="58">
        <x:f t="shared" si="31"/>
        <x:v>189100</x:v>
      </x:c>
    </x:row>
    <x:row r="732">
      <x:c r="B732" s="63">
        <x:v>830</x:v>
      </x:c>
      <x:c r="C732" s="57">
        <x:f t="shared" si="28"/>
        <x:v>150600</x:v>
      </x:c>
      <x:c r="D732" s="25">
        <x:f t="shared" si="29"/>
        <x:v>166200</x:v>
      </x:c>
      <x:c r="E732" s="25">
        <x:f t="shared" si="30"/>
        <x:v>177900</x:v>
      </x:c>
      <x:c r="F732" s="58">
        <x:f t="shared" si="31"/>
        <x:v>189100</x:v>
      </x:c>
    </x:row>
    <x:row r="733">
      <x:c r="B733" s="63">
        <x:v>831</x:v>
      </x:c>
      <x:c r="C733" s="57">
        <x:f t="shared" si="28"/>
        <x:v>150600</x:v>
      </x:c>
      <x:c r="D733" s="25">
        <x:f t="shared" si="29"/>
        <x:v>166200</x:v>
      </x:c>
      <x:c r="E733" s="25">
        <x:f t="shared" si="30"/>
        <x:v>177900</x:v>
      </x:c>
      <x:c r="F733" s="58">
        <x:f t="shared" si="31"/>
        <x:v>189100</x:v>
      </x:c>
    </x:row>
    <x:row r="734">
      <x:c r="B734" s="63">
        <x:v>832</x:v>
      </x:c>
      <x:c r="C734" s="57">
        <x:f t="shared" si="28"/>
        <x:v>150600</x:v>
      </x:c>
      <x:c r="D734" s="25">
        <x:f t="shared" si="29"/>
        <x:v>166200</x:v>
      </x:c>
      <x:c r="E734" s="25">
        <x:f t="shared" si="30"/>
        <x:v>177900</x:v>
      </x:c>
      <x:c r="F734" s="58">
        <x:f t="shared" si="31"/>
        <x:v>189100</x:v>
      </x:c>
    </x:row>
    <x:row r="735">
      <x:c r="B735" s="63">
        <x:v>833</x:v>
      </x:c>
      <x:c r="C735" s="57">
        <x:f t="shared" si="28"/>
        <x:v>150600</x:v>
      </x:c>
      <x:c r="D735" s="25">
        <x:f t="shared" si="29"/>
        <x:v>166200</x:v>
      </x:c>
      <x:c r="E735" s="25">
        <x:f t="shared" si="30"/>
        <x:v>177900</x:v>
      </x:c>
      <x:c r="F735" s="58">
        <x:f t="shared" si="31"/>
        <x:v>189100</x:v>
      </x:c>
    </x:row>
    <x:row r="736">
      <x:c r="B736" s="63">
        <x:v>834</x:v>
      </x:c>
      <x:c r="C736" s="57">
        <x:f t="shared" si="28"/>
        <x:v>150600</x:v>
      </x:c>
      <x:c r="D736" s="25">
        <x:f t="shared" si="29"/>
        <x:v>166200</x:v>
      </x:c>
      <x:c r="E736" s="25">
        <x:f t="shared" si="30"/>
        <x:v>177900</x:v>
      </x:c>
      <x:c r="F736" s="58">
        <x:f t="shared" si="31"/>
        <x:v>189100</x:v>
      </x:c>
    </x:row>
    <x:row r="737">
      <x:c r="B737" s="63">
        <x:v>835</x:v>
      </x:c>
      <x:c r="C737" s="57">
        <x:f t="shared" si="28"/>
        <x:v>150600</x:v>
      </x:c>
      <x:c r="D737" s="25">
        <x:f t="shared" si="29"/>
        <x:v>166200</x:v>
      </x:c>
      <x:c r="E737" s="25">
        <x:f t="shared" si="30"/>
        <x:v>177900</x:v>
      </x:c>
      <x:c r="F737" s="58">
        <x:f t="shared" si="31"/>
        <x:v>189100</x:v>
      </x:c>
    </x:row>
    <x:row r="738">
      <x:c r="B738" s="63">
        <x:v>836</x:v>
      </x:c>
      <x:c r="C738" s="57">
        <x:f t="shared" si="28"/>
        <x:v>150600</x:v>
      </x:c>
      <x:c r="D738" s="25">
        <x:f t="shared" si="29"/>
        <x:v>166200</x:v>
      </x:c>
      <x:c r="E738" s="25">
        <x:f t="shared" si="30"/>
        <x:v>177900</x:v>
      </x:c>
      <x:c r="F738" s="58">
        <x:f t="shared" si="31"/>
        <x:v>189100</x:v>
      </x:c>
    </x:row>
    <x:row r="739">
      <x:c r="B739" s="63">
        <x:v>837</x:v>
      </x:c>
      <x:c r="C739" s="57">
        <x:f t="shared" si="28"/>
        <x:v>150600</x:v>
      </x:c>
      <x:c r="D739" s="25">
        <x:f t="shared" si="29"/>
        <x:v>166200</x:v>
      </x:c>
      <x:c r="E739" s="25">
        <x:f t="shared" si="30"/>
        <x:v>177900</x:v>
      </x:c>
      <x:c r="F739" s="58">
        <x:f t="shared" si="31"/>
        <x:v>189100</x:v>
      </x:c>
    </x:row>
    <x:row r="740">
      <x:c r="B740" s="63">
        <x:v>838</x:v>
      </x:c>
      <x:c r="C740" s="57">
        <x:f t="shared" si="28"/>
        <x:v>150600</x:v>
      </x:c>
      <x:c r="D740" s="25">
        <x:f t="shared" si="29"/>
        <x:v>166200</x:v>
      </x:c>
      <x:c r="E740" s="25">
        <x:f t="shared" si="30"/>
        <x:v>177900</x:v>
      </x:c>
      <x:c r="F740" s="58">
        <x:f t="shared" si="31"/>
        <x:v>189100</x:v>
      </x:c>
    </x:row>
    <x:row r="741">
      <x:c r="B741" s="63">
        <x:v>839</x:v>
      </x:c>
      <x:c r="C741" s="57">
        <x:f t="shared" si="28"/>
        <x:v>150600</x:v>
      </x:c>
      <x:c r="D741" s="25">
        <x:f t="shared" si="29"/>
        <x:v>166200</x:v>
      </x:c>
      <x:c r="E741" s="25">
        <x:f t="shared" si="30"/>
        <x:v>177900</x:v>
      </x:c>
      <x:c r="F741" s="58">
        <x:f t="shared" si="31"/>
        <x:v>189100</x:v>
      </x:c>
    </x:row>
    <x:row r="742">
      <x:c r="B742" s="63">
        <x:v>840</x:v>
      </x:c>
      <x:c r="C742" s="57">
        <x:f t="shared" si="28"/>
        <x:v>150600</x:v>
      </x:c>
      <x:c r="D742" s="25">
        <x:f t="shared" si="29"/>
        <x:v>166200</x:v>
      </x:c>
      <x:c r="E742" s="25">
        <x:f t="shared" si="30"/>
        <x:v>177900</x:v>
      </x:c>
      <x:c r="F742" s="58">
        <x:f t="shared" si="31"/>
        <x:v>189100</x:v>
      </x:c>
    </x:row>
    <x:row r="743">
      <x:c r="B743" s="63">
        <x:v>841</x:v>
      </x:c>
      <x:c r="C743" s="57">
        <x:f t="shared" si="28"/>
        <x:v>150600</x:v>
      </x:c>
      <x:c r="D743" s="25">
        <x:f t="shared" si="29"/>
        <x:v>166200</x:v>
      </x:c>
      <x:c r="E743" s="25">
        <x:f t="shared" si="30"/>
        <x:v>177900</x:v>
      </x:c>
      <x:c r="F743" s="58">
        <x:f t="shared" si="31"/>
        <x:v>189100</x:v>
      </x:c>
    </x:row>
    <x:row r="744">
      <x:c r="B744" s="63">
        <x:v>842</x:v>
      </x:c>
      <x:c r="C744" s="57">
        <x:f t="shared" si="28"/>
        <x:v>150600</x:v>
      </x:c>
      <x:c r="D744" s="25">
        <x:f t="shared" si="29"/>
        <x:v>166200</x:v>
      </x:c>
      <x:c r="E744" s="25">
        <x:f t="shared" si="30"/>
        <x:v>177900</x:v>
      </x:c>
      <x:c r="F744" s="58">
        <x:f t="shared" si="31"/>
        <x:v>189100</x:v>
      </x:c>
    </x:row>
    <x:row r="745">
      <x:c r="B745" s="63">
        <x:v>843</x:v>
      </x:c>
      <x:c r="C745" s="57">
        <x:f t="shared" si="28"/>
        <x:v>150600</x:v>
      </x:c>
      <x:c r="D745" s="25">
        <x:f t="shared" si="29"/>
        <x:v>166200</x:v>
      </x:c>
      <x:c r="E745" s="25">
        <x:f t="shared" si="30"/>
        <x:v>177900</x:v>
      </x:c>
      <x:c r="F745" s="58">
        <x:f t="shared" si="31"/>
        <x:v>189100</x:v>
      </x:c>
    </x:row>
    <x:row r="746">
      <x:c r="B746" s="63">
        <x:v>844</x:v>
      </x:c>
      <x:c r="C746" s="57">
        <x:f t="shared" si="28"/>
        <x:v>150600</x:v>
      </x:c>
      <x:c r="D746" s="25">
        <x:f t="shared" si="29"/>
        <x:v>166200</x:v>
      </x:c>
      <x:c r="E746" s="25">
        <x:f t="shared" si="30"/>
        <x:v>177900</x:v>
      </x:c>
      <x:c r="F746" s="58">
        <x:f t="shared" si="31"/>
        <x:v>189100</x:v>
      </x:c>
    </x:row>
    <x:row r="747">
      <x:c r="B747" s="63">
        <x:v>845</x:v>
      </x:c>
      <x:c r="C747" s="57">
        <x:f t="shared" si="28"/>
        <x:v>150600</x:v>
      </x:c>
      <x:c r="D747" s="25">
        <x:f t="shared" si="29"/>
        <x:v>166200</x:v>
      </x:c>
      <x:c r="E747" s="25">
        <x:f t="shared" si="30"/>
        <x:v>177900</x:v>
      </x:c>
      <x:c r="F747" s="58">
        <x:f t="shared" si="31"/>
        <x:v>189100</x:v>
      </x:c>
    </x:row>
    <x:row r="748">
      <x:c r="B748" s="63">
        <x:v>846</x:v>
      </x:c>
      <x:c r="C748" s="57">
        <x:f t="shared" si="28"/>
        <x:v>150600</x:v>
      </x:c>
      <x:c r="D748" s="25">
        <x:f t="shared" si="29"/>
        <x:v>166200</x:v>
      </x:c>
      <x:c r="E748" s="25">
        <x:f t="shared" si="30"/>
        <x:v>177900</x:v>
      </x:c>
      <x:c r="F748" s="58">
        <x:f t="shared" si="31"/>
        <x:v>189100</x:v>
      </x:c>
    </x:row>
    <x:row r="749">
      <x:c r="B749" s="63">
        <x:v>847</x:v>
      </x:c>
      <x:c r="C749" s="57">
        <x:f t="shared" si="28"/>
        <x:v>150600</x:v>
      </x:c>
      <x:c r="D749" s="25">
        <x:f t="shared" si="29"/>
        <x:v>166200</x:v>
      </x:c>
      <x:c r="E749" s="25">
        <x:f t="shared" si="30"/>
        <x:v>177900</x:v>
      </x:c>
      <x:c r="F749" s="58">
        <x:f t="shared" si="31"/>
        <x:v>189100</x:v>
      </x:c>
    </x:row>
    <x:row r="750">
      <x:c r="B750" s="63">
        <x:v>848</x:v>
      </x:c>
      <x:c r="C750" s="57">
        <x:f t="shared" si="28"/>
        <x:v>150600</x:v>
      </x:c>
      <x:c r="D750" s="25">
        <x:f t="shared" si="29"/>
        <x:v>166200</x:v>
      </x:c>
      <x:c r="E750" s="25">
        <x:f t="shared" si="30"/>
        <x:v>177900</x:v>
      </x:c>
      <x:c r="F750" s="58">
        <x:f t="shared" si="31"/>
        <x:v>189100</x:v>
      </x:c>
    </x:row>
    <x:row r="751">
      <x:c r="B751" s="63">
        <x:v>849</x:v>
      </x:c>
      <x:c r="C751" s="57">
        <x:f t="shared" si="28"/>
        <x:v>150600</x:v>
      </x:c>
      <x:c r="D751" s="25">
        <x:f t="shared" si="29"/>
        <x:v>166200</x:v>
      </x:c>
      <x:c r="E751" s="25">
        <x:f t="shared" si="30"/>
        <x:v>177900</x:v>
      </x:c>
      <x:c r="F751" s="58">
        <x:f t="shared" si="31"/>
        <x:v>189100</x:v>
      </x:c>
    </x:row>
    <x:row r="752">
      <x:c r="B752" s="63">
        <x:v>850</x:v>
      </x:c>
      <x:c r="C752" s="57">
        <x:f t="shared" si="28"/>
        <x:v>150600</x:v>
      </x:c>
      <x:c r="D752" s="25">
        <x:f t="shared" si="29"/>
        <x:v>166200</x:v>
      </x:c>
      <x:c r="E752" s="25">
        <x:f t="shared" si="30"/>
        <x:v>177900</x:v>
      </x:c>
      <x:c r="F752" s="58">
        <x:f t="shared" si="31"/>
        <x:v>189100</x:v>
      </x:c>
    </x:row>
    <x:row r="753">
      <x:c r="B753" s="63">
        <x:v>851</x:v>
      </x:c>
      <x:c r="C753" s="57" t="n">
        <x:f>$C$402+$J$10</x:f>
        <x:v>157900</x:v>
      </x:c>
      <x:c r="D753" s="57" t="n">
        <x:f>$D$402+$K$10</x:f>
        <x:v>174300</x:v>
      </x:c>
      <x:c r="E753" s="57" t="n">
        <x:f>$E$402+$L$10</x:f>
        <x:v>186600</x:v>
      </x:c>
      <x:c r="F753" s="64" t="n">
        <x:f>$F$402+$M$10</x:f>
        <x:v>198400</x:v>
      </x:c>
    </x:row>
    <x:row r="754">
      <x:c r="B754" s="63">
        <x:v>852</x:v>
      </x:c>
      <x:c r="C754" s="57" t="n">
        <x:f t="shared" ref="C754:C802" si="32">$C$402+$J$10</x:f>
        <x:v>157900</x:v>
      </x:c>
      <x:c r="D754" s="57" t="n">
        <x:f t="shared" ref="D754:D802" si="33">$D$402+$K$10</x:f>
        <x:v>174300</x:v>
      </x:c>
      <x:c r="E754" s="57" t="n">
        <x:f t="shared" ref="E754:E802" si="34">$E$402+$L$10</x:f>
        <x:v>186600</x:v>
      </x:c>
      <x:c r="F754" s="64" t="n">
        <x:f t="shared" ref="F754:F802" si="35">$F$402+$M$10</x:f>
        <x:v>198400</x:v>
      </x:c>
    </x:row>
    <x:row r="755">
      <x:c r="B755" s="63">
        <x:v>853</x:v>
      </x:c>
      <x:c r="C755" s="57">
        <x:f t="shared" si="32"/>
        <x:v>157900</x:v>
      </x:c>
      <x:c r="D755" s="57">
        <x:f t="shared" si="33"/>
        <x:v>174300</x:v>
      </x:c>
      <x:c r="E755" s="57">
        <x:f t="shared" si="34"/>
        <x:v>186600</x:v>
      </x:c>
      <x:c r="F755" s="64">
        <x:f t="shared" si="35"/>
        <x:v>198400</x:v>
      </x:c>
    </x:row>
    <x:row r="756">
      <x:c r="B756" s="63">
        <x:v>854</x:v>
      </x:c>
      <x:c r="C756" s="57">
        <x:f t="shared" si="32"/>
        <x:v>157900</x:v>
      </x:c>
      <x:c r="D756" s="57">
        <x:f t="shared" si="33"/>
        <x:v>174300</x:v>
      </x:c>
      <x:c r="E756" s="57">
        <x:f t="shared" si="34"/>
        <x:v>186600</x:v>
      </x:c>
      <x:c r="F756" s="64">
        <x:f t="shared" si="35"/>
        <x:v>198400</x:v>
      </x:c>
    </x:row>
    <x:row r="757">
      <x:c r="B757" s="63">
        <x:v>855</x:v>
      </x:c>
      <x:c r="C757" s="57">
        <x:f t="shared" si="32"/>
        <x:v>157900</x:v>
      </x:c>
      <x:c r="D757" s="57">
        <x:f t="shared" si="33"/>
        <x:v>174300</x:v>
      </x:c>
      <x:c r="E757" s="57">
        <x:f t="shared" si="34"/>
        <x:v>186600</x:v>
      </x:c>
      <x:c r="F757" s="64">
        <x:f t="shared" si="35"/>
        <x:v>198400</x:v>
      </x:c>
    </x:row>
    <x:row r="758">
      <x:c r="B758" s="63">
        <x:v>856</x:v>
      </x:c>
      <x:c r="C758" s="57">
        <x:f t="shared" si="32"/>
        <x:v>157900</x:v>
      </x:c>
      <x:c r="D758" s="57">
        <x:f t="shared" si="33"/>
        <x:v>174300</x:v>
      </x:c>
      <x:c r="E758" s="57">
        <x:f t="shared" si="34"/>
        <x:v>186600</x:v>
      </x:c>
      <x:c r="F758" s="64">
        <x:f t="shared" si="35"/>
        <x:v>198400</x:v>
      </x:c>
    </x:row>
    <x:row r="759">
      <x:c r="B759" s="63">
        <x:v>857</x:v>
      </x:c>
      <x:c r="C759" s="57">
        <x:f t="shared" si="32"/>
        <x:v>157900</x:v>
      </x:c>
      <x:c r="D759" s="57">
        <x:f t="shared" si="33"/>
        <x:v>174300</x:v>
      </x:c>
      <x:c r="E759" s="57">
        <x:f t="shared" si="34"/>
        <x:v>186600</x:v>
      </x:c>
      <x:c r="F759" s="64">
        <x:f t="shared" si="35"/>
        <x:v>198400</x:v>
      </x:c>
    </x:row>
    <x:row r="760">
      <x:c r="B760" s="63">
        <x:v>858</x:v>
      </x:c>
      <x:c r="C760" s="57">
        <x:f t="shared" si="32"/>
        <x:v>157900</x:v>
      </x:c>
      <x:c r="D760" s="57">
        <x:f t="shared" si="33"/>
        <x:v>174300</x:v>
      </x:c>
      <x:c r="E760" s="57">
        <x:f t="shared" si="34"/>
        <x:v>186600</x:v>
      </x:c>
      <x:c r="F760" s="64">
        <x:f t="shared" si="35"/>
        <x:v>198400</x:v>
      </x:c>
    </x:row>
    <x:row r="761">
      <x:c r="B761" s="63">
        <x:v>859</x:v>
      </x:c>
      <x:c r="C761" s="57">
        <x:f t="shared" si="32"/>
        <x:v>157900</x:v>
      </x:c>
      <x:c r="D761" s="57">
        <x:f t="shared" si="33"/>
        <x:v>174300</x:v>
      </x:c>
      <x:c r="E761" s="57">
        <x:f t="shared" si="34"/>
        <x:v>186600</x:v>
      </x:c>
      <x:c r="F761" s="64">
        <x:f t="shared" si="35"/>
        <x:v>198400</x:v>
      </x:c>
    </x:row>
    <x:row r="762">
      <x:c r="B762" s="63">
        <x:v>860</x:v>
      </x:c>
      <x:c r="C762" s="57">
        <x:f t="shared" si="32"/>
        <x:v>157900</x:v>
      </x:c>
      <x:c r="D762" s="57">
        <x:f t="shared" si="33"/>
        <x:v>174300</x:v>
      </x:c>
      <x:c r="E762" s="57">
        <x:f t="shared" si="34"/>
        <x:v>186600</x:v>
      </x:c>
      <x:c r="F762" s="64">
        <x:f t="shared" si="35"/>
        <x:v>198400</x:v>
      </x:c>
    </x:row>
    <x:row r="763">
      <x:c r="B763" s="63">
        <x:v>861</x:v>
      </x:c>
      <x:c r="C763" s="57">
        <x:f t="shared" si="32"/>
        <x:v>157900</x:v>
      </x:c>
      <x:c r="D763" s="57">
        <x:f t="shared" si="33"/>
        <x:v>174300</x:v>
      </x:c>
      <x:c r="E763" s="57">
        <x:f t="shared" si="34"/>
        <x:v>186600</x:v>
      </x:c>
      <x:c r="F763" s="64">
        <x:f t="shared" si="35"/>
        <x:v>198400</x:v>
      </x:c>
    </x:row>
    <x:row r="764">
      <x:c r="B764" s="63">
        <x:v>862</x:v>
      </x:c>
      <x:c r="C764" s="57">
        <x:f t="shared" si="32"/>
        <x:v>157900</x:v>
      </x:c>
      <x:c r="D764" s="57">
        <x:f t="shared" si="33"/>
        <x:v>174300</x:v>
      </x:c>
      <x:c r="E764" s="57">
        <x:f t="shared" si="34"/>
        <x:v>186600</x:v>
      </x:c>
      <x:c r="F764" s="64">
        <x:f t="shared" si="35"/>
        <x:v>198400</x:v>
      </x:c>
    </x:row>
    <x:row r="765">
      <x:c r="B765" s="63">
        <x:v>863</x:v>
      </x:c>
      <x:c r="C765" s="57">
        <x:f t="shared" si="32"/>
        <x:v>157900</x:v>
      </x:c>
      <x:c r="D765" s="57">
        <x:f t="shared" si="33"/>
        <x:v>174300</x:v>
      </x:c>
      <x:c r="E765" s="57">
        <x:f t="shared" si="34"/>
        <x:v>186600</x:v>
      </x:c>
      <x:c r="F765" s="64">
        <x:f t="shared" si="35"/>
        <x:v>198400</x:v>
      </x:c>
    </x:row>
    <x:row r="766">
      <x:c r="B766" s="63">
        <x:v>864</x:v>
      </x:c>
      <x:c r="C766" s="57">
        <x:f t="shared" si="32"/>
        <x:v>157900</x:v>
      </x:c>
      <x:c r="D766" s="57">
        <x:f t="shared" si="33"/>
        <x:v>174300</x:v>
      </x:c>
      <x:c r="E766" s="57">
        <x:f t="shared" si="34"/>
        <x:v>186600</x:v>
      </x:c>
      <x:c r="F766" s="64">
        <x:f t="shared" si="35"/>
        <x:v>198400</x:v>
      </x:c>
    </x:row>
    <x:row r="767">
      <x:c r="B767" s="63">
        <x:v>865</x:v>
      </x:c>
      <x:c r="C767" s="57">
        <x:f t="shared" si="32"/>
        <x:v>157900</x:v>
      </x:c>
      <x:c r="D767" s="57">
        <x:f t="shared" si="33"/>
        <x:v>174300</x:v>
      </x:c>
      <x:c r="E767" s="57">
        <x:f t="shared" si="34"/>
        <x:v>186600</x:v>
      </x:c>
      <x:c r="F767" s="64">
        <x:f t="shared" si="35"/>
        <x:v>198400</x:v>
      </x:c>
    </x:row>
    <x:row r="768">
      <x:c r="B768" s="63">
        <x:v>866</x:v>
      </x:c>
      <x:c r="C768" s="57">
        <x:f t="shared" si="32"/>
        <x:v>157900</x:v>
      </x:c>
      <x:c r="D768" s="57">
        <x:f t="shared" si="33"/>
        <x:v>174300</x:v>
      </x:c>
      <x:c r="E768" s="57">
        <x:f t="shared" si="34"/>
        <x:v>186600</x:v>
      </x:c>
      <x:c r="F768" s="64">
        <x:f t="shared" si="35"/>
        <x:v>198400</x:v>
      </x:c>
    </x:row>
    <x:row r="769">
      <x:c r="B769" s="63">
        <x:v>867</x:v>
      </x:c>
      <x:c r="C769" s="57">
        <x:f t="shared" si="32"/>
        <x:v>157900</x:v>
      </x:c>
      <x:c r="D769" s="57">
        <x:f t="shared" si="33"/>
        <x:v>174300</x:v>
      </x:c>
      <x:c r="E769" s="57">
        <x:f t="shared" si="34"/>
        <x:v>186600</x:v>
      </x:c>
      <x:c r="F769" s="64">
        <x:f t="shared" si="35"/>
        <x:v>198400</x:v>
      </x:c>
    </x:row>
    <x:row r="770">
      <x:c r="B770" s="63">
        <x:v>868</x:v>
      </x:c>
      <x:c r="C770" s="57">
        <x:f t="shared" si="32"/>
        <x:v>157900</x:v>
      </x:c>
      <x:c r="D770" s="57">
        <x:f t="shared" si="33"/>
        <x:v>174300</x:v>
      </x:c>
      <x:c r="E770" s="57">
        <x:f t="shared" si="34"/>
        <x:v>186600</x:v>
      </x:c>
      <x:c r="F770" s="64">
        <x:f t="shared" si="35"/>
        <x:v>198400</x:v>
      </x:c>
    </x:row>
    <x:row r="771">
      <x:c r="B771" s="63">
        <x:v>869</x:v>
      </x:c>
      <x:c r="C771" s="57">
        <x:f t="shared" si="32"/>
        <x:v>157900</x:v>
      </x:c>
      <x:c r="D771" s="57">
        <x:f t="shared" si="33"/>
        <x:v>174300</x:v>
      </x:c>
      <x:c r="E771" s="57">
        <x:f t="shared" si="34"/>
        <x:v>186600</x:v>
      </x:c>
      <x:c r="F771" s="64">
        <x:f t="shared" si="35"/>
        <x:v>198400</x:v>
      </x:c>
    </x:row>
    <x:row r="772">
      <x:c r="B772" s="63">
        <x:v>870</x:v>
      </x:c>
      <x:c r="C772" s="57">
        <x:f t="shared" si="32"/>
        <x:v>157900</x:v>
      </x:c>
      <x:c r="D772" s="57">
        <x:f t="shared" si="33"/>
        <x:v>174300</x:v>
      </x:c>
      <x:c r="E772" s="57">
        <x:f t="shared" si="34"/>
        <x:v>186600</x:v>
      </x:c>
      <x:c r="F772" s="64">
        <x:f t="shared" si="35"/>
        <x:v>198400</x:v>
      </x:c>
    </x:row>
    <x:row r="773">
      <x:c r="B773" s="63">
        <x:v>871</x:v>
      </x:c>
      <x:c r="C773" s="57">
        <x:f t="shared" si="32"/>
        <x:v>157900</x:v>
      </x:c>
      <x:c r="D773" s="57">
        <x:f t="shared" si="33"/>
        <x:v>174300</x:v>
      </x:c>
      <x:c r="E773" s="57">
        <x:f t="shared" si="34"/>
        <x:v>186600</x:v>
      </x:c>
      <x:c r="F773" s="64">
        <x:f t="shared" si="35"/>
        <x:v>198400</x:v>
      </x:c>
    </x:row>
    <x:row r="774">
      <x:c r="B774" s="63">
        <x:v>872</x:v>
      </x:c>
      <x:c r="C774" s="57">
        <x:f t="shared" si="32"/>
        <x:v>157900</x:v>
      </x:c>
      <x:c r="D774" s="57">
        <x:f t="shared" si="33"/>
        <x:v>174300</x:v>
      </x:c>
      <x:c r="E774" s="57">
        <x:f t="shared" si="34"/>
        <x:v>186600</x:v>
      </x:c>
      <x:c r="F774" s="64">
        <x:f t="shared" si="35"/>
        <x:v>198400</x:v>
      </x:c>
    </x:row>
    <x:row r="775">
      <x:c r="B775" s="63">
        <x:v>873</x:v>
      </x:c>
      <x:c r="C775" s="57">
        <x:f t="shared" si="32"/>
        <x:v>157900</x:v>
      </x:c>
      <x:c r="D775" s="57">
        <x:f t="shared" si="33"/>
        <x:v>174300</x:v>
      </x:c>
      <x:c r="E775" s="57">
        <x:f t="shared" si="34"/>
        <x:v>186600</x:v>
      </x:c>
      <x:c r="F775" s="64">
        <x:f t="shared" si="35"/>
        <x:v>198400</x:v>
      </x:c>
    </x:row>
    <x:row r="776">
      <x:c r="B776" s="63">
        <x:v>874</x:v>
      </x:c>
      <x:c r="C776" s="57">
        <x:f t="shared" si="32"/>
        <x:v>157900</x:v>
      </x:c>
      <x:c r="D776" s="57">
        <x:f t="shared" si="33"/>
        <x:v>174300</x:v>
      </x:c>
      <x:c r="E776" s="57">
        <x:f t="shared" si="34"/>
        <x:v>186600</x:v>
      </x:c>
      <x:c r="F776" s="64">
        <x:f t="shared" si="35"/>
        <x:v>198400</x:v>
      </x:c>
    </x:row>
    <x:row r="777">
      <x:c r="B777" s="63">
        <x:v>875</x:v>
      </x:c>
      <x:c r="C777" s="57">
        <x:f t="shared" si="32"/>
        <x:v>157900</x:v>
      </x:c>
      <x:c r="D777" s="57">
        <x:f t="shared" si="33"/>
        <x:v>174300</x:v>
      </x:c>
      <x:c r="E777" s="57">
        <x:f t="shared" si="34"/>
        <x:v>186600</x:v>
      </x:c>
      <x:c r="F777" s="64">
        <x:f t="shared" si="35"/>
        <x:v>198400</x:v>
      </x:c>
    </x:row>
    <x:row r="778">
      <x:c r="B778" s="63">
        <x:v>876</x:v>
      </x:c>
      <x:c r="C778" s="57">
        <x:f t="shared" si="32"/>
        <x:v>157900</x:v>
      </x:c>
      <x:c r="D778" s="57">
        <x:f t="shared" si="33"/>
        <x:v>174300</x:v>
      </x:c>
      <x:c r="E778" s="57">
        <x:f t="shared" si="34"/>
        <x:v>186600</x:v>
      </x:c>
      <x:c r="F778" s="64">
        <x:f t="shared" si="35"/>
        <x:v>198400</x:v>
      </x:c>
    </x:row>
    <x:row r="779">
      <x:c r="B779" s="63">
        <x:v>877</x:v>
      </x:c>
      <x:c r="C779" s="57">
        <x:f t="shared" si="32"/>
        <x:v>157900</x:v>
      </x:c>
      <x:c r="D779" s="57">
        <x:f t="shared" si="33"/>
        <x:v>174300</x:v>
      </x:c>
      <x:c r="E779" s="57">
        <x:f t="shared" si="34"/>
        <x:v>186600</x:v>
      </x:c>
      <x:c r="F779" s="64">
        <x:f t="shared" si="35"/>
        <x:v>198400</x:v>
      </x:c>
    </x:row>
    <x:row r="780">
      <x:c r="B780" s="63">
        <x:v>878</x:v>
      </x:c>
      <x:c r="C780" s="57">
        <x:f t="shared" si="32"/>
        <x:v>157900</x:v>
      </x:c>
      <x:c r="D780" s="57">
        <x:f t="shared" si="33"/>
        <x:v>174300</x:v>
      </x:c>
      <x:c r="E780" s="57">
        <x:f t="shared" si="34"/>
        <x:v>186600</x:v>
      </x:c>
      <x:c r="F780" s="64">
        <x:f t="shared" si="35"/>
        <x:v>198400</x:v>
      </x:c>
    </x:row>
    <x:row r="781">
      <x:c r="B781" s="63">
        <x:v>879</x:v>
      </x:c>
      <x:c r="C781" s="57">
        <x:f t="shared" si="32"/>
        <x:v>157900</x:v>
      </x:c>
      <x:c r="D781" s="57">
        <x:f t="shared" si="33"/>
        <x:v>174300</x:v>
      </x:c>
      <x:c r="E781" s="57">
        <x:f t="shared" si="34"/>
        <x:v>186600</x:v>
      </x:c>
      <x:c r="F781" s="64">
        <x:f t="shared" si="35"/>
        <x:v>198400</x:v>
      </x:c>
    </x:row>
    <x:row r="782">
      <x:c r="B782" s="63">
        <x:v>880</x:v>
      </x:c>
      <x:c r="C782" s="57">
        <x:f t="shared" si="32"/>
        <x:v>157900</x:v>
      </x:c>
      <x:c r="D782" s="57">
        <x:f t="shared" si="33"/>
        <x:v>174300</x:v>
      </x:c>
      <x:c r="E782" s="57">
        <x:f t="shared" si="34"/>
        <x:v>186600</x:v>
      </x:c>
      <x:c r="F782" s="64">
        <x:f t="shared" si="35"/>
        <x:v>198400</x:v>
      </x:c>
    </x:row>
    <x:row r="783">
      <x:c r="B783" s="63">
        <x:v>881</x:v>
      </x:c>
      <x:c r="C783" s="57">
        <x:f t="shared" si="32"/>
        <x:v>157900</x:v>
      </x:c>
      <x:c r="D783" s="57">
        <x:f t="shared" si="33"/>
        <x:v>174300</x:v>
      </x:c>
      <x:c r="E783" s="57">
        <x:f t="shared" si="34"/>
        <x:v>186600</x:v>
      </x:c>
      <x:c r="F783" s="64">
        <x:f t="shared" si="35"/>
        <x:v>198400</x:v>
      </x:c>
    </x:row>
    <x:row r="784">
      <x:c r="B784" s="63">
        <x:v>882</x:v>
      </x:c>
      <x:c r="C784" s="57">
        <x:f t="shared" si="32"/>
        <x:v>157900</x:v>
      </x:c>
      <x:c r="D784" s="57">
        <x:f t="shared" si="33"/>
        <x:v>174300</x:v>
      </x:c>
      <x:c r="E784" s="57">
        <x:f t="shared" si="34"/>
        <x:v>186600</x:v>
      </x:c>
      <x:c r="F784" s="64">
        <x:f t="shared" si="35"/>
        <x:v>198400</x:v>
      </x:c>
    </x:row>
    <x:row r="785">
      <x:c r="B785" s="63">
        <x:v>883</x:v>
      </x:c>
      <x:c r="C785" s="57">
        <x:f t="shared" si="32"/>
        <x:v>157900</x:v>
      </x:c>
      <x:c r="D785" s="57">
        <x:f t="shared" si="33"/>
        <x:v>174300</x:v>
      </x:c>
      <x:c r="E785" s="57">
        <x:f t="shared" si="34"/>
        <x:v>186600</x:v>
      </x:c>
      <x:c r="F785" s="64">
        <x:f t="shared" si="35"/>
        <x:v>198400</x:v>
      </x:c>
    </x:row>
    <x:row r="786">
      <x:c r="B786" s="63">
        <x:v>884</x:v>
      </x:c>
      <x:c r="C786" s="57">
        <x:f t="shared" si="32"/>
        <x:v>157900</x:v>
      </x:c>
      <x:c r="D786" s="57">
        <x:f t="shared" si="33"/>
        <x:v>174300</x:v>
      </x:c>
      <x:c r="E786" s="57">
        <x:f t="shared" si="34"/>
        <x:v>186600</x:v>
      </x:c>
      <x:c r="F786" s="64">
        <x:f t="shared" si="35"/>
        <x:v>198400</x:v>
      </x:c>
    </x:row>
    <x:row r="787">
      <x:c r="B787" s="63">
        <x:v>885</x:v>
      </x:c>
      <x:c r="C787" s="57">
        <x:f t="shared" si="32"/>
        <x:v>157900</x:v>
      </x:c>
      <x:c r="D787" s="57">
        <x:f t="shared" si="33"/>
        <x:v>174300</x:v>
      </x:c>
      <x:c r="E787" s="57">
        <x:f t="shared" si="34"/>
        <x:v>186600</x:v>
      </x:c>
      <x:c r="F787" s="64">
        <x:f t="shared" si="35"/>
        <x:v>198400</x:v>
      </x:c>
    </x:row>
    <x:row r="788">
      <x:c r="B788" s="63">
        <x:v>886</x:v>
      </x:c>
      <x:c r="C788" s="57">
        <x:f t="shared" si="32"/>
        <x:v>157900</x:v>
      </x:c>
      <x:c r="D788" s="57">
        <x:f t="shared" si="33"/>
        <x:v>174300</x:v>
      </x:c>
      <x:c r="E788" s="57">
        <x:f t="shared" si="34"/>
        <x:v>186600</x:v>
      </x:c>
      <x:c r="F788" s="64">
        <x:f t="shared" si="35"/>
        <x:v>198400</x:v>
      </x:c>
    </x:row>
    <x:row r="789">
      <x:c r="B789" s="63">
        <x:v>887</x:v>
      </x:c>
      <x:c r="C789" s="57">
        <x:f t="shared" si="32"/>
        <x:v>157900</x:v>
      </x:c>
      <x:c r="D789" s="57">
        <x:f t="shared" si="33"/>
        <x:v>174300</x:v>
      </x:c>
      <x:c r="E789" s="57">
        <x:f t="shared" si="34"/>
        <x:v>186600</x:v>
      </x:c>
      <x:c r="F789" s="64">
        <x:f t="shared" si="35"/>
        <x:v>198400</x:v>
      </x:c>
    </x:row>
    <x:row r="790">
      <x:c r="B790" s="63">
        <x:v>888</x:v>
      </x:c>
      <x:c r="C790" s="57">
        <x:f t="shared" si="32"/>
        <x:v>157900</x:v>
      </x:c>
      <x:c r="D790" s="57">
        <x:f t="shared" si="33"/>
        <x:v>174300</x:v>
      </x:c>
      <x:c r="E790" s="57">
        <x:f t="shared" si="34"/>
        <x:v>186600</x:v>
      </x:c>
      <x:c r="F790" s="64">
        <x:f t="shared" si="35"/>
        <x:v>198400</x:v>
      </x:c>
    </x:row>
    <x:row r="791">
      <x:c r="B791" s="63">
        <x:v>889</x:v>
      </x:c>
      <x:c r="C791" s="57">
        <x:f t="shared" si="32"/>
        <x:v>157900</x:v>
      </x:c>
      <x:c r="D791" s="57">
        <x:f t="shared" si="33"/>
        <x:v>174300</x:v>
      </x:c>
      <x:c r="E791" s="57">
        <x:f t="shared" si="34"/>
        <x:v>186600</x:v>
      </x:c>
      <x:c r="F791" s="64">
        <x:f t="shared" si="35"/>
        <x:v>198400</x:v>
      </x:c>
    </x:row>
    <x:row r="792">
      <x:c r="B792" s="63">
        <x:v>890</x:v>
      </x:c>
      <x:c r="C792" s="57">
        <x:f t="shared" si="32"/>
        <x:v>157900</x:v>
      </x:c>
      <x:c r="D792" s="57">
        <x:f t="shared" si="33"/>
        <x:v>174300</x:v>
      </x:c>
      <x:c r="E792" s="57">
        <x:f t="shared" si="34"/>
        <x:v>186600</x:v>
      </x:c>
      <x:c r="F792" s="64">
        <x:f t="shared" si="35"/>
        <x:v>198400</x:v>
      </x:c>
    </x:row>
    <x:row r="793">
      <x:c r="B793" s="63">
        <x:v>891</x:v>
      </x:c>
      <x:c r="C793" s="57">
        <x:f t="shared" si="32"/>
        <x:v>157900</x:v>
      </x:c>
      <x:c r="D793" s="57">
        <x:f t="shared" si="33"/>
        <x:v>174300</x:v>
      </x:c>
      <x:c r="E793" s="57">
        <x:f t="shared" si="34"/>
        <x:v>186600</x:v>
      </x:c>
      <x:c r="F793" s="64">
        <x:f t="shared" si="35"/>
        <x:v>198400</x:v>
      </x:c>
    </x:row>
    <x:row r="794">
      <x:c r="B794" s="63">
        <x:v>892</x:v>
      </x:c>
      <x:c r="C794" s="57">
        <x:f t="shared" si="32"/>
        <x:v>157900</x:v>
      </x:c>
      <x:c r="D794" s="57">
        <x:f t="shared" si="33"/>
        <x:v>174300</x:v>
      </x:c>
      <x:c r="E794" s="57">
        <x:f t="shared" si="34"/>
        <x:v>186600</x:v>
      </x:c>
      <x:c r="F794" s="64">
        <x:f t="shared" si="35"/>
        <x:v>198400</x:v>
      </x:c>
    </x:row>
    <x:row r="795">
      <x:c r="B795" s="63">
        <x:v>893</x:v>
      </x:c>
      <x:c r="C795" s="57">
        <x:f t="shared" si="32"/>
        <x:v>157900</x:v>
      </x:c>
      <x:c r="D795" s="57">
        <x:f t="shared" si="33"/>
        <x:v>174300</x:v>
      </x:c>
      <x:c r="E795" s="57">
        <x:f t="shared" si="34"/>
        <x:v>186600</x:v>
      </x:c>
      <x:c r="F795" s="64">
        <x:f t="shared" si="35"/>
        <x:v>198400</x:v>
      </x:c>
    </x:row>
    <x:row r="796">
      <x:c r="B796" s="63">
        <x:v>894</x:v>
      </x:c>
      <x:c r="C796" s="57">
        <x:f t="shared" si="32"/>
        <x:v>157900</x:v>
      </x:c>
      <x:c r="D796" s="57">
        <x:f t="shared" si="33"/>
        <x:v>174300</x:v>
      </x:c>
      <x:c r="E796" s="57">
        <x:f t="shared" si="34"/>
        <x:v>186600</x:v>
      </x:c>
      <x:c r="F796" s="64">
        <x:f t="shared" si="35"/>
        <x:v>198400</x:v>
      </x:c>
    </x:row>
    <x:row r="797">
      <x:c r="B797" s="63">
        <x:v>895</x:v>
      </x:c>
      <x:c r="C797" s="57">
        <x:f t="shared" si="32"/>
        <x:v>157900</x:v>
      </x:c>
      <x:c r="D797" s="57">
        <x:f t="shared" si="33"/>
        <x:v>174300</x:v>
      </x:c>
      <x:c r="E797" s="57">
        <x:f t="shared" si="34"/>
        <x:v>186600</x:v>
      </x:c>
      <x:c r="F797" s="64">
        <x:f t="shared" si="35"/>
        <x:v>198400</x:v>
      </x:c>
    </x:row>
    <x:row r="798">
      <x:c r="B798" s="63">
        <x:v>896</x:v>
      </x:c>
      <x:c r="C798" s="57">
        <x:f t="shared" si="32"/>
        <x:v>157900</x:v>
      </x:c>
      <x:c r="D798" s="57">
        <x:f t="shared" si="33"/>
        <x:v>174300</x:v>
      </x:c>
      <x:c r="E798" s="57">
        <x:f t="shared" si="34"/>
        <x:v>186600</x:v>
      </x:c>
      <x:c r="F798" s="64">
        <x:f t="shared" si="35"/>
        <x:v>198400</x:v>
      </x:c>
    </x:row>
    <x:row r="799">
      <x:c r="B799" s="63">
        <x:v>897</x:v>
      </x:c>
      <x:c r="C799" s="57">
        <x:f t="shared" si="32"/>
        <x:v>157900</x:v>
      </x:c>
      <x:c r="D799" s="57">
        <x:f t="shared" si="33"/>
        <x:v>174300</x:v>
      </x:c>
      <x:c r="E799" s="57">
        <x:f t="shared" si="34"/>
        <x:v>186600</x:v>
      </x:c>
      <x:c r="F799" s="64">
        <x:f t="shared" si="35"/>
        <x:v>198400</x:v>
      </x:c>
    </x:row>
    <x:row r="800">
      <x:c r="B800" s="63">
        <x:v>898</x:v>
      </x:c>
      <x:c r="C800" s="57">
        <x:f t="shared" si="32"/>
        <x:v>157900</x:v>
      </x:c>
      <x:c r="D800" s="57">
        <x:f t="shared" si="33"/>
        <x:v>174300</x:v>
      </x:c>
      <x:c r="E800" s="57">
        <x:f t="shared" si="34"/>
        <x:v>186600</x:v>
      </x:c>
      <x:c r="F800" s="64">
        <x:f t="shared" si="35"/>
        <x:v>198400</x:v>
      </x:c>
    </x:row>
    <x:row r="801">
      <x:c r="B801" s="63">
        <x:v>899</x:v>
      </x:c>
      <x:c r="C801" s="57">
        <x:f t="shared" si="32"/>
        <x:v>157900</x:v>
      </x:c>
      <x:c r="D801" s="57">
        <x:f t="shared" si="33"/>
        <x:v>174300</x:v>
      </x:c>
      <x:c r="E801" s="57">
        <x:f t="shared" si="34"/>
        <x:v>186600</x:v>
      </x:c>
      <x:c r="F801" s="64">
        <x:f t="shared" si="35"/>
        <x:v>198400</x:v>
      </x:c>
    </x:row>
    <x:row r="802">
      <x:c r="B802" s="63">
        <x:v>900</x:v>
      </x:c>
      <x:c r="C802" s="57">
        <x:f t="shared" si="32"/>
        <x:v>157900</x:v>
      </x:c>
      <x:c r="D802" s="57">
        <x:f t="shared" si="33"/>
        <x:v>174300</x:v>
      </x:c>
      <x:c r="E802" s="57">
        <x:f t="shared" si="34"/>
        <x:v>186600</x:v>
      </x:c>
      <x:c r="F802" s="64">
        <x:f t="shared" si="35"/>
        <x:v>198400</x:v>
      </x:c>
    </x:row>
    <x:row r="803">
      <x:c r="B803" s="63">
        <x:v>901</x:v>
      </x:c>
      <x:c r="C803" s="57" t="n">
        <x:f>$C$402+$J$11</x:f>
        <x:v>165200</x:v>
      </x:c>
      <x:c r="D803" s="25" t="n">
        <x:f>$D$402+$K$11</x:f>
        <x:v>182400</x:v>
      </x:c>
      <x:c r="E803" s="25" t="n">
        <x:f>$E$402+$L$11</x:f>
        <x:v>195300</x:v>
      </x:c>
      <x:c r="F803" s="58" t="n">
        <x:f>$F$402+$M$11</x:f>
        <x:v>207700</x:v>
      </x:c>
    </x:row>
    <x:row r="804">
      <x:c r="B804" s="63">
        <x:v>902</x:v>
      </x:c>
      <x:c r="C804" s="57" t="n">
        <x:f t="shared" ref="C804:C852" si="36">$C$402+$J$11</x:f>
        <x:v>165200</x:v>
      </x:c>
      <x:c r="D804" s="25" t="n">
        <x:f t="shared" ref="D804:D852" si="37">$D$402+$K$11</x:f>
        <x:v>182400</x:v>
      </x:c>
      <x:c r="E804" s="25" t="n">
        <x:f t="shared" ref="E804:E852" si="38">$E$402+$L$11</x:f>
        <x:v>195300</x:v>
      </x:c>
      <x:c r="F804" s="58" t="n">
        <x:f t="shared" ref="F804:F852" si="39">$F$402+$M$11</x:f>
        <x:v>207700</x:v>
      </x:c>
    </x:row>
    <x:row r="805">
      <x:c r="B805" s="63">
        <x:v>903</x:v>
      </x:c>
      <x:c r="C805" s="57">
        <x:f t="shared" si="36"/>
        <x:v>165200</x:v>
      </x:c>
      <x:c r="D805" s="25">
        <x:f t="shared" si="37"/>
        <x:v>182400</x:v>
      </x:c>
      <x:c r="E805" s="25">
        <x:f t="shared" si="38"/>
        <x:v>195300</x:v>
      </x:c>
      <x:c r="F805" s="58">
        <x:f t="shared" si="39"/>
        <x:v>207700</x:v>
      </x:c>
    </x:row>
    <x:row r="806">
      <x:c r="B806" s="63">
        <x:v>904</x:v>
      </x:c>
      <x:c r="C806" s="57">
        <x:f t="shared" si="36"/>
        <x:v>165200</x:v>
      </x:c>
      <x:c r="D806" s="25">
        <x:f t="shared" si="37"/>
        <x:v>182400</x:v>
      </x:c>
      <x:c r="E806" s="25">
        <x:f t="shared" si="38"/>
        <x:v>195300</x:v>
      </x:c>
      <x:c r="F806" s="58">
        <x:f t="shared" si="39"/>
        <x:v>207700</x:v>
      </x:c>
    </x:row>
    <x:row r="807">
      <x:c r="B807" s="63">
        <x:v>905</x:v>
      </x:c>
      <x:c r="C807" s="57">
        <x:f t="shared" si="36"/>
        <x:v>165200</x:v>
      </x:c>
      <x:c r="D807" s="25">
        <x:f t="shared" si="37"/>
        <x:v>182400</x:v>
      </x:c>
      <x:c r="E807" s="25">
        <x:f t="shared" si="38"/>
        <x:v>195300</x:v>
      </x:c>
      <x:c r="F807" s="58">
        <x:f t="shared" si="39"/>
        <x:v>207700</x:v>
      </x:c>
    </x:row>
    <x:row r="808">
      <x:c r="B808" s="63">
        <x:v>906</x:v>
      </x:c>
      <x:c r="C808" s="57">
        <x:f t="shared" si="36"/>
        <x:v>165200</x:v>
      </x:c>
      <x:c r="D808" s="25">
        <x:f t="shared" si="37"/>
        <x:v>182400</x:v>
      </x:c>
      <x:c r="E808" s="25">
        <x:f t="shared" si="38"/>
        <x:v>195300</x:v>
      </x:c>
      <x:c r="F808" s="58">
        <x:f t="shared" si="39"/>
        <x:v>207700</x:v>
      </x:c>
    </x:row>
    <x:row r="809">
      <x:c r="B809" s="63">
        <x:v>907</x:v>
      </x:c>
      <x:c r="C809" s="57">
        <x:f t="shared" si="36"/>
        <x:v>165200</x:v>
      </x:c>
      <x:c r="D809" s="25">
        <x:f t="shared" si="37"/>
        <x:v>182400</x:v>
      </x:c>
      <x:c r="E809" s="25">
        <x:f t="shared" si="38"/>
        <x:v>195300</x:v>
      </x:c>
      <x:c r="F809" s="58">
        <x:f t="shared" si="39"/>
        <x:v>207700</x:v>
      </x:c>
    </x:row>
    <x:row r="810">
      <x:c r="B810" s="63">
        <x:v>908</x:v>
      </x:c>
      <x:c r="C810" s="57">
        <x:f t="shared" si="36"/>
        <x:v>165200</x:v>
      </x:c>
      <x:c r="D810" s="25">
        <x:f t="shared" si="37"/>
        <x:v>182400</x:v>
      </x:c>
      <x:c r="E810" s="25">
        <x:f t="shared" si="38"/>
        <x:v>195300</x:v>
      </x:c>
      <x:c r="F810" s="58">
        <x:f t="shared" si="39"/>
        <x:v>207700</x:v>
      </x:c>
    </x:row>
    <x:row r="811">
      <x:c r="B811" s="63">
        <x:v>909</x:v>
      </x:c>
      <x:c r="C811" s="57">
        <x:f t="shared" si="36"/>
        <x:v>165200</x:v>
      </x:c>
      <x:c r="D811" s="25">
        <x:f t="shared" si="37"/>
        <x:v>182400</x:v>
      </x:c>
      <x:c r="E811" s="25">
        <x:f t="shared" si="38"/>
        <x:v>195300</x:v>
      </x:c>
      <x:c r="F811" s="58">
        <x:f t="shared" si="39"/>
        <x:v>207700</x:v>
      </x:c>
    </x:row>
    <x:row r="812">
      <x:c r="B812" s="63">
        <x:v>910</x:v>
      </x:c>
      <x:c r="C812" s="57">
        <x:f t="shared" si="36"/>
        <x:v>165200</x:v>
      </x:c>
      <x:c r="D812" s="25">
        <x:f t="shared" si="37"/>
        <x:v>182400</x:v>
      </x:c>
      <x:c r="E812" s="25">
        <x:f t="shared" si="38"/>
        <x:v>195300</x:v>
      </x:c>
      <x:c r="F812" s="58">
        <x:f t="shared" si="39"/>
        <x:v>207700</x:v>
      </x:c>
    </x:row>
    <x:row r="813">
      <x:c r="B813" s="63">
        <x:v>911</x:v>
      </x:c>
      <x:c r="C813" s="57">
        <x:f t="shared" si="36"/>
        <x:v>165200</x:v>
      </x:c>
      <x:c r="D813" s="25">
        <x:f t="shared" si="37"/>
        <x:v>182400</x:v>
      </x:c>
      <x:c r="E813" s="25">
        <x:f t="shared" si="38"/>
        <x:v>195300</x:v>
      </x:c>
      <x:c r="F813" s="58">
        <x:f t="shared" si="39"/>
        <x:v>207700</x:v>
      </x:c>
    </x:row>
    <x:row r="814">
      <x:c r="B814" s="63">
        <x:v>912</x:v>
      </x:c>
      <x:c r="C814" s="57">
        <x:f t="shared" si="36"/>
        <x:v>165200</x:v>
      </x:c>
      <x:c r="D814" s="25">
        <x:f t="shared" si="37"/>
        <x:v>182400</x:v>
      </x:c>
      <x:c r="E814" s="25">
        <x:f t="shared" si="38"/>
        <x:v>195300</x:v>
      </x:c>
      <x:c r="F814" s="58">
        <x:f t="shared" si="39"/>
        <x:v>207700</x:v>
      </x:c>
    </x:row>
    <x:row r="815">
      <x:c r="B815" s="63">
        <x:v>913</x:v>
      </x:c>
      <x:c r="C815" s="57">
        <x:f t="shared" si="36"/>
        <x:v>165200</x:v>
      </x:c>
      <x:c r="D815" s="25">
        <x:f t="shared" si="37"/>
        <x:v>182400</x:v>
      </x:c>
      <x:c r="E815" s="25">
        <x:f t="shared" si="38"/>
        <x:v>195300</x:v>
      </x:c>
      <x:c r="F815" s="58">
        <x:f t="shared" si="39"/>
        <x:v>207700</x:v>
      </x:c>
    </x:row>
    <x:row r="816">
      <x:c r="B816" s="63">
        <x:v>914</x:v>
      </x:c>
      <x:c r="C816" s="57">
        <x:f t="shared" si="36"/>
        <x:v>165200</x:v>
      </x:c>
      <x:c r="D816" s="25">
        <x:f t="shared" si="37"/>
        <x:v>182400</x:v>
      </x:c>
      <x:c r="E816" s="25">
        <x:f t="shared" si="38"/>
        <x:v>195300</x:v>
      </x:c>
      <x:c r="F816" s="58">
        <x:f t="shared" si="39"/>
        <x:v>207700</x:v>
      </x:c>
    </x:row>
    <x:row r="817">
      <x:c r="B817" s="63">
        <x:v>915</x:v>
      </x:c>
      <x:c r="C817" s="57">
        <x:f t="shared" si="36"/>
        <x:v>165200</x:v>
      </x:c>
      <x:c r="D817" s="25">
        <x:f t="shared" si="37"/>
        <x:v>182400</x:v>
      </x:c>
      <x:c r="E817" s="25">
        <x:f t="shared" si="38"/>
        <x:v>195300</x:v>
      </x:c>
      <x:c r="F817" s="58">
        <x:f t="shared" si="39"/>
        <x:v>207700</x:v>
      </x:c>
    </x:row>
    <x:row r="818">
      <x:c r="B818" s="63">
        <x:v>916</x:v>
      </x:c>
      <x:c r="C818" s="57">
        <x:f t="shared" si="36"/>
        <x:v>165200</x:v>
      </x:c>
      <x:c r="D818" s="25">
        <x:f t="shared" si="37"/>
        <x:v>182400</x:v>
      </x:c>
      <x:c r="E818" s="25">
        <x:f t="shared" si="38"/>
        <x:v>195300</x:v>
      </x:c>
      <x:c r="F818" s="58">
        <x:f t="shared" si="39"/>
        <x:v>207700</x:v>
      </x:c>
    </x:row>
    <x:row r="819">
      <x:c r="B819" s="63">
        <x:v>917</x:v>
      </x:c>
      <x:c r="C819" s="57">
        <x:f t="shared" si="36"/>
        <x:v>165200</x:v>
      </x:c>
      <x:c r="D819" s="25">
        <x:f t="shared" si="37"/>
        <x:v>182400</x:v>
      </x:c>
      <x:c r="E819" s="25">
        <x:f t="shared" si="38"/>
        <x:v>195300</x:v>
      </x:c>
      <x:c r="F819" s="58">
        <x:f t="shared" si="39"/>
        <x:v>207700</x:v>
      </x:c>
    </x:row>
    <x:row r="820">
      <x:c r="B820" s="63">
        <x:v>918</x:v>
      </x:c>
      <x:c r="C820" s="57">
        <x:f t="shared" si="36"/>
        <x:v>165200</x:v>
      </x:c>
      <x:c r="D820" s="25">
        <x:f t="shared" si="37"/>
        <x:v>182400</x:v>
      </x:c>
      <x:c r="E820" s="25">
        <x:f t="shared" si="38"/>
        <x:v>195300</x:v>
      </x:c>
      <x:c r="F820" s="58">
        <x:f t="shared" si="39"/>
        <x:v>207700</x:v>
      </x:c>
    </x:row>
    <x:row r="821">
      <x:c r="B821" s="63">
        <x:v>919</x:v>
      </x:c>
      <x:c r="C821" s="57">
        <x:f t="shared" si="36"/>
        <x:v>165200</x:v>
      </x:c>
      <x:c r="D821" s="25">
        <x:f t="shared" si="37"/>
        <x:v>182400</x:v>
      </x:c>
      <x:c r="E821" s="25">
        <x:f t="shared" si="38"/>
        <x:v>195300</x:v>
      </x:c>
      <x:c r="F821" s="58">
        <x:f t="shared" si="39"/>
        <x:v>207700</x:v>
      </x:c>
    </x:row>
    <x:row r="822">
      <x:c r="B822" s="63">
        <x:v>920</x:v>
      </x:c>
      <x:c r="C822" s="57">
        <x:f t="shared" si="36"/>
        <x:v>165200</x:v>
      </x:c>
      <x:c r="D822" s="25">
        <x:f t="shared" si="37"/>
        <x:v>182400</x:v>
      </x:c>
      <x:c r="E822" s="25">
        <x:f t="shared" si="38"/>
        <x:v>195300</x:v>
      </x:c>
      <x:c r="F822" s="58">
        <x:f t="shared" si="39"/>
        <x:v>207700</x:v>
      </x:c>
    </x:row>
    <x:row r="823">
      <x:c r="B823" s="63">
        <x:v>921</x:v>
      </x:c>
      <x:c r="C823" s="57">
        <x:f t="shared" si="36"/>
        <x:v>165200</x:v>
      </x:c>
      <x:c r="D823" s="25">
        <x:f t="shared" si="37"/>
        <x:v>182400</x:v>
      </x:c>
      <x:c r="E823" s="25">
        <x:f t="shared" si="38"/>
        <x:v>195300</x:v>
      </x:c>
      <x:c r="F823" s="58">
        <x:f t="shared" si="39"/>
        <x:v>207700</x:v>
      </x:c>
    </x:row>
    <x:row r="824">
      <x:c r="B824" s="63">
        <x:v>922</x:v>
      </x:c>
      <x:c r="C824" s="57">
        <x:f t="shared" si="36"/>
        <x:v>165200</x:v>
      </x:c>
      <x:c r="D824" s="25">
        <x:f t="shared" si="37"/>
        <x:v>182400</x:v>
      </x:c>
      <x:c r="E824" s="25">
        <x:f t="shared" si="38"/>
        <x:v>195300</x:v>
      </x:c>
      <x:c r="F824" s="58">
        <x:f t="shared" si="39"/>
        <x:v>207700</x:v>
      </x:c>
    </x:row>
    <x:row r="825">
      <x:c r="B825" s="63">
        <x:v>923</x:v>
      </x:c>
      <x:c r="C825" s="57">
        <x:f t="shared" si="36"/>
        <x:v>165200</x:v>
      </x:c>
      <x:c r="D825" s="25">
        <x:f t="shared" si="37"/>
        <x:v>182400</x:v>
      </x:c>
      <x:c r="E825" s="25">
        <x:f t="shared" si="38"/>
        <x:v>195300</x:v>
      </x:c>
      <x:c r="F825" s="58">
        <x:f t="shared" si="39"/>
        <x:v>207700</x:v>
      </x:c>
    </x:row>
    <x:row r="826">
      <x:c r="B826" s="63">
        <x:v>924</x:v>
      </x:c>
      <x:c r="C826" s="57">
        <x:f t="shared" si="36"/>
        <x:v>165200</x:v>
      </x:c>
      <x:c r="D826" s="25">
        <x:f t="shared" si="37"/>
        <x:v>182400</x:v>
      </x:c>
      <x:c r="E826" s="25">
        <x:f t="shared" si="38"/>
        <x:v>195300</x:v>
      </x:c>
      <x:c r="F826" s="58">
        <x:f t="shared" si="39"/>
        <x:v>207700</x:v>
      </x:c>
    </x:row>
    <x:row r="827">
      <x:c r="B827" s="63">
        <x:v>925</x:v>
      </x:c>
      <x:c r="C827" s="57">
        <x:f t="shared" si="36"/>
        <x:v>165200</x:v>
      </x:c>
      <x:c r="D827" s="25">
        <x:f t="shared" si="37"/>
        <x:v>182400</x:v>
      </x:c>
      <x:c r="E827" s="25">
        <x:f t="shared" si="38"/>
        <x:v>195300</x:v>
      </x:c>
      <x:c r="F827" s="58">
        <x:f t="shared" si="39"/>
        <x:v>207700</x:v>
      </x:c>
    </x:row>
    <x:row r="828">
      <x:c r="B828" s="63">
        <x:v>926</x:v>
      </x:c>
      <x:c r="C828" s="57">
        <x:f t="shared" si="36"/>
        <x:v>165200</x:v>
      </x:c>
      <x:c r="D828" s="25">
        <x:f t="shared" si="37"/>
        <x:v>182400</x:v>
      </x:c>
      <x:c r="E828" s="25">
        <x:f t="shared" si="38"/>
        <x:v>195300</x:v>
      </x:c>
      <x:c r="F828" s="58">
        <x:f t="shared" si="39"/>
        <x:v>207700</x:v>
      </x:c>
    </x:row>
    <x:row r="829">
      <x:c r="B829" s="63">
        <x:v>927</x:v>
      </x:c>
      <x:c r="C829" s="57">
        <x:f t="shared" si="36"/>
        <x:v>165200</x:v>
      </x:c>
      <x:c r="D829" s="25">
        <x:f t="shared" si="37"/>
        <x:v>182400</x:v>
      </x:c>
      <x:c r="E829" s="25">
        <x:f t="shared" si="38"/>
        <x:v>195300</x:v>
      </x:c>
      <x:c r="F829" s="58">
        <x:f t="shared" si="39"/>
        <x:v>207700</x:v>
      </x:c>
    </x:row>
    <x:row r="830">
      <x:c r="B830" s="63">
        <x:v>928</x:v>
      </x:c>
      <x:c r="C830" s="57">
        <x:f t="shared" si="36"/>
        <x:v>165200</x:v>
      </x:c>
      <x:c r="D830" s="25">
        <x:f t="shared" si="37"/>
        <x:v>182400</x:v>
      </x:c>
      <x:c r="E830" s="25">
        <x:f t="shared" si="38"/>
        <x:v>195300</x:v>
      </x:c>
      <x:c r="F830" s="58">
        <x:f t="shared" si="39"/>
        <x:v>207700</x:v>
      </x:c>
    </x:row>
    <x:row r="831">
      <x:c r="B831" s="63">
        <x:v>929</x:v>
      </x:c>
      <x:c r="C831" s="57">
        <x:f t="shared" si="36"/>
        <x:v>165200</x:v>
      </x:c>
      <x:c r="D831" s="25">
        <x:f t="shared" si="37"/>
        <x:v>182400</x:v>
      </x:c>
      <x:c r="E831" s="25">
        <x:f t="shared" si="38"/>
        <x:v>195300</x:v>
      </x:c>
      <x:c r="F831" s="58">
        <x:f t="shared" si="39"/>
        <x:v>207700</x:v>
      </x:c>
    </x:row>
    <x:row r="832">
      <x:c r="B832" s="63">
        <x:v>930</x:v>
      </x:c>
      <x:c r="C832" s="57">
        <x:f t="shared" si="36"/>
        <x:v>165200</x:v>
      </x:c>
      <x:c r="D832" s="25">
        <x:f t="shared" si="37"/>
        <x:v>182400</x:v>
      </x:c>
      <x:c r="E832" s="25">
        <x:f t="shared" si="38"/>
        <x:v>195300</x:v>
      </x:c>
      <x:c r="F832" s="58">
        <x:f t="shared" si="39"/>
        <x:v>207700</x:v>
      </x:c>
    </x:row>
    <x:row r="833">
      <x:c r="B833" s="63">
        <x:v>931</x:v>
      </x:c>
      <x:c r="C833" s="57">
        <x:f t="shared" si="36"/>
        <x:v>165200</x:v>
      </x:c>
      <x:c r="D833" s="25">
        <x:f t="shared" si="37"/>
        <x:v>182400</x:v>
      </x:c>
      <x:c r="E833" s="25">
        <x:f t="shared" si="38"/>
        <x:v>195300</x:v>
      </x:c>
      <x:c r="F833" s="58">
        <x:f t="shared" si="39"/>
        <x:v>207700</x:v>
      </x:c>
    </x:row>
    <x:row r="834">
      <x:c r="B834" s="63">
        <x:v>932</x:v>
      </x:c>
      <x:c r="C834" s="57">
        <x:f t="shared" si="36"/>
        <x:v>165200</x:v>
      </x:c>
      <x:c r="D834" s="25">
        <x:f t="shared" si="37"/>
        <x:v>182400</x:v>
      </x:c>
      <x:c r="E834" s="25">
        <x:f t="shared" si="38"/>
        <x:v>195300</x:v>
      </x:c>
      <x:c r="F834" s="58">
        <x:f t="shared" si="39"/>
        <x:v>207700</x:v>
      </x:c>
    </x:row>
    <x:row r="835">
      <x:c r="B835" s="63">
        <x:v>933</x:v>
      </x:c>
      <x:c r="C835" s="57">
        <x:f t="shared" si="36"/>
        <x:v>165200</x:v>
      </x:c>
      <x:c r="D835" s="25">
        <x:f t="shared" si="37"/>
        <x:v>182400</x:v>
      </x:c>
      <x:c r="E835" s="25">
        <x:f t="shared" si="38"/>
        <x:v>195300</x:v>
      </x:c>
      <x:c r="F835" s="58">
        <x:f t="shared" si="39"/>
        <x:v>207700</x:v>
      </x:c>
    </x:row>
    <x:row r="836">
      <x:c r="B836" s="63">
        <x:v>934</x:v>
      </x:c>
      <x:c r="C836" s="57">
        <x:f t="shared" si="36"/>
        <x:v>165200</x:v>
      </x:c>
      <x:c r="D836" s="25">
        <x:f t="shared" si="37"/>
        <x:v>182400</x:v>
      </x:c>
      <x:c r="E836" s="25">
        <x:f t="shared" si="38"/>
        <x:v>195300</x:v>
      </x:c>
      <x:c r="F836" s="58">
        <x:f t="shared" si="39"/>
        <x:v>207700</x:v>
      </x:c>
    </x:row>
    <x:row r="837">
      <x:c r="B837" s="63">
        <x:v>935</x:v>
      </x:c>
      <x:c r="C837" s="57">
        <x:f t="shared" si="36"/>
        <x:v>165200</x:v>
      </x:c>
      <x:c r="D837" s="25">
        <x:f t="shared" si="37"/>
        <x:v>182400</x:v>
      </x:c>
      <x:c r="E837" s="25">
        <x:f t="shared" si="38"/>
        <x:v>195300</x:v>
      </x:c>
      <x:c r="F837" s="58">
        <x:f t="shared" si="39"/>
        <x:v>207700</x:v>
      </x:c>
    </x:row>
    <x:row r="838">
      <x:c r="B838" s="63">
        <x:v>936</x:v>
      </x:c>
      <x:c r="C838" s="57">
        <x:f t="shared" si="36"/>
        <x:v>165200</x:v>
      </x:c>
      <x:c r="D838" s="25">
        <x:f t="shared" si="37"/>
        <x:v>182400</x:v>
      </x:c>
      <x:c r="E838" s="25">
        <x:f t="shared" si="38"/>
        <x:v>195300</x:v>
      </x:c>
      <x:c r="F838" s="58">
        <x:f t="shared" si="39"/>
        <x:v>207700</x:v>
      </x:c>
    </x:row>
    <x:row r="839">
      <x:c r="B839" s="63">
        <x:v>937</x:v>
      </x:c>
      <x:c r="C839" s="57">
        <x:f t="shared" si="36"/>
        <x:v>165200</x:v>
      </x:c>
      <x:c r="D839" s="25">
        <x:f t="shared" si="37"/>
        <x:v>182400</x:v>
      </x:c>
      <x:c r="E839" s="25">
        <x:f t="shared" si="38"/>
        <x:v>195300</x:v>
      </x:c>
      <x:c r="F839" s="58">
        <x:f t="shared" si="39"/>
        <x:v>207700</x:v>
      </x:c>
    </x:row>
    <x:row r="840">
      <x:c r="B840" s="63">
        <x:v>938</x:v>
      </x:c>
      <x:c r="C840" s="57">
        <x:f t="shared" si="36"/>
        <x:v>165200</x:v>
      </x:c>
      <x:c r="D840" s="25">
        <x:f t="shared" si="37"/>
        <x:v>182400</x:v>
      </x:c>
      <x:c r="E840" s="25">
        <x:f t="shared" si="38"/>
        <x:v>195300</x:v>
      </x:c>
      <x:c r="F840" s="58">
        <x:f t="shared" si="39"/>
        <x:v>207700</x:v>
      </x:c>
    </x:row>
    <x:row r="841">
      <x:c r="B841" s="63">
        <x:v>939</x:v>
      </x:c>
      <x:c r="C841" s="57">
        <x:f t="shared" si="36"/>
        <x:v>165200</x:v>
      </x:c>
      <x:c r="D841" s="25">
        <x:f t="shared" si="37"/>
        <x:v>182400</x:v>
      </x:c>
      <x:c r="E841" s="25">
        <x:f t="shared" si="38"/>
        <x:v>195300</x:v>
      </x:c>
      <x:c r="F841" s="58">
        <x:f t="shared" si="39"/>
        <x:v>207700</x:v>
      </x:c>
    </x:row>
    <x:row r="842">
      <x:c r="B842" s="63">
        <x:v>940</x:v>
      </x:c>
      <x:c r="C842" s="57">
        <x:f t="shared" si="36"/>
        <x:v>165200</x:v>
      </x:c>
      <x:c r="D842" s="25">
        <x:f t="shared" si="37"/>
        <x:v>182400</x:v>
      </x:c>
      <x:c r="E842" s="25">
        <x:f t="shared" si="38"/>
        <x:v>195300</x:v>
      </x:c>
      <x:c r="F842" s="58">
        <x:f t="shared" si="39"/>
        <x:v>207700</x:v>
      </x:c>
    </x:row>
    <x:row r="843">
      <x:c r="B843" s="63">
        <x:v>941</x:v>
      </x:c>
      <x:c r="C843" s="57">
        <x:f t="shared" si="36"/>
        <x:v>165200</x:v>
      </x:c>
      <x:c r="D843" s="25">
        <x:f t="shared" si="37"/>
        <x:v>182400</x:v>
      </x:c>
      <x:c r="E843" s="25">
        <x:f t="shared" si="38"/>
        <x:v>195300</x:v>
      </x:c>
      <x:c r="F843" s="58">
        <x:f t="shared" si="39"/>
        <x:v>207700</x:v>
      </x:c>
    </x:row>
    <x:row r="844">
      <x:c r="B844" s="63">
        <x:v>942</x:v>
      </x:c>
      <x:c r="C844" s="57">
        <x:f t="shared" si="36"/>
        <x:v>165200</x:v>
      </x:c>
      <x:c r="D844" s="25">
        <x:f t="shared" si="37"/>
        <x:v>182400</x:v>
      </x:c>
      <x:c r="E844" s="25">
        <x:f t="shared" si="38"/>
        <x:v>195300</x:v>
      </x:c>
      <x:c r="F844" s="58">
        <x:f t="shared" si="39"/>
        <x:v>207700</x:v>
      </x:c>
    </x:row>
    <x:row r="845">
      <x:c r="B845" s="63">
        <x:v>943</x:v>
      </x:c>
      <x:c r="C845" s="57">
        <x:f t="shared" si="36"/>
        <x:v>165200</x:v>
      </x:c>
      <x:c r="D845" s="25">
        <x:f t="shared" si="37"/>
        <x:v>182400</x:v>
      </x:c>
      <x:c r="E845" s="25">
        <x:f t="shared" si="38"/>
        <x:v>195300</x:v>
      </x:c>
      <x:c r="F845" s="58">
        <x:f t="shared" si="39"/>
        <x:v>207700</x:v>
      </x:c>
    </x:row>
    <x:row r="846">
      <x:c r="B846" s="63">
        <x:v>944</x:v>
      </x:c>
      <x:c r="C846" s="57">
        <x:f t="shared" si="36"/>
        <x:v>165200</x:v>
      </x:c>
      <x:c r="D846" s="25">
        <x:f t="shared" si="37"/>
        <x:v>182400</x:v>
      </x:c>
      <x:c r="E846" s="25">
        <x:f t="shared" si="38"/>
        <x:v>195300</x:v>
      </x:c>
      <x:c r="F846" s="58">
        <x:f t="shared" si="39"/>
        <x:v>207700</x:v>
      </x:c>
    </x:row>
    <x:row r="847">
      <x:c r="B847" s="63">
        <x:v>945</x:v>
      </x:c>
      <x:c r="C847" s="57">
        <x:f t="shared" si="36"/>
        <x:v>165200</x:v>
      </x:c>
      <x:c r="D847" s="25">
        <x:f t="shared" si="37"/>
        <x:v>182400</x:v>
      </x:c>
      <x:c r="E847" s="25">
        <x:f t="shared" si="38"/>
        <x:v>195300</x:v>
      </x:c>
      <x:c r="F847" s="58">
        <x:f t="shared" si="39"/>
        <x:v>207700</x:v>
      </x:c>
    </x:row>
    <x:row r="848">
      <x:c r="B848" s="63">
        <x:v>946</x:v>
      </x:c>
      <x:c r="C848" s="57">
        <x:f t="shared" si="36"/>
        <x:v>165200</x:v>
      </x:c>
      <x:c r="D848" s="25">
        <x:f t="shared" si="37"/>
        <x:v>182400</x:v>
      </x:c>
      <x:c r="E848" s="25">
        <x:f t="shared" si="38"/>
        <x:v>195300</x:v>
      </x:c>
      <x:c r="F848" s="58">
        <x:f t="shared" si="39"/>
        <x:v>207700</x:v>
      </x:c>
    </x:row>
    <x:row r="849">
      <x:c r="B849" s="63">
        <x:v>947</x:v>
      </x:c>
      <x:c r="C849" s="57">
        <x:f t="shared" si="36"/>
        <x:v>165200</x:v>
      </x:c>
      <x:c r="D849" s="25">
        <x:f t="shared" si="37"/>
        <x:v>182400</x:v>
      </x:c>
      <x:c r="E849" s="25">
        <x:f t="shared" si="38"/>
        <x:v>195300</x:v>
      </x:c>
      <x:c r="F849" s="58">
        <x:f t="shared" si="39"/>
        <x:v>207700</x:v>
      </x:c>
    </x:row>
    <x:row r="850">
      <x:c r="B850" s="63">
        <x:v>948</x:v>
      </x:c>
      <x:c r="C850" s="57">
        <x:f t="shared" si="36"/>
        <x:v>165200</x:v>
      </x:c>
      <x:c r="D850" s="25">
        <x:f t="shared" si="37"/>
        <x:v>182400</x:v>
      </x:c>
      <x:c r="E850" s="25">
        <x:f t="shared" si="38"/>
        <x:v>195300</x:v>
      </x:c>
      <x:c r="F850" s="58">
        <x:f t="shared" si="39"/>
        <x:v>207700</x:v>
      </x:c>
    </x:row>
    <x:row r="851">
      <x:c r="B851" s="63">
        <x:v>949</x:v>
      </x:c>
      <x:c r="C851" s="57">
        <x:f t="shared" si="36"/>
        <x:v>165200</x:v>
      </x:c>
      <x:c r="D851" s="25">
        <x:f t="shared" si="37"/>
        <x:v>182400</x:v>
      </x:c>
      <x:c r="E851" s="25">
        <x:f t="shared" si="38"/>
        <x:v>195300</x:v>
      </x:c>
      <x:c r="F851" s="58">
        <x:f t="shared" si="39"/>
        <x:v>207700</x:v>
      </x:c>
    </x:row>
    <x:row r="852">
      <x:c r="B852" s="63">
        <x:v>950</x:v>
      </x:c>
      <x:c r="C852" s="57">
        <x:f t="shared" si="36"/>
        <x:v>165200</x:v>
      </x:c>
      <x:c r="D852" s="25">
        <x:f t="shared" si="37"/>
        <x:v>182400</x:v>
      </x:c>
      <x:c r="E852" s="25">
        <x:f t="shared" si="38"/>
        <x:v>195300</x:v>
      </x:c>
      <x:c r="F852" s="58">
        <x:f t="shared" si="39"/>
        <x:v>207700</x:v>
      </x:c>
    </x:row>
    <x:row r="853">
      <x:c r="B853" s="63">
        <x:v>951</x:v>
      </x:c>
      <x:c r="C853" s="57" t="n">
        <x:f>$C$402+$J$12</x:f>
        <x:v>172500</x:v>
      </x:c>
      <x:c r="D853" s="25" t="n">
        <x:f>$D$402+$K$12</x:f>
        <x:v>190500</x:v>
      </x:c>
      <x:c r="E853" s="25" t="n">
        <x:f>$E$402+$L$12</x:f>
        <x:v>204000</x:v>
      </x:c>
      <x:c r="F853" s="58" t="n">
        <x:f>$F$402+$M$12</x:f>
        <x:v>217000</x:v>
      </x:c>
    </x:row>
    <x:row r="854">
      <x:c r="B854" s="63">
        <x:v>952</x:v>
      </x:c>
      <x:c r="C854" s="57" t="n">
        <x:f t="shared" ref="C854:C902" si="40">$C$402+$J$12</x:f>
        <x:v>172500</x:v>
      </x:c>
      <x:c r="D854" s="25" t="n">
        <x:f t="shared" ref="D854:D902" si="41">$D$402+$K$12</x:f>
        <x:v>190500</x:v>
      </x:c>
      <x:c r="E854" s="25" t="n">
        <x:f t="shared" ref="E854:E902" si="42">$E$402+$L$12</x:f>
        <x:v>204000</x:v>
      </x:c>
      <x:c r="F854" s="58" t="n">
        <x:f t="shared" ref="F854:F902" si="43">$F$402+$M$12</x:f>
        <x:v>217000</x:v>
      </x:c>
    </x:row>
    <x:row r="855">
      <x:c r="B855" s="63">
        <x:v>953</x:v>
      </x:c>
      <x:c r="C855" s="57">
        <x:f t="shared" si="40"/>
        <x:v>172500</x:v>
      </x:c>
      <x:c r="D855" s="25">
        <x:f t="shared" si="41"/>
        <x:v>190500</x:v>
      </x:c>
      <x:c r="E855" s="25">
        <x:f t="shared" si="42"/>
        <x:v>204000</x:v>
      </x:c>
      <x:c r="F855" s="58">
        <x:f t="shared" si="43"/>
        <x:v>217000</x:v>
      </x:c>
    </x:row>
    <x:row r="856">
      <x:c r="B856" s="63">
        <x:v>954</x:v>
      </x:c>
      <x:c r="C856" s="57">
        <x:f t="shared" si="40"/>
        <x:v>172500</x:v>
      </x:c>
      <x:c r="D856" s="25">
        <x:f t="shared" si="41"/>
        <x:v>190500</x:v>
      </x:c>
      <x:c r="E856" s="25">
        <x:f t="shared" si="42"/>
        <x:v>204000</x:v>
      </x:c>
      <x:c r="F856" s="58">
        <x:f t="shared" si="43"/>
        <x:v>217000</x:v>
      </x:c>
    </x:row>
    <x:row r="857">
      <x:c r="B857" s="63">
        <x:v>955</x:v>
      </x:c>
      <x:c r="C857" s="57">
        <x:f t="shared" si="40"/>
        <x:v>172500</x:v>
      </x:c>
      <x:c r="D857" s="25">
        <x:f t="shared" si="41"/>
        <x:v>190500</x:v>
      </x:c>
      <x:c r="E857" s="25">
        <x:f t="shared" si="42"/>
        <x:v>204000</x:v>
      </x:c>
      <x:c r="F857" s="58">
        <x:f t="shared" si="43"/>
        <x:v>217000</x:v>
      </x:c>
    </x:row>
    <x:row r="858">
      <x:c r="B858" s="63">
        <x:v>956</x:v>
      </x:c>
      <x:c r="C858" s="57">
        <x:f t="shared" si="40"/>
        <x:v>172500</x:v>
      </x:c>
      <x:c r="D858" s="25">
        <x:f t="shared" si="41"/>
        <x:v>190500</x:v>
      </x:c>
      <x:c r="E858" s="25">
        <x:f t="shared" si="42"/>
        <x:v>204000</x:v>
      </x:c>
      <x:c r="F858" s="58">
        <x:f t="shared" si="43"/>
        <x:v>217000</x:v>
      </x:c>
    </x:row>
    <x:row r="859">
      <x:c r="B859" s="63">
        <x:v>957</x:v>
      </x:c>
      <x:c r="C859" s="57">
        <x:f t="shared" si="40"/>
        <x:v>172500</x:v>
      </x:c>
      <x:c r="D859" s="25">
        <x:f t="shared" si="41"/>
        <x:v>190500</x:v>
      </x:c>
      <x:c r="E859" s="25">
        <x:f t="shared" si="42"/>
        <x:v>204000</x:v>
      </x:c>
      <x:c r="F859" s="58">
        <x:f t="shared" si="43"/>
        <x:v>217000</x:v>
      </x:c>
    </x:row>
    <x:row r="860">
      <x:c r="B860" s="63">
        <x:v>958</x:v>
      </x:c>
      <x:c r="C860" s="57">
        <x:f t="shared" si="40"/>
        <x:v>172500</x:v>
      </x:c>
      <x:c r="D860" s="25">
        <x:f t="shared" si="41"/>
        <x:v>190500</x:v>
      </x:c>
      <x:c r="E860" s="25">
        <x:f t="shared" si="42"/>
        <x:v>204000</x:v>
      </x:c>
      <x:c r="F860" s="58">
        <x:f t="shared" si="43"/>
        <x:v>217000</x:v>
      </x:c>
    </x:row>
    <x:row r="861">
      <x:c r="B861" s="63">
        <x:v>959</x:v>
      </x:c>
      <x:c r="C861" s="57">
        <x:f t="shared" si="40"/>
        <x:v>172500</x:v>
      </x:c>
      <x:c r="D861" s="25">
        <x:f t="shared" si="41"/>
        <x:v>190500</x:v>
      </x:c>
      <x:c r="E861" s="25">
        <x:f t="shared" si="42"/>
        <x:v>204000</x:v>
      </x:c>
      <x:c r="F861" s="58">
        <x:f t="shared" si="43"/>
        <x:v>217000</x:v>
      </x:c>
    </x:row>
    <x:row r="862">
      <x:c r="B862" s="63">
        <x:v>960</x:v>
      </x:c>
      <x:c r="C862" s="57">
        <x:f t="shared" si="40"/>
        <x:v>172500</x:v>
      </x:c>
      <x:c r="D862" s="25">
        <x:f t="shared" si="41"/>
        <x:v>190500</x:v>
      </x:c>
      <x:c r="E862" s="25">
        <x:f t="shared" si="42"/>
        <x:v>204000</x:v>
      </x:c>
      <x:c r="F862" s="58">
        <x:f t="shared" si="43"/>
        <x:v>217000</x:v>
      </x:c>
    </x:row>
    <x:row r="863">
      <x:c r="B863" s="63">
        <x:v>961</x:v>
      </x:c>
      <x:c r="C863" s="57">
        <x:f t="shared" si="40"/>
        <x:v>172500</x:v>
      </x:c>
      <x:c r="D863" s="25">
        <x:f t="shared" si="41"/>
        <x:v>190500</x:v>
      </x:c>
      <x:c r="E863" s="25">
        <x:f t="shared" si="42"/>
        <x:v>204000</x:v>
      </x:c>
      <x:c r="F863" s="58">
        <x:f t="shared" si="43"/>
        <x:v>217000</x:v>
      </x:c>
    </x:row>
    <x:row r="864">
      <x:c r="B864" s="63">
        <x:v>962</x:v>
      </x:c>
      <x:c r="C864" s="57">
        <x:f t="shared" si="40"/>
        <x:v>172500</x:v>
      </x:c>
      <x:c r="D864" s="25">
        <x:f t="shared" si="41"/>
        <x:v>190500</x:v>
      </x:c>
      <x:c r="E864" s="25">
        <x:f t="shared" si="42"/>
        <x:v>204000</x:v>
      </x:c>
      <x:c r="F864" s="58">
        <x:f t="shared" si="43"/>
        <x:v>217000</x:v>
      </x:c>
    </x:row>
    <x:row r="865">
      <x:c r="B865" s="63">
        <x:v>963</x:v>
      </x:c>
      <x:c r="C865" s="57">
        <x:f t="shared" si="40"/>
        <x:v>172500</x:v>
      </x:c>
      <x:c r="D865" s="25">
        <x:f t="shared" si="41"/>
        <x:v>190500</x:v>
      </x:c>
      <x:c r="E865" s="25">
        <x:f t="shared" si="42"/>
        <x:v>204000</x:v>
      </x:c>
      <x:c r="F865" s="58">
        <x:f t="shared" si="43"/>
        <x:v>217000</x:v>
      </x:c>
    </x:row>
    <x:row r="866">
      <x:c r="B866" s="63">
        <x:v>964</x:v>
      </x:c>
      <x:c r="C866" s="57">
        <x:f t="shared" si="40"/>
        <x:v>172500</x:v>
      </x:c>
      <x:c r="D866" s="25">
        <x:f t="shared" si="41"/>
        <x:v>190500</x:v>
      </x:c>
      <x:c r="E866" s="25">
        <x:f t="shared" si="42"/>
        <x:v>204000</x:v>
      </x:c>
      <x:c r="F866" s="58">
        <x:f t="shared" si="43"/>
        <x:v>217000</x:v>
      </x:c>
    </x:row>
    <x:row r="867">
      <x:c r="B867" s="63">
        <x:v>965</x:v>
      </x:c>
      <x:c r="C867" s="57">
        <x:f t="shared" si="40"/>
        <x:v>172500</x:v>
      </x:c>
      <x:c r="D867" s="25">
        <x:f t="shared" si="41"/>
        <x:v>190500</x:v>
      </x:c>
      <x:c r="E867" s="25">
        <x:f t="shared" si="42"/>
        <x:v>204000</x:v>
      </x:c>
      <x:c r="F867" s="58">
        <x:f t="shared" si="43"/>
        <x:v>217000</x:v>
      </x:c>
    </x:row>
    <x:row r="868">
      <x:c r="B868" s="63">
        <x:v>966</x:v>
      </x:c>
      <x:c r="C868" s="57">
        <x:f t="shared" si="40"/>
        <x:v>172500</x:v>
      </x:c>
      <x:c r="D868" s="25">
        <x:f t="shared" si="41"/>
        <x:v>190500</x:v>
      </x:c>
      <x:c r="E868" s="25">
        <x:f t="shared" si="42"/>
        <x:v>204000</x:v>
      </x:c>
      <x:c r="F868" s="58">
        <x:f t="shared" si="43"/>
        <x:v>217000</x:v>
      </x:c>
    </x:row>
    <x:row r="869">
      <x:c r="B869" s="63">
        <x:v>967</x:v>
      </x:c>
      <x:c r="C869" s="57">
        <x:f t="shared" si="40"/>
        <x:v>172500</x:v>
      </x:c>
      <x:c r="D869" s="25">
        <x:f t="shared" si="41"/>
        <x:v>190500</x:v>
      </x:c>
      <x:c r="E869" s="25">
        <x:f t="shared" si="42"/>
        <x:v>204000</x:v>
      </x:c>
      <x:c r="F869" s="58">
        <x:f t="shared" si="43"/>
        <x:v>217000</x:v>
      </x:c>
    </x:row>
    <x:row r="870">
      <x:c r="B870" s="63">
        <x:v>968</x:v>
      </x:c>
      <x:c r="C870" s="57">
        <x:f t="shared" si="40"/>
        <x:v>172500</x:v>
      </x:c>
      <x:c r="D870" s="25">
        <x:f t="shared" si="41"/>
        <x:v>190500</x:v>
      </x:c>
      <x:c r="E870" s="25">
        <x:f t="shared" si="42"/>
        <x:v>204000</x:v>
      </x:c>
      <x:c r="F870" s="58">
        <x:f t="shared" si="43"/>
        <x:v>217000</x:v>
      </x:c>
    </x:row>
    <x:row r="871">
      <x:c r="B871" s="63">
        <x:v>969</x:v>
      </x:c>
      <x:c r="C871" s="57">
        <x:f t="shared" si="40"/>
        <x:v>172500</x:v>
      </x:c>
      <x:c r="D871" s="25">
        <x:f t="shared" si="41"/>
        <x:v>190500</x:v>
      </x:c>
      <x:c r="E871" s="25">
        <x:f t="shared" si="42"/>
        <x:v>204000</x:v>
      </x:c>
      <x:c r="F871" s="58">
        <x:f t="shared" si="43"/>
        <x:v>217000</x:v>
      </x:c>
    </x:row>
    <x:row r="872">
      <x:c r="B872" s="63">
        <x:v>970</x:v>
      </x:c>
      <x:c r="C872" s="57">
        <x:f t="shared" si="40"/>
        <x:v>172500</x:v>
      </x:c>
      <x:c r="D872" s="25">
        <x:f t="shared" si="41"/>
        <x:v>190500</x:v>
      </x:c>
      <x:c r="E872" s="25">
        <x:f t="shared" si="42"/>
        <x:v>204000</x:v>
      </x:c>
      <x:c r="F872" s="58">
        <x:f t="shared" si="43"/>
        <x:v>217000</x:v>
      </x:c>
    </x:row>
    <x:row r="873">
      <x:c r="B873" s="63">
        <x:v>971</x:v>
      </x:c>
      <x:c r="C873" s="57">
        <x:f t="shared" si="40"/>
        <x:v>172500</x:v>
      </x:c>
      <x:c r="D873" s="25">
        <x:f t="shared" si="41"/>
        <x:v>190500</x:v>
      </x:c>
      <x:c r="E873" s="25">
        <x:f t="shared" si="42"/>
        <x:v>204000</x:v>
      </x:c>
      <x:c r="F873" s="58">
        <x:f t="shared" si="43"/>
        <x:v>217000</x:v>
      </x:c>
    </x:row>
    <x:row r="874">
      <x:c r="B874" s="63">
        <x:v>972</x:v>
      </x:c>
      <x:c r="C874" s="57">
        <x:f t="shared" si="40"/>
        <x:v>172500</x:v>
      </x:c>
      <x:c r="D874" s="25">
        <x:f t="shared" si="41"/>
        <x:v>190500</x:v>
      </x:c>
      <x:c r="E874" s="25">
        <x:f t="shared" si="42"/>
        <x:v>204000</x:v>
      </x:c>
      <x:c r="F874" s="58">
        <x:f t="shared" si="43"/>
        <x:v>217000</x:v>
      </x:c>
    </x:row>
    <x:row r="875">
      <x:c r="B875" s="63">
        <x:v>973</x:v>
      </x:c>
      <x:c r="C875" s="57">
        <x:f t="shared" si="40"/>
        <x:v>172500</x:v>
      </x:c>
      <x:c r="D875" s="25">
        <x:f t="shared" si="41"/>
        <x:v>190500</x:v>
      </x:c>
      <x:c r="E875" s="25">
        <x:f t="shared" si="42"/>
        <x:v>204000</x:v>
      </x:c>
      <x:c r="F875" s="58">
        <x:f t="shared" si="43"/>
        <x:v>217000</x:v>
      </x:c>
    </x:row>
    <x:row r="876">
      <x:c r="B876" s="63">
        <x:v>974</x:v>
      </x:c>
      <x:c r="C876" s="57">
        <x:f t="shared" si="40"/>
        <x:v>172500</x:v>
      </x:c>
      <x:c r="D876" s="25">
        <x:f t="shared" si="41"/>
        <x:v>190500</x:v>
      </x:c>
      <x:c r="E876" s="25">
        <x:f t="shared" si="42"/>
        <x:v>204000</x:v>
      </x:c>
      <x:c r="F876" s="58">
        <x:f t="shared" si="43"/>
        <x:v>217000</x:v>
      </x:c>
    </x:row>
    <x:row r="877">
      <x:c r="B877" s="63">
        <x:v>975</x:v>
      </x:c>
      <x:c r="C877" s="57">
        <x:f t="shared" si="40"/>
        <x:v>172500</x:v>
      </x:c>
      <x:c r="D877" s="25">
        <x:f t="shared" si="41"/>
        <x:v>190500</x:v>
      </x:c>
      <x:c r="E877" s="25">
        <x:f t="shared" si="42"/>
        <x:v>204000</x:v>
      </x:c>
      <x:c r="F877" s="58">
        <x:f t="shared" si="43"/>
        <x:v>217000</x:v>
      </x:c>
    </x:row>
    <x:row r="878">
      <x:c r="B878" s="63">
        <x:v>976</x:v>
      </x:c>
      <x:c r="C878" s="57">
        <x:f t="shared" si="40"/>
        <x:v>172500</x:v>
      </x:c>
      <x:c r="D878" s="25">
        <x:f t="shared" si="41"/>
        <x:v>190500</x:v>
      </x:c>
      <x:c r="E878" s="25">
        <x:f t="shared" si="42"/>
        <x:v>204000</x:v>
      </x:c>
      <x:c r="F878" s="58">
        <x:f t="shared" si="43"/>
        <x:v>217000</x:v>
      </x:c>
    </x:row>
    <x:row r="879">
      <x:c r="B879" s="63">
        <x:v>977</x:v>
      </x:c>
      <x:c r="C879" s="57">
        <x:f t="shared" si="40"/>
        <x:v>172500</x:v>
      </x:c>
      <x:c r="D879" s="25">
        <x:f t="shared" si="41"/>
        <x:v>190500</x:v>
      </x:c>
      <x:c r="E879" s="25">
        <x:f t="shared" si="42"/>
        <x:v>204000</x:v>
      </x:c>
      <x:c r="F879" s="58">
        <x:f t="shared" si="43"/>
        <x:v>217000</x:v>
      </x:c>
    </x:row>
    <x:row r="880">
      <x:c r="B880" s="63">
        <x:v>978</x:v>
      </x:c>
      <x:c r="C880" s="57">
        <x:f t="shared" si="40"/>
        <x:v>172500</x:v>
      </x:c>
      <x:c r="D880" s="25">
        <x:f t="shared" si="41"/>
        <x:v>190500</x:v>
      </x:c>
      <x:c r="E880" s="25">
        <x:f t="shared" si="42"/>
        <x:v>204000</x:v>
      </x:c>
      <x:c r="F880" s="58">
        <x:f t="shared" si="43"/>
        <x:v>217000</x:v>
      </x:c>
    </x:row>
    <x:row r="881">
      <x:c r="B881" s="63">
        <x:v>979</x:v>
      </x:c>
      <x:c r="C881" s="57">
        <x:f t="shared" si="40"/>
        <x:v>172500</x:v>
      </x:c>
      <x:c r="D881" s="25">
        <x:f t="shared" si="41"/>
        <x:v>190500</x:v>
      </x:c>
      <x:c r="E881" s="25">
        <x:f t="shared" si="42"/>
        <x:v>204000</x:v>
      </x:c>
      <x:c r="F881" s="58">
        <x:f t="shared" si="43"/>
        <x:v>217000</x:v>
      </x:c>
    </x:row>
    <x:row r="882">
      <x:c r="B882" s="63">
        <x:v>980</x:v>
      </x:c>
      <x:c r="C882" s="57">
        <x:f t="shared" si="40"/>
        <x:v>172500</x:v>
      </x:c>
      <x:c r="D882" s="25">
        <x:f t="shared" si="41"/>
        <x:v>190500</x:v>
      </x:c>
      <x:c r="E882" s="25">
        <x:f t="shared" si="42"/>
        <x:v>204000</x:v>
      </x:c>
      <x:c r="F882" s="58">
        <x:f t="shared" si="43"/>
        <x:v>217000</x:v>
      </x:c>
    </x:row>
    <x:row r="883">
      <x:c r="B883" s="63">
        <x:v>981</x:v>
      </x:c>
      <x:c r="C883" s="57">
        <x:f t="shared" si="40"/>
        <x:v>172500</x:v>
      </x:c>
      <x:c r="D883" s="25">
        <x:f t="shared" si="41"/>
        <x:v>190500</x:v>
      </x:c>
      <x:c r="E883" s="25">
        <x:f t="shared" si="42"/>
        <x:v>204000</x:v>
      </x:c>
      <x:c r="F883" s="58">
        <x:f t="shared" si="43"/>
        <x:v>217000</x:v>
      </x:c>
    </x:row>
    <x:row r="884">
      <x:c r="B884" s="63">
        <x:v>982</x:v>
      </x:c>
      <x:c r="C884" s="57">
        <x:f t="shared" si="40"/>
        <x:v>172500</x:v>
      </x:c>
      <x:c r="D884" s="25">
        <x:f t="shared" si="41"/>
        <x:v>190500</x:v>
      </x:c>
      <x:c r="E884" s="25">
        <x:f t="shared" si="42"/>
        <x:v>204000</x:v>
      </x:c>
      <x:c r="F884" s="58">
        <x:f t="shared" si="43"/>
        <x:v>217000</x:v>
      </x:c>
    </x:row>
    <x:row r="885">
      <x:c r="B885" s="63">
        <x:v>983</x:v>
      </x:c>
      <x:c r="C885" s="57">
        <x:f t="shared" si="40"/>
        <x:v>172500</x:v>
      </x:c>
      <x:c r="D885" s="25">
        <x:f t="shared" si="41"/>
        <x:v>190500</x:v>
      </x:c>
      <x:c r="E885" s="25">
        <x:f t="shared" si="42"/>
        <x:v>204000</x:v>
      </x:c>
      <x:c r="F885" s="58">
        <x:f t="shared" si="43"/>
        <x:v>217000</x:v>
      </x:c>
    </x:row>
    <x:row r="886">
      <x:c r="B886" s="63">
        <x:v>984</x:v>
      </x:c>
      <x:c r="C886" s="57">
        <x:f t="shared" si="40"/>
        <x:v>172500</x:v>
      </x:c>
      <x:c r="D886" s="25">
        <x:f t="shared" si="41"/>
        <x:v>190500</x:v>
      </x:c>
      <x:c r="E886" s="25">
        <x:f t="shared" si="42"/>
        <x:v>204000</x:v>
      </x:c>
      <x:c r="F886" s="58">
        <x:f t="shared" si="43"/>
        <x:v>217000</x:v>
      </x:c>
    </x:row>
    <x:row r="887">
      <x:c r="B887" s="63">
        <x:v>985</x:v>
      </x:c>
      <x:c r="C887" s="57">
        <x:f t="shared" si="40"/>
        <x:v>172500</x:v>
      </x:c>
      <x:c r="D887" s="25">
        <x:f t="shared" si="41"/>
        <x:v>190500</x:v>
      </x:c>
      <x:c r="E887" s="25">
        <x:f t="shared" si="42"/>
        <x:v>204000</x:v>
      </x:c>
      <x:c r="F887" s="58">
        <x:f t="shared" si="43"/>
        <x:v>217000</x:v>
      </x:c>
    </x:row>
    <x:row r="888">
      <x:c r="B888" s="63">
        <x:v>986</x:v>
      </x:c>
      <x:c r="C888" s="57">
        <x:f t="shared" si="40"/>
        <x:v>172500</x:v>
      </x:c>
      <x:c r="D888" s="25">
        <x:f t="shared" si="41"/>
        <x:v>190500</x:v>
      </x:c>
      <x:c r="E888" s="25">
        <x:f t="shared" si="42"/>
        <x:v>204000</x:v>
      </x:c>
      <x:c r="F888" s="58">
        <x:f t="shared" si="43"/>
        <x:v>217000</x:v>
      </x:c>
    </x:row>
    <x:row r="889">
      <x:c r="B889" s="63">
        <x:v>987</x:v>
      </x:c>
      <x:c r="C889" s="57">
        <x:f t="shared" si="40"/>
        <x:v>172500</x:v>
      </x:c>
      <x:c r="D889" s="25">
        <x:f t="shared" si="41"/>
        <x:v>190500</x:v>
      </x:c>
      <x:c r="E889" s="25">
        <x:f t="shared" si="42"/>
        <x:v>204000</x:v>
      </x:c>
      <x:c r="F889" s="58">
        <x:f t="shared" si="43"/>
        <x:v>217000</x:v>
      </x:c>
    </x:row>
    <x:row r="890">
      <x:c r="B890" s="63">
        <x:v>988</x:v>
      </x:c>
      <x:c r="C890" s="57">
        <x:f t="shared" si="40"/>
        <x:v>172500</x:v>
      </x:c>
      <x:c r="D890" s="25">
        <x:f t="shared" si="41"/>
        <x:v>190500</x:v>
      </x:c>
      <x:c r="E890" s="25">
        <x:f t="shared" si="42"/>
        <x:v>204000</x:v>
      </x:c>
      <x:c r="F890" s="58">
        <x:f t="shared" si="43"/>
        <x:v>217000</x:v>
      </x:c>
    </x:row>
    <x:row r="891">
      <x:c r="B891" s="63">
        <x:v>989</x:v>
      </x:c>
      <x:c r="C891" s="57">
        <x:f t="shared" si="40"/>
        <x:v>172500</x:v>
      </x:c>
      <x:c r="D891" s="25">
        <x:f t="shared" si="41"/>
        <x:v>190500</x:v>
      </x:c>
      <x:c r="E891" s="25">
        <x:f t="shared" si="42"/>
        <x:v>204000</x:v>
      </x:c>
      <x:c r="F891" s="58">
        <x:f t="shared" si="43"/>
        <x:v>217000</x:v>
      </x:c>
    </x:row>
    <x:row r="892">
      <x:c r="B892" s="63">
        <x:v>990</x:v>
      </x:c>
      <x:c r="C892" s="57">
        <x:f t="shared" si="40"/>
        <x:v>172500</x:v>
      </x:c>
      <x:c r="D892" s="25">
        <x:f t="shared" si="41"/>
        <x:v>190500</x:v>
      </x:c>
      <x:c r="E892" s="25">
        <x:f t="shared" si="42"/>
        <x:v>204000</x:v>
      </x:c>
      <x:c r="F892" s="58">
        <x:f t="shared" si="43"/>
        <x:v>217000</x:v>
      </x:c>
    </x:row>
    <x:row r="893">
      <x:c r="B893" s="63">
        <x:v>991</x:v>
      </x:c>
      <x:c r="C893" s="57">
        <x:f t="shared" si="40"/>
        <x:v>172500</x:v>
      </x:c>
      <x:c r="D893" s="25">
        <x:f t="shared" si="41"/>
        <x:v>190500</x:v>
      </x:c>
      <x:c r="E893" s="25">
        <x:f t="shared" si="42"/>
        <x:v>204000</x:v>
      </x:c>
      <x:c r="F893" s="58">
        <x:f t="shared" si="43"/>
        <x:v>217000</x:v>
      </x:c>
    </x:row>
    <x:row r="894">
      <x:c r="B894" s="63">
        <x:v>992</x:v>
      </x:c>
      <x:c r="C894" s="57">
        <x:f t="shared" si="40"/>
        <x:v>172500</x:v>
      </x:c>
      <x:c r="D894" s="25">
        <x:f t="shared" si="41"/>
        <x:v>190500</x:v>
      </x:c>
      <x:c r="E894" s="25">
        <x:f t="shared" si="42"/>
        <x:v>204000</x:v>
      </x:c>
      <x:c r="F894" s="58">
        <x:f t="shared" si="43"/>
        <x:v>217000</x:v>
      </x:c>
    </x:row>
    <x:row r="895">
      <x:c r="B895" s="63">
        <x:v>993</x:v>
      </x:c>
      <x:c r="C895" s="57">
        <x:f t="shared" si="40"/>
        <x:v>172500</x:v>
      </x:c>
      <x:c r="D895" s="25">
        <x:f t="shared" si="41"/>
        <x:v>190500</x:v>
      </x:c>
      <x:c r="E895" s="25">
        <x:f t="shared" si="42"/>
        <x:v>204000</x:v>
      </x:c>
      <x:c r="F895" s="58">
        <x:f t="shared" si="43"/>
        <x:v>217000</x:v>
      </x:c>
    </x:row>
    <x:row r="896">
      <x:c r="B896" s="63">
        <x:v>994</x:v>
      </x:c>
      <x:c r="C896" s="57">
        <x:f t="shared" si="40"/>
        <x:v>172500</x:v>
      </x:c>
      <x:c r="D896" s="25">
        <x:f t="shared" si="41"/>
        <x:v>190500</x:v>
      </x:c>
      <x:c r="E896" s="25">
        <x:f t="shared" si="42"/>
        <x:v>204000</x:v>
      </x:c>
      <x:c r="F896" s="58">
        <x:f t="shared" si="43"/>
        <x:v>217000</x:v>
      </x:c>
    </x:row>
    <x:row r="897">
      <x:c r="B897" s="63">
        <x:v>995</x:v>
      </x:c>
      <x:c r="C897" s="57">
        <x:f t="shared" si="40"/>
        <x:v>172500</x:v>
      </x:c>
      <x:c r="D897" s="25">
        <x:f t="shared" si="41"/>
        <x:v>190500</x:v>
      </x:c>
      <x:c r="E897" s="25">
        <x:f t="shared" si="42"/>
        <x:v>204000</x:v>
      </x:c>
      <x:c r="F897" s="58">
        <x:f t="shared" si="43"/>
        <x:v>217000</x:v>
      </x:c>
    </x:row>
    <x:row r="898">
      <x:c r="B898" s="63">
        <x:v>996</x:v>
      </x:c>
      <x:c r="C898" s="57">
        <x:f t="shared" si="40"/>
        <x:v>172500</x:v>
      </x:c>
      <x:c r="D898" s="25">
        <x:f t="shared" si="41"/>
        <x:v>190500</x:v>
      </x:c>
      <x:c r="E898" s="25">
        <x:f t="shared" si="42"/>
        <x:v>204000</x:v>
      </x:c>
      <x:c r="F898" s="58">
        <x:f t="shared" si="43"/>
        <x:v>217000</x:v>
      </x:c>
    </x:row>
    <x:row r="899">
      <x:c r="B899" s="63">
        <x:v>997</x:v>
      </x:c>
      <x:c r="C899" s="57">
        <x:f t="shared" si="40"/>
        <x:v>172500</x:v>
      </x:c>
      <x:c r="D899" s="25">
        <x:f t="shared" si="41"/>
        <x:v>190500</x:v>
      </x:c>
      <x:c r="E899" s="25">
        <x:f t="shared" si="42"/>
        <x:v>204000</x:v>
      </x:c>
      <x:c r="F899" s="58">
        <x:f t="shared" si="43"/>
        <x:v>217000</x:v>
      </x:c>
    </x:row>
    <x:row r="900">
      <x:c r="B900" s="63">
        <x:v>998</x:v>
      </x:c>
      <x:c r="C900" s="57">
        <x:f t="shared" si="40"/>
        <x:v>172500</x:v>
      </x:c>
      <x:c r="D900" s="25">
        <x:f t="shared" si="41"/>
        <x:v>190500</x:v>
      </x:c>
      <x:c r="E900" s="25">
        <x:f t="shared" si="42"/>
        <x:v>204000</x:v>
      </x:c>
      <x:c r="F900" s="58">
        <x:f t="shared" si="43"/>
        <x:v>217000</x:v>
      </x:c>
    </x:row>
    <x:row r="901">
      <x:c r="B901" s="63">
        <x:v>999</x:v>
      </x:c>
      <x:c r="C901" s="57">
        <x:f t="shared" si="40"/>
        <x:v>172500</x:v>
      </x:c>
      <x:c r="D901" s="25">
        <x:f t="shared" si="41"/>
        <x:v>190500</x:v>
      </x:c>
      <x:c r="E901" s="25">
        <x:f t="shared" si="42"/>
        <x:v>204000</x:v>
      </x:c>
      <x:c r="F901" s="58">
        <x:f t="shared" si="43"/>
        <x:v>217000</x:v>
      </x:c>
    </x:row>
    <x:row r="902">
      <x:c r="B902" s="63">
        <x:v>1000</x:v>
      </x:c>
      <x:c r="C902" s="57">
        <x:f t="shared" si="40"/>
        <x:v>172500</x:v>
      </x:c>
      <x:c r="D902" s="25">
        <x:f t="shared" si="41"/>
        <x:v>190500</x:v>
      </x:c>
      <x:c r="E902" s="25">
        <x:f t="shared" si="42"/>
        <x:v>204000</x:v>
      </x:c>
      <x:c r="F902" s="58">
        <x:f t="shared" si="43"/>
        <x:v>217000</x:v>
      </x:c>
    </x:row>
    <x:row r="903">
      <x:c r="B903" s="63">
        <x:v>1001</x:v>
      </x:c>
      <x:c r="C903" s="57" t="n">
        <x:f>$C$402+$J$13</x:f>
        <x:v>179800</x:v>
      </x:c>
      <x:c r="D903" s="25" t="n">
        <x:f>$D$402+$K$13</x:f>
        <x:v>198600</x:v>
      </x:c>
      <x:c r="E903" s="25" t="n">
        <x:f>$E$402+$L$13</x:f>
        <x:v>212700</x:v>
      </x:c>
      <x:c r="F903" s="58" t="n">
        <x:f>$F$402+$M$13</x:f>
        <x:v>226300</x:v>
      </x:c>
    </x:row>
    <x:row r="904">
      <x:c r="B904" s="63">
        <x:v>1002</x:v>
      </x:c>
      <x:c r="C904" s="57" t="n">
        <x:f t="shared" ref="C904:C952" si="44">$C$402+$J$13</x:f>
        <x:v>179800</x:v>
      </x:c>
      <x:c r="D904" s="25" t="n">
        <x:f t="shared" ref="D904:D952" si="45">$D$402+$K$13</x:f>
        <x:v>198600</x:v>
      </x:c>
      <x:c r="E904" s="25" t="n">
        <x:f t="shared" ref="E904:E952" si="46">$E$402+$L$13</x:f>
        <x:v>212700</x:v>
      </x:c>
      <x:c r="F904" s="58" t="n">
        <x:f t="shared" ref="F904:F952" si="47">$F$402+$M$13</x:f>
        <x:v>226300</x:v>
      </x:c>
    </x:row>
    <x:row r="905">
      <x:c r="B905" s="63">
        <x:v>1003</x:v>
      </x:c>
      <x:c r="C905" s="57">
        <x:f t="shared" si="44"/>
        <x:v>179800</x:v>
      </x:c>
      <x:c r="D905" s="25">
        <x:f t="shared" si="45"/>
        <x:v>198600</x:v>
      </x:c>
      <x:c r="E905" s="25">
        <x:f t="shared" si="46"/>
        <x:v>212700</x:v>
      </x:c>
      <x:c r="F905" s="58">
        <x:f t="shared" si="47"/>
        <x:v>226300</x:v>
      </x:c>
    </x:row>
    <x:row r="906">
      <x:c r="B906" s="63">
        <x:v>1004</x:v>
      </x:c>
      <x:c r="C906" s="57">
        <x:f t="shared" si="44"/>
        <x:v>179800</x:v>
      </x:c>
      <x:c r="D906" s="25">
        <x:f t="shared" si="45"/>
        <x:v>198600</x:v>
      </x:c>
      <x:c r="E906" s="25">
        <x:f t="shared" si="46"/>
        <x:v>212700</x:v>
      </x:c>
      <x:c r="F906" s="58">
        <x:f t="shared" si="47"/>
        <x:v>226300</x:v>
      </x:c>
    </x:row>
    <x:row r="907">
      <x:c r="B907" s="63">
        <x:v>1005</x:v>
      </x:c>
      <x:c r="C907" s="57">
        <x:f t="shared" si="44"/>
        <x:v>179800</x:v>
      </x:c>
      <x:c r="D907" s="25">
        <x:f t="shared" si="45"/>
        <x:v>198600</x:v>
      </x:c>
      <x:c r="E907" s="25">
        <x:f t="shared" si="46"/>
        <x:v>212700</x:v>
      </x:c>
      <x:c r="F907" s="58">
        <x:f t="shared" si="47"/>
        <x:v>226300</x:v>
      </x:c>
    </x:row>
    <x:row r="908">
      <x:c r="B908" s="63">
        <x:v>1006</x:v>
      </x:c>
      <x:c r="C908" s="57">
        <x:f t="shared" si="44"/>
        <x:v>179800</x:v>
      </x:c>
      <x:c r="D908" s="25">
        <x:f t="shared" si="45"/>
        <x:v>198600</x:v>
      </x:c>
      <x:c r="E908" s="25">
        <x:f t="shared" si="46"/>
        <x:v>212700</x:v>
      </x:c>
      <x:c r="F908" s="58">
        <x:f t="shared" si="47"/>
        <x:v>226300</x:v>
      </x:c>
    </x:row>
    <x:row r="909">
      <x:c r="B909" s="63">
        <x:v>1007</x:v>
      </x:c>
      <x:c r="C909" s="57">
        <x:f t="shared" si="44"/>
        <x:v>179800</x:v>
      </x:c>
      <x:c r="D909" s="25">
        <x:f t="shared" si="45"/>
        <x:v>198600</x:v>
      </x:c>
      <x:c r="E909" s="25">
        <x:f t="shared" si="46"/>
        <x:v>212700</x:v>
      </x:c>
      <x:c r="F909" s="58">
        <x:f t="shared" si="47"/>
        <x:v>226300</x:v>
      </x:c>
    </x:row>
    <x:row r="910">
      <x:c r="B910" s="63">
        <x:v>1008</x:v>
      </x:c>
      <x:c r="C910" s="57">
        <x:f t="shared" si="44"/>
        <x:v>179800</x:v>
      </x:c>
      <x:c r="D910" s="25">
        <x:f t="shared" si="45"/>
        <x:v>198600</x:v>
      </x:c>
      <x:c r="E910" s="25">
        <x:f t="shared" si="46"/>
        <x:v>212700</x:v>
      </x:c>
      <x:c r="F910" s="58">
        <x:f t="shared" si="47"/>
        <x:v>226300</x:v>
      </x:c>
    </x:row>
    <x:row r="911">
      <x:c r="B911" s="63">
        <x:v>1009</x:v>
      </x:c>
      <x:c r="C911" s="57">
        <x:f t="shared" si="44"/>
        <x:v>179800</x:v>
      </x:c>
      <x:c r="D911" s="25">
        <x:f t="shared" si="45"/>
        <x:v>198600</x:v>
      </x:c>
      <x:c r="E911" s="25">
        <x:f t="shared" si="46"/>
        <x:v>212700</x:v>
      </x:c>
      <x:c r="F911" s="58">
        <x:f t="shared" si="47"/>
        <x:v>226300</x:v>
      </x:c>
    </x:row>
    <x:row r="912">
      <x:c r="B912" s="63">
        <x:v>1010</x:v>
      </x:c>
      <x:c r="C912" s="57">
        <x:f t="shared" si="44"/>
        <x:v>179800</x:v>
      </x:c>
      <x:c r="D912" s="25">
        <x:f t="shared" si="45"/>
        <x:v>198600</x:v>
      </x:c>
      <x:c r="E912" s="25">
        <x:f t="shared" si="46"/>
        <x:v>212700</x:v>
      </x:c>
      <x:c r="F912" s="58">
        <x:f t="shared" si="47"/>
        <x:v>226300</x:v>
      </x:c>
    </x:row>
    <x:row r="913">
      <x:c r="B913" s="63">
        <x:v>1011</x:v>
      </x:c>
      <x:c r="C913" s="57">
        <x:f t="shared" si="44"/>
        <x:v>179800</x:v>
      </x:c>
      <x:c r="D913" s="25">
        <x:f t="shared" si="45"/>
        <x:v>198600</x:v>
      </x:c>
      <x:c r="E913" s="25">
        <x:f t="shared" si="46"/>
        <x:v>212700</x:v>
      </x:c>
      <x:c r="F913" s="58">
        <x:f t="shared" si="47"/>
        <x:v>226300</x:v>
      </x:c>
    </x:row>
    <x:row r="914">
      <x:c r="B914" s="63">
        <x:v>1012</x:v>
      </x:c>
      <x:c r="C914" s="57">
        <x:f t="shared" si="44"/>
        <x:v>179800</x:v>
      </x:c>
      <x:c r="D914" s="25">
        <x:f t="shared" si="45"/>
        <x:v>198600</x:v>
      </x:c>
      <x:c r="E914" s="25">
        <x:f t="shared" si="46"/>
        <x:v>212700</x:v>
      </x:c>
      <x:c r="F914" s="58">
        <x:f t="shared" si="47"/>
        <x:v>226300</x:v>
      </x:c>
    </x:row>
    <x:row r="915">
      <x:c r="B915" s="63">
        <x:v>1013</x:v>
      </x:c>
      <x:c r="C915" s="57">
        <x:f t="shared" si="44"/>
        <x:v>179800</x:v>
      </x:c>
      <x:c r="D915" s="25">
        <x:f t="shared" si="45"/>
        <x:v>198600</x:v>
      </x:c>
      <x:c r="E915" s="25">
        <x:f t="shared" si="46"/>
        <x:v>212700</x:v>
      </x:c>
      <x:c r="F915" s="58">
        <x:f t="shared" si="47"/>
        <x:v>226300</x:v>
      </x:c>
    </x:row>
    <x:row r="916">
      <x:c r="B916" s="63">
        <x:v>1014</x:v>
      </x:c>
      <x:c r="C916" s="57">
        <x:f t="shared" si="44"/>
        <x:v>179800</x:v>
      </x:c>
      <x:c r="D916" s="25">
        <x:f t="shared" si="45"/>
        <x:v>198600</x:v>
      </x:c>
      <x:c r="E916" s="25">
        <x:f t="shared" si="46"/>
        <x:v>212700</x:v>
      </x:c>
      <x:c r="F916" s="58">
        <x:f t="shared" si="47"/>
        <x:v>226300</x:v>
      </x:c>
    </x:row>
    <x:row r="917">
      <x:c r="B917" s="63">
        <x:v>1015</x:v>
      </x:c>
      <x:c r="C917" s="57">
        <x:f t="shared" si="44"/>
        <x:v>179800</x:v>
      </x:c>
      <x:c r="D917" s="25">
        <x:f t="shared" si="45"/>
        <x:v>198600</x:v>
      </x:c>
      <x:c r="E917" s="25">
        <x:f t="shared" si="46"/>
        <x:v>212700</x:v>
      </x:c>
      <x:c r="F917" s="58">
        <x:f t="shared" si="47"/>
        <x:v>226300</x:v>
      </x:c>
    </x:row>
    <x:row r="918">
      <x:c r="B918" s="63">
        <x:v>1016</x:v>
      </x:c>
      <x:c r="C918" s="57">
        <x:f t="shared" si="44"/>
        <x:v>179800</x:v>
      </x:c>
      <x:c r="D918" s="25">
        <x:f t="shared" si="45"/>
        <x:v>198600</x:v>
      </x:c>
      <x:c r="E918" s="25">
        <x:f t="shared" si="46"/>
        <x:v>212700</x:v>
      </x:c>
      <x:c r="F918" s="58">
        <x:f t="shared" si="47"/>
        <x:v>226300</x:v>
      </x:c>
    </x:row>
    <x:row r="919">
      <x:c r="B919" s="63">
        <x:v>1017</x:v>
      </x:c>
      <x:c r="C919" s="57">
        <x:f t="shared" si="44"/>
        <x:v>179800</x:v>
      </x:c>
      <x:c r="D919" s="25">
        <x:f t="shared" si="45"/>
        <x:v>198600</x:v>
      </x:c>
      <x:c r="E919" s="25">
        <x:f t="shared" si="46"/>
        <x:v>212700</x:v>
      </x:c>
      <x:c r="F919" s="58">
        <x:f t="shared" si="47"/>
        <x:v>226300</x:v>
      </x:c>
    </x:row>
    <x:row r="920">
      <x:c r="B920" s="63">
        <x:v>1018</x:v>
      </x:c>
      <x:c r="C920" s="57">
        <x:f t="shared" si="44"/>
        <x:v>179800</x:v>
      </x:c>
      <x:c r="D920" s="25">
        <x:f t="shared" si="45"/>
        <x:v>198600</x:v>
      </x:c>
      <x:c r="E920" s="25">
        <x:f t="shared" si="46"/>
        <x:v>212700</x:v>
      </x:c>
      <x:c r="F920" s="58">
        <x:f t="shared" si="47"/>
        <x:v>226300</x:v>
      </x:c>
    </x:row>
    <x:row r="921">
      <x:c r="B921" s="63">
        <x:v>1019</x:v>
      </x:c>
      <x:c r="C921" s="57">
        <x:f t="shared" si="44"/>
        <x:v>179800</x:v>
      </x:c>
      <x:c r="D921" s="25">
        <x:f t="shared" si="45"/>
        <x:v>198600</x:v>
      </x:c>
      <x:c r="E921" s="25">
        <x:f t="shared" si="46"/>
        <x:v>212700</x:v>
      </x:c>
      <x:c r="F921" s="58">
        <x:f t="shared" si="47"/>
        <x:v>226300</x:v>
      </x:c>
    </x:row>
    <x:row r="922">
      <x:c r="B922" s="63">
        <x:v>1020</x:v>
      </x:c>
      <x:c r="C922" s="57">
        <x:f t="shared" si="44"/>
        <x:v>179800</x:v>
      </x:c>
      <x:c r="D922" s="25">
        <x:f t="shared" si="45"/>
        <x:v>198600</x:v>
      </x:c>
      <x:c r="E922" s="25">
        <x:f t="shared" si="46"/>
        <x:v>212700</x:v>
      </x:c>
      <x:c r="F922" s="58">
        <x:f t="shared" si="47"/>
        <x:v>226300</x:v>
      </x:c>
    </x:row>
    <x:row r="923">
      <x:c r="B923" s="63">
        <x:v>1021</x:v>
      </x:c>
      <x:c r="C923" s="57">
        <x:f t="shared" si="44"/>
        <x:v>179800</x:v>
      </x:c>
      <x:c r="D923" s="25">
        <x:f t="shared" si="45"/>
        <x:v>198600</x:v>
      </x:c>
      <x:c r="E923" s="25">
        <x:f t="shared" si="46"/>
        <x:v>212700</x:v>
      </x:c>
      <x:c r="F923" s="58">
        <x:f t="shared" si="47"/>
        <x:v>226300</x:v>
      </x:c>
    </x:row>
    <x:row r="924">
      <x:c r="B924" s="63">
        <x:v>1022</x:v>
      </x:c>
      <x:c r="C924" s="57">
        <x:f t="shared" si="44"/>
        <x:v>179800</x:v>
      </x:c>
      <x:c r="D924" s="25">
        <x:f t="shared" si="45"/>
        <x:v>198600</x:v>
      </x:c>
      <x:c r="E924" s="25">
        <x:f t="shared" si="46"/>
        <x:v>212700</x:v>
      </x:c>
      <x:c r="F924" s="58">
        <x:f t="shared" si="47"/>
        <x:v>226300</x:v>
      </x:c>
    </x:row>
    <x:row r="925">
      <x:c r="B925" s="63">
        <x:v>1023</x:v>
      </x:c>
      <x:c r="C925" s="57">
        <x:f t="shared" si="44"/>
        <x:v>179800</x:v>
      </x:c>
      <x:c r="D925" s="25">
        <x:f t="shared" si="45"/>
        <x:v>198600</x:v>
      </x:c>
      <x:c r="E925" s="25">
        <x:f t="shared" si="46"/>
        <x:v>212700</x:v>
      </x:c>
      <x:c r="F925" s="58">
        <x:f t="shared" si="47"/>
        <x:v>226300</x:v>
      </x:c>
    </x:row>
    <x:row r="926">
      <x:c r="B926" s="63">
        <x:v>1024</x:v>
      </x:c>
      <x:c r="C926" s="57">
        <x:f t="shared" si="44"/>
        <x:v>179800</x:v>
      </x:c>
      <x:c r="D926" s="25">
        <x:f t="shared" si="45"/>
        <x:v>198600</x:v>
      </x:c>
      <x:c r="E926" s="25">
        <x:f t="shared" si="46"/>
        <x:v>212700</x:v>
      </x:c>
      <x:c r="F926" s="58">
        <x:f t="shared" si="47"/>
        <x:v>226300</x:v>
      </x:c>
    </x:row>
    <x:row r="927">
      <x:c r="B927" s="63">
        <x:v>1025</x:v>
      </x:c>
      <x:c r="C927" s="57">
        <x:f t="shared" si="44"/>
        <x:v>179800</x:v>
      </x:c>
      <x:c r="D927" s="25">
        <x:f t="shared" si="45"/>
        <x:v>198600</x:v>
      </x:c>
      <x:c r="E927" s="25">
        <x:f t="shared" si="46"/>
        <x:v>212700</x:v>
      </x:c>
      <x:c r="F927" s="58">
        <x:f t="shared" si="47"/>
        <x:v>226300</x:v>
      </x:c>
    </x:row>
    <x:row r="928">
      <x:c r="B928" s="63">
        <x:v>1026</x:v>
      </x:c>
      <x:c r="C928" s="57">
        <x:f t="shared" si="44"/>
        <x:v>179800</x:v>
      </x:c>
      <x:c r="D928" s="25">
        <x:f t="shared" si="45"/>
        <x:v>198600</x:v>
      </x:c>
      <x:c r="E928" s="25">
        <x:f t="shared" si="46"/>
        <x:v>212700</x:v>
      </x:c>
      <x:c r="F928" s="58">
        <x:f t="shared" si="47"/>
        <x:v>226300</x:v>
      </x:c>
    </x:row>
    <x:row r="929">
      <x:c r="B929" s="63">
        <x:v>1027</x:v>
      </x:c>
      <x:c r="C929" s="57">
        <x:f t="shared" si="44"/>
        <x:v>179800</x:v>
      </x:c>
      <x:c r="D929" s="25">
        <x:f t="shared" si="45"/>
        <x:v>198600</x:v>
      </x:c>
      <x:c r="E929" s="25">
        <x:f t="shared" si="46"/>
        <x:v>212700</x:v>
      </x:c>
      <x:c r="F929" s="58">
        <x:f t="shared" si="47"/>
        <x:v>226300</x:v>
      </x:c>
    </x:row>
    <x:row r="930">
      <x:c r="B930" s="63">
        <x:v>1028</x:v>
      </x:c>
      <x:c r="C930" s="57">
        <x:f t="shared" si="44"/>
        <x:v>179800</x:v>
      </x:c>
      <x:c r="D930" s="25">
        <x:f t="shared" si="45"/>
        <x:v>198600</x:v>
      </x:c>
      <x:c r="E930" s="25">
        <x:f t="shared" si="46"/>
        <x:v>212700</x:v>
      </x:c>
      <x:c r="F930" s="58">
        <x:f t="shared" si="47"/>
        <x:v>226300</x:v>
      </x:c>
    </x:row>
    <x:row r="931">
      <x:c r="B931" s="63">
        <x:v>1029</x:v>
      </x:c>
      <x:c r="C931" s="57">
        <x:f t="shared" si="44"/>
        <x:v>179800</x:v>
      </x:c>
      <x:c r="D931" s="25">
        <x:f t="shared" si="45"/>
        <x:v>198600</x:v>
      </x:c>
      <x:c r="E931" s="25">
        <x:f t="shared" si="46"/>
        <x:v>212700</x:v>
      </x:c>
      <x:c r="F931" s="58">
        <x:f t="shared" si="47"/>
        <x:v>226300</x:v>
      </x:c>
    </x:row>
    <x:row r="932">
      <x:c r="B932" s="63">
        <x:v>1030</x:v>
      </x:c>
      <x:c r="C932" s="57">
        <x:f t="shared" si="44"/>
        <x:v>179800</x:v>
      </x:c>
      <x:c r="D932" s="25">
        <x:f t="shared" si="45"/>
        <x:v>198600</x:v>
      </x:c>
      <x:c r="E932" s="25">
        <x:f t="shared" si="46"/>
        <x:v>212700</x:v>
      </x:c>
      <x:c r="F932" s="58">
        <x:f t="shared" si="47"/>
        <x:v>226300</x:v>
      </x:c>
    </x:row>
    <x:row r="933">
      <x:c r="B933" s="63">
        <x:v>1031</x:v>
      </x:c>
      <x:c r="C933" s="57">
        <x:f t="shared" si="44"/>
        <x:v>179800</x:v>
      </x:c>
      <x:c r="D933" s="25">
        <x:f t="shared" si="45"/>
        <x:v>198600</x:v>
      </x:c>
      <x:c r="E933" s="25">
        <x:f t="shared" si="46"/>
        <x:v>212700</x:v>
      </x:c>
      <x:c r="F933" s="58">
        <x:f t="shared" si="47"/>
        <x:v>226300</x:v>
      </x:c>
    </x:row>
    <x:row r="934">
      <x:c r="B934" s="63">
        <x:v>1032</x:v>
      </x:c>
      <x:c r="C934" s="57">
        <x:f t="shared" si="44"/>
        <x:v>179800</x:v>
      </x:c>
      <x:c r="D934" s="25">
        <x:f t="shared" si="45"/>
        <x:v>198600</x:v>
      </x:c>
      <x:c r="E934" s="25">
        <x:f t="shared" si="46"/>
        <x:v>212700</x:v>
      </x:c>
      <x:c r="F934" s="58">
        <x:f t="shared" si="47"/>
        <x:v>226300</x:v>
      </x:c>
    </x:row>
    <x:row r="935">
      <x:c r="B935" s="63">
        <x:v>1033</x:v>
      </x:c>
      <x:c r="C935" s="57">
        <x:f t="shared" si="44"/>
        <x:v>179800</x:v>
      </x:c>
      <x:c r="D935" s="25">
        <x:f t="shared" si="45"/>
        <x:v>198600</x:v>
      </x:c>
      <x:c r="E935" s="25">
        <x:f t="shared" si="46"/>
        <x:v>212700</x:v>
      </x:c>
      <x:c r="F935" s="58">
        <x:f t="shared" si="47"/>
        <x:v>226300</x:v>
      </x:c>
    </x:row>
    <x:row r="936">
      <x:c r="B936" s="63">
        <x:v>1034</x:v>
      </x:c>
      <x:c r="C936" s="57">
        <x:f t="shared" si="44"/>
        <x:v>179800</x:v>
      </x:c>
      <x:c r="D936" s="25">
        <x:f t="shared" si="45"/>
        <x:v>198600</x:v>
      </x:c>
      <x:c r="E936" s="25">
        <x:f t="shared" si="46"/>
        <x:v>212700</x:v>
      </x:c>
      <x:c r="F936" s="58">
        <x:f t="shared" si="47"/>
        <x:v>226300</x:v>
      </x:c>
    </x:row>
    <x:row r="937">
      <x:c r="B937" s="63">
        <x:v>1035</x:v>
      </x:c>
      <x:c r="C937" s="57">
        <x:f t="shared" si="44"/>
        <x:v>179800</x:v>
      </x:c>
      <x:c r="D937" s="25">
        <x:f t="shared" si="45"/>
        <x:v>198600</x:v>
      </x:c>
      <x:c r="E937" s="25">
        <x:f t="shared" si="46"/>
        <x:v>212700</x:v>
      </x:c>
      <x:c r="F937" s="58">
        <x:f t="shared" si="47"/>
        <x:v>226300</x:v>
      </x:c>
    </x:row>
    <x:row r="938">
      <x:c r="B938" s="63">
        <x:v>1036</x:v>
      </x:c>
      <x:c r="C938" s="57">
        <x:f t="shared" si="44"/>
        <x:v>179800</x:v>
      </x:c>
      <x:c r="D938" s="25">
        <x:f t="shared" si="45"/>
        <x:v>198600</x:v>
      </x:c>
      <x:c r="E938" s="25">
        <x:f t="shared" si="46"/>
        <x:v>212700</x:v>
      </x:c>
      <x:c r="F938" s="58">
        <x:f t="shared" si="47"/>
        <x:v>226300</x:v>
      </x:c>
    </x:row>
    <x:row r="939">
      <x:c r="B939" s="63">
        <x:v>1037</x:v>
      </x:c>
      <x:c r="C939" s="57">
        <x:f t="shared" si="44"/>
        <x:v>179800</x:v>
      </x:c>
      <x:c r="D939" s="25">
        <x:f t="shared" si="45"/>
        <x:v>198600</x:v>
      </x:c>
      <x:c r="E939" s="25">
        <x:f t="shared" si="46"/>
        <x:v>212700</x:v>
      </x:c>
      <x:c r="F939" s="58">
        <x:f t="shared" si="47"/>
        <x:v>226300</x:v>
      </x:c>
    </x:row>
    <x:row r="940">
      <x:c r="B940" s="63">
        <x:v>1038</x:v>
      </x:c>
      <x:c r="C940" s="57">
        <x:f t="shared" si="44"/>
        <x:v>179800</x:v>
      </x:c>
      <x:c r="D940" s="25">
        <x:f t="shared" si="45"/>
        <x:v>198600</x:v>
      </x:c>
      <x:c r="E940" s="25">
        <x:f t="shared" si="46"/>
        <x:v>212700</x:v>
      </x:c>
      <x:c r="F940" s="58">
        <x:f t="shared" si="47"/>
        <x:v>226300</x:v>
      </x:c>
    </x:row>
    <x:row r="941">
      <x:c r="B941" s="63">
        <x:v>1039</x:v>
      </x:c>
      <x:c r="C941" s="57">
        <x:f t="shared" si="44"/>
        <x:v>179800</x:v>
      </x:c>
      <x:c r="D941" s="25">
        <x:f t="shared" si="45"/>
        <x:v>198600</x:v>
      </x:c>
      <x:c r="E941" s="25">
        <x:f t="shared" si="46"/>
        <x:v>212700</x:v>
      </x:c>
      <x:c r="F941" s="58">
        <x:f t="shared" si="47"/>
        <x:v>226300</x:v>
      </x:c>
    </x:row>
    <x:row r="942">
      <x:c r="B942" s="63">
        <x:v>1040</x:v>
      </x:c>
      <x:c r="C942" s="57">
        <x:f t="shared" si="44"/>
        <x:v>179800</x:v>
      </x:c>
      <x:c r="D942" s="25">
        <x:f t="shared" si="45"/>
        <x:v>198600</x:v>
      </x:c>
      <x:c r="E942" s="25">
        <x:f t="shared" si="46"/>
        <x:v>212700</x:v>
      </x:c>
      <x:c r="F942" s="58">
        <x:f t="shared" si="47"/>
        <x:v>226300</x:v>
      </x:c>
    </x:row>
    <x:row r="943">
      <x:c r="B943" s="63">
        <x:v>1041</x:v>
      </x:c>
      <x:c r="C943" s="57">
        <x:f t="shared" si="44"/>
        <x:v>179800</x:v>
      </x:c>
      <x:c r="D943" s="25">
        <x:f t="shared" si="45"/>
        <x:v>198600</x:v>
      </x:c>
      <x:c r="E943" s="25">
        <x:f t="shared" si="46"/>
        <x:v>212700</x:v>
      </x:c>
      <x:c r="F943" s="58">
        <x:f t="shared" si="47"/>
        <x:v>226300</x:v>
      </x:c>
    </x:row>
    <x:row r="944">
      <x:c r="B944" s="63">
        <x:v>1042</x:v>
      </x:c>
      <x:c r="C944" s="57">
        <x:f t="shared" si="44"/>
        <x:v>179800</x:v>
      </x:c>
      <x:c r="D944" s="25">
        <x:f t="shared" si="45"/>
        <x:v>198600</x:v>
      </x:c>
      <x:c r="E944" s="25">
        <x:f t="shared" si="46"/>
        <x:v>212700</x:v>
      </x:c>
      <x:c r="F944" s="58">
        <x:f t="shared" si="47"/>
        <x:v>226300</x:v>
      </x:c>
    </x:row>
    <x:row r="945">
      <x:c r="B945" s="63">
        <x:v>1043</x:v>
      </x:c>
      <x:c r="C945" s="57">
        <x:f t="shared" si="44"/>
        <x:v>179800</x:v>
      </x:c>
      <x:c r="D945" s="25">
        <x:f t="shared" si="45"/>
        <x:v>198600</x:v>
      </x:c>
      <x:c r="E945" s="25">
        <x:f t="shared" si="46"/>
        <x:v>212700</x:v>
      </x:c>
      <x:c r="F945" s="58">
        <x:f t="shared" si="47"/>
        <x:v>226300</x:v>
      </x:c>
    </x:row>
    <x:row r="946">
      <x:c r="B946" s="63">
        <x:v>1044</x:v>
      </x:c>
      <x:c r="C946" s="57">
        <x:f t="shared" si="44"/>
        <x:v>179800</x:v>
      </x:c>
      <x:c r="D946" s="25">
        <x:f t="shared" si="45"/>
        <x:v>198600</x:v>
      </x:c>
      <x:c r="E946" s="25">
        <x:f t="shared" si="46"/>
        <x:v>212700</x:v>
      </x:c>
      <x:c r="F946" s="58">
        <x:f t="shared" si="47"/>
        <x:v>226300</x:v>
      </x:c>
    </x:row>
    <x:row r="947">
      <x:c r="B947" s="63">
        <x:v>1045</x:v>
      </x:c>
      <x:c r="C947" s="57">
        <x:f t="shared" si="44"/>
        <x:v>179800</x:v>
      </x:c>
      <x:c r="D947" s="25">
        <x:f t="shared" si="45"/>
        <x:v>198600</x:v>
      </x:c>
      <x:c r="E947" s="25">
        <x:f t="shared" si="46"/>
        <x:v>212700</x:v>
      </x:c>
      <x:c r="F947" s="58">
        <x:f t="shared" si="47"/>
        <x:v>226300</x:v>
      </x:c>
    </x:row>
    <x:row r="948">
      <x:c r="B948" s="63">
        <x:v>1046</x:v>
      </x:c>
      <x:c r="C948" s="57">
        <x:f t="shared" si="44"/>
        <x:v>179800</x:v>
      </x:c>
      <x:c r="D948" s="25">
        <x:f t="shared" si="45"/>
        <x:v>198600</x:v>
      </x:c>
      <x:c r="E948" s="25">
        <x:f t="shared" si="46"/>
        <x:v>212700</x:v>
      </x:c>
      <x:c r="F948" s="58">
        <x:f t="shared" si="47"/>
        <x:v>226300</x:v>
      </x:c>
    </x:row>
    <x:row r="949">
      <x:c r="B949" s="63">
        <x:v>1047</x:v>
      </x:c>
      <x:c r="C949" s="57">
        <x:f t="shared" si="44"/>
        <x:v>179800</x:v>
      </x:c>
      <x:c r="D949" s="25">
        <x:f t="shared" si="45"/>
        <x:v>198600</x:v>
      </x:c>
      <x:c r="E949" s="25">
        <x:f t="shared" si="46"/>
        <x:v>212700</x:v>
      </x:c>
      <x:c r="F949" s="58">
        <x:f t="shared" si="47"/>
        <x:v>226300</x:v>
      </x:c>
    </x:row>
    <x:row r="950">
      <x:c r="B950" s="63">
        <x:v>1048</x:v>
      </x:c>
      <x:c r="C950" s="57">
        <x:f t="shared" si="44"/>
        <x:v>179800</x:v>
      </x:c>
      <x:c r="D950" s="25">
        <x:f t="shared" si="45"/>
        <x:v>198600</x:v>
      </x:c>
      <x:c r="E950" s="25">
        <x:f t="shared" si="46"/>
        <x:v>212700</x:v>
      </x:c>
      <x:c r="F950" s="58">
        <x:f t="shared" si="47"/>
        <x:v>226300</x:v>
      </x:c>
    </x:row>
    <x:row r="951">
      <x:c r="B951" s="63">
        <x:v>1049</x:v>
      </x:c>
      <x:c r="C951" s="57">
        <x:f t="shared" si="44"/>
        <x:v>179800</x:v>
      </x:c>
      <x:c r="D951" s="25">
        <x:f t="shared" si="45"/>
        <x:v>198600</x:v>
      </x:c>
      <x:c r="E951" s="25">
        <x:f t="shared" si="46"/>
        <x:v>212700</x:v>
      </x:c>
      <x:c r="F951" s="58">
        <x:f t="shared" si="47"/>
        <x:v>226300</x:v>
      </x:c>
    </x:row>
    <x:row r="952">
      <x:c r="B952" s="63">
        <x:v>1050</x:v>
      </x:c>
      <x:c r="C952" s="57">
        <x:f t="shared" si="44"/>
        <x:v>179800</x:v>
      </x:c>
      <x:c r="D952" s="25">
        <x:f t="shared" si="45"/>
        <x:v>198600</x:v>
      </x:c>
      <x:c r="E952" s="25">
        <x:f t="shared" si="46"/>
        <x:v>212700</x:v>
      </x:c>
      <x:c r="F952" s="58">
        <x:f t="shared" si="47"/>
        <x:v>226300</x:v>
      </x:c>
    </x:row>
    <x:row r="953">
      <x:c r="B953" s="63">
        <x:v>1051</x:v>
      </x:c>
      <x:c r="C953" s="57" t="n">
        <x:f>$C$402+$J$14</x:f>
        <x:v>187100</x:v>
      </x:c>
      <x:c r="D953" s="25" t="n">
        <x:f>$D$402+$K$14</x:f>
        <x:v>206700</x:v>
      </x:c>
      <x:c r="E953" s="25" t="n">
        <x:f>$E$402+$L$14</x:f>
        <x:v>221400</x:v>
      </x:c>
      <x:c r="F953" s="58" t="n">
        <x:f>$F$402+$M$14</x:f>
        <x:v>235600</x:v>
      </x:c>
    </x:row>
    <x:row r="954">
      <x:c r="B954" s="63">
        <x:v>1052</x:v>
      </x:c>
      <x:c r="C954" s="57" t="n">
        <x:f t="shared" ref="C954:C1002" si="48">$C$402+$J$14</x:f>
        <x:v>187100</x:v>
      </x:c>
      <x:c r="D954" s="25" t="n">
        <x:f t="shared" ref="D954:D1002" si="49">$D$402+$K$14</x:f>
        <x:v>206700</x:v>
      </x:c>
      <x:c r="E954" s="25" t="n">
        <x:f t="shared" ref="E954:E1002" si="50">$E$402+$L$14</x:f>
        <x:v>221400</x:v>
      </x:c>
      <x:c r="F954" s="58" t="n">
        <x:f t="shared" ref="F954:F1002" si="51">$F$402+$M$14</x:f>
        <x:v>235600</x:v>
      </x:c>
    </x:row>
    <x:row r="955">
      <x:c r="B955" s="63">
        <x:v>1053</x:v>
      </x:c>
      <x:c r="C955" s="57">
        <x:f t="shared" si="48"/>
        <x:v>187100</x:v>
      </x:c>
      <x:c r="D955" s="25">
        <x:f t="shared" si="49"/>
        <x:v>206700</x:v>
      </x:c>
      <x:c r="E955" s="25">
        <x:f t="shared" si="50"/>
        <x:v>221400</x:v>
      </x:c>
      <x:c r="F955" s="58">
        <x:f t="shared" si="51"/>
        <x:v>235600</x:v>
      </x:c>
    </x:row>
    <x:row r="956">
      <x:c r="B956" s="63">
        <x:v>1054</x:v>
      </x:c>
      <x:c r="C956" s="57">
        <x:f t="shared" si="48"/>
        <x:v>187100</x:v>
      </x:c>
      <x:c r="D956" s="25">
        <x:f t="shared" si="49"/>
        <x:v>206700</x:v>
      </x:c>
      <x:c r="E956" s="25">
        <x:f t="shared" si="50"/>
        <x:v>221400</x:v>
      </x:c>
      <x:c r="F956" s="58">
        <x:f t="shared" si="51"/>
        <x:v>235600</x:v>
      </x:c>
    </x:row>
    <x:row r="957">
      <x:c r="B957" s="63">
        <x:v>1055</x:v>
      </x:c>
      <x:c r="C957" s="57">
        <x:f t="shared" si="48"/>
        <x:v>187100</x:v>
      </x:c>
      <x:c r="D957" s="25">
        <x:f t="shared" si="49"/>
        <x:v>206700</x:v>
      </x:c>
      <x:c r="E957" s="25">
        <x:f t="shared" si="50"/>
        <x:v>221400</x:v>
      </x:c>
      <x:c r="F957" s="58">
        <x:f t="shared" si="51"/>
        <x:v>235600</x:v>
      </x:c>
    </x:row>
    <x:row r="958">
      <x:c r="B958" s="63">
        <x:v>1056</x:v>
      </x:c>
      <x:c r="C958" s="57">
        <x:f t="shared" si="48"/>
        <x:v>187100</x:v>
      </x:c>
      <x:c r="D958" s="25">
        <x:f t="shared" si="49"/>
        <x:v>206700</x:v>
      </x:c>
      <x:c r="E958" s="25">
        <x:f t="shared" si="50"/>
        <x:v>221400</x:v>
      </x:c>
      <x:c r="F958" s="58">
        <x:f t="shared" si="51"/>
        <x:v>235600</x:v>
      </x:c>
    </x:row>
    <x:row r="959">
      <x:c r="B959" s="63">
        <x:v>1057</x:v>
      </x:c>
      <x:c r="C959" s="57">
        <x:f t="shared" si="48"/>
        <x:v>187100</x:v>
      </x:c>
      <x:c r="D959" s="25">
        <x:f t="shared" si="49"/>
        <x:v>206700</x:v>
      </x:c>
      <x:c r="E959" s="25">
        <x:f t="shared" si="50"/>
        <x:v>221400</x:v>
      </x:c>
      <x:c r="F959" s="58">
        <x:f t="shared" si="51"/>
        <x:v>235600</x:v>
      </x:c>
    </x:row>
    <x:row r="960">
      <x:c r="B960" s="63">
        <x:v>1058</x:v>
      </x:c>
      <x:c r="C960" s="57">
        <x:f t="shared" si="48"/>
        <x:v>187100</x:v>
      </x:c>
      <x:c r="D960" s="25">
        <x:f t="shared" si="49"/>
        <x:v>206700</x:v>
      </x:c>
      <x:c r="E960" s="25">
        <x:f t="shared" si="50"/>
        <x:v>221400</x:v>
      </x:c>
      <x:c r="F960" s="58">
        <x:f t="shared" si="51"/>
        <x:v>235600</x:v>
      </x:c>
    </x:row>
    <x:row r="961">
      <x:c r="B961" s="63">
        <x:v>1059</x:v>
      </x:c>
      <x:c r="C961" s="57">
        <x:f t="shared" si="48"/>
        <x:v>187100</x:v>
      </x:c>
      <x:c r="D961" s="25">
        <x:f t="shared" si="49"/>
        <x:v>206700</x:v>
      </x:c>
      <x:c r="E961" s="25">
        <x:f t="shared" si="50"/>
        <x:v>221400</x:v>
      </x:c>
      <x:c r="F961" s="58">
        <x:f t="shared" si="51"/>
        <x:v>235600</x:v>
      </x:c>
    </x:row>
    <x:row r="962">
      <x:c r="B962" s="63">
        <x:v>1060</x:v>
      </x:c>
      <x:c r="C962" s="57">
        <x:f t="shared" si="48"/>
        <x:v>187100</x:v>
      </x:c>
      <x:c r="D962" s="25">
        <x:f t="shared" si="49"/>
        <x:v>206700</x:v>
      </x:c>
      <x:c r="E962" s="25">
        <x:f t="shared" si="50"/>
        <x:v>221400</x:v>
      </x:c>
      <x:c r="F962" s="58">
        <x:f t="shared" si="51"/>
        <x:v>235600</x:v>
      </x:c>
    </x:row>
    <x:row r="963">
      <x:c r="B963" s="63">
        <x:v>1061</x:v>
      </x:c>
      <x:c r="C963" s="57">
        <x:f t="shared" si="48"/>
        <x:v>187100</x:v>
      </x:c>
      <x:c r="D963" s="25">
        <x:f t="shared" si="49"/>
        <x:v>206700</x:v>
      </x:c>
      <x:c r="E963" s="25">
        <x:f t="shared" si="50"/>
        <x:v>221400</x:v>
      </x:c>
      <x:c r="F963" s="58">
        <x:f t="shared" si="51"/>
        <x:v>235600</x:v>
      </x:c>
    </x:row>
    <x:row r="964">
      <x:c r="B964" s="63">
        <x:v>1062</x:v>
      </x:c>
      <x:c r="C964" s="57">
        <x:f t="shared" si="48"/>
        <x:v>187100</x:v>
      </x:c>
      <x:c r="D964" s="25">
        <x:f t="shared" si="49"/>
        <x:v>206700</x:v>
      </x:c>
      <x:c r="E964" s="25">
        <x:f t="shared" si="50"/>
        <x:v>221400</x:v>
      </x:c>
      <x:c r="F964" s="58">
        <x:f t="shared" si="51"/>
        <x:v>235600</x:v>
      </x:c>
    </x:row>
    <x:row r="965">
      <x:c r="B965" s="63">
        <x:v>1063</x:v>
      </x:c>
      <x:c r="C965" s="57">
        <x:f t="shared" si="48"/>
        <x:v>187100</x:v>
      </x:c>
      <x:c r="D965" s="25">
        <x:f t="shared" si="49"/>
        <x:v>206700</x:v>
      </x:c>
      <x:c r="E965" s="25">
        <x:f t="shared" si="50"/>
        <x:v>221400</x:v>
      </x:c>
      <x:c r="F965" s="58">
        <x:f t="shared" si="51"/>
        <x:v>235600</x:v>
      </x:c>
    </x:row>
    <x:row r="966">
      <x:c r="B966" s="63">
        <x:v>1064</x:v>
      </x:c>
      <x:c r="C966" s="57">
        <x:f t="shared" si="48"/>
        <x:v>187100</x:v>
      </x:c>
      <x:c r="D966" s="25">
        <x:f t="shared" si="49"/>
        <x:v>206700</x:v>
      </x:c>
      <x:c r="E966" s="25">
        <x:f t="shared" si="50"/>
        <x:v>221400</x:v>
      </x:c>
      <x:c r="F966" s="58">
        <x:f t="shared" si="51"/>
        <x:v>235600</x:v>
      </x:c>
    </x:row>
    <x:row r="967">
      <x:c r="B967" s="63">
        <x:v>1065</x:v>
      </x:c>
      <x:c r="C967" s="57">
        <x:f t="shared" si="48"/>
        <x:v>187100</x:v>
      </x:c>
      <x:c r="D967" s="25">
        <x:f t="shared" si="49"/>
        <x:v>206700</x:v>
      </x:c>
      <x:c r="E967" s="25">
        <x:f t="shared" si="50"/>
        <x:v>221400</x:v>
      </x:c>
      <x:c r="F967" s="58">
        <x:f t="shared" si="51"/>
        <x:v>235600</x:v>
      </x:c>
    </x:row>
    <x:row r="968">
      <x:c r="B968" s="63">
        <x:v>1066</x:v>
      </x:c>
      <x:c r="C968" s="57">
        <x:f t="shared" si="48"/>
        <x:v>187100</x:v>
      </x:c>
      <x:c r="D968" s="25">
        <x:f t="shared" si="49"/>
        <x:v>206700</x:v>
      </x:c>
      <x:c r="E968" s="25">
        <x:f t="shared" si="50"/>
        <x:v>221400</x:v>
      </x:c>
      <x:c r="F968" s="58">
        <x:f t="shared" si="51"/>
        <x:v>235600</x:v>
      </x:c>
    </x:row>
    <x:row r="969">
      <x:c r="B969" s="63">
        <x:v>1067</x:v>
      </x:c>
      <x:c r="C969" s="57">
        <x:f t="shared" si="48"/>
        <x:v>187100</x:v>
      </x:c>
      <x:c r="D969" s="25">
        <x:f t="shared" si="49"/>
        <x:v>206700</x:v>
      </x:c>
      <x:c r="E969" s="25">
        <x:f t="shared" si="50"/>
        <x:v>221400</x:v>
      </x:c>
      <x:c r="F969" s="58">
        <x:f t="shared" si="51"/>
        <x:v>235600</x:v>
      </x:c>
    </x:row>
    <x:row r="970">
      <x:c r="B970" s="63">
        <x:v>1068</x:v>
      </x:c>
      <x:c r="C970" s="57">
        <x:f t="shared" si="48"/>
        <x:v>187100</x:v>
      </x:c>
      <x:c r="D970" s="25">
        <x:f t="shared" si="49"/>
        <x:v>206700</x:v>
      </x:c>
      <x:c r="E970" s="25">
        <x:f t="shared" si="50"/>
        <x:v>221400</x:v>
      </x:c>
      <x:c r="F970" s="58">
        <x:f t="shared" si="51"/>
        <x:v>235600</x:v>
      </x:c>
    </x:row>
    <x:row r="971">
      <x:c r="B971" s="63">
        <x:v>1069</x:v>
      </x:c>
      <x:c r="C971" s="57">
        <x:f t="shared" si="48"/>
        <x:v>187100</x:v>
      </x:c>
      <x:c r="D971" s="25">
        <x:f t="shared" si="49"/>
        <x:v>206700</x:v>
      </x:c>
      <x:c r="E971" s="25">
        <x:f t="shared" si="50"/>
        <x:v>221400</x:v>
      </x:c>
      <x:c r="F971" s="58">
        <x:f t="shared" si="51"/>
        <x:v>235600</x:v>
      </x:c>
    </x:row>
    <x:row r="972">
      <x:c r="B972" s="63">
        <x:v>1070</x:v>
      </x:c>
      <x:c r="C972" s="57">
        <x:f t="shared" si="48"/>
        <x:v>187100</x:v>
      </x:c>
      <x:c r="D972" s="25">
        <x:f t="shared" si="49"/>
        <x:v>206700</x:v>
      </x:c>
      <x:c r="E972" s="25">
        <x:f t="shared" si="50"/>
        <x:v>221400</x:v>
      </x:c>
      <x:c r="F972" s="58">
        <x:f t="shared" si="51"/>
        <x:v>235600</x:v>
      </x:c>
    </x:row>
    <x:row r="973">
      <x:c r="B973" s="63">
        <x:v>1071</x:v>
      </x:c>
      <x:c r="C973" s="57">
        <x:f t="shared" si="48"/>
        <x:v>187100</x:v>
      </x:c>
      <x:c r="D973" s="25">
        <x:f t="shared" si="49"/>
        <x:v>206700</x:v>
      </x:c>
      <x:c r="E973" s="25">
        <x:f t="shared" si="50"/>
        <x:v>221400</x:v>
      </x:c>
      <x:c r="F973" s="58">
        <x:f t="shared" si="51"/>
        <x:v>235600</x:v>
      </x:c>
    </x:row>
    <x:row r="974">
      <x:c r="B974" s="63">
        <x:v>1072</x:v>
      </x:c>
      <x:c r="C974" s="57">
        <x:f t="shared" si="48"/>
        <x:v>187100</x:v>
      </x:c>
      <x:c r="D974" s="25">
        <x:f t="shared" si="49"/>
        <x:v>206700</x:v>
      </x:c>
      <x:c r="E974" s="25">
        <x:f t="shared" si="50"/>
        <x:v>221400</x:v>
      </x:c>
      <x:c r="F974" s="58">
        <x:f t="shared" si="51"/>
        <x:v>235600</x:v>
      </x:c>
    </x:row>
    <x:row r="975">
      <x:c r="B975" s="63">
        <x:v>1073</x:v>
      </x:c>
      <x:c r="C975" s="57">
        <x:f t="shared" si="48"/>
        <x:v>187100</x:v>
      </x:c>
      <x:c r="D975" s="25">
        <x:f t="shared" si="49"/>
        <x:v>206700</x:v>
      </x:c>
      <x:c r="E975" s="25">
        <x:f t="shared" si="50"/>
        <x:v>221400</x:v>
      </x:c>
      <x:c r="F975" s="58">
        <x:f t="shared" si="51"/>
        <x:v>235600</x:v>
      </x:c>
    </x:row>
    <x:row r="976">
      <x:c r="B976" s="63">
        <x:v>1074</x:v>
      </x:c>
      <x:c r="C976" s="57">
        <x:f t="shared" si="48"/>
        <x:v>187100</x:v>
      </x:c>
      <x:c r="D976" s="25">
        <x:f t="shared" si="49"/>
        <x:v>206700</x:v>
      </x:c>
      <x:c r="E976" s="25">
        <x:f t="shared" si="50"/>
        <x:v>221400</x:v>
      </x:c>
      <x:c r="F976" s="58">
        <x:f t="shared" si="51"/>
        <x:v>235600</x:v>
      </x:c>
    </x:row>
    <x:row r="977">
      <x:c r="B977" s="63">
        <x:v>1075</x:v>
      </x:c>
      <x:c r="C977" s="57">
        <x:f t="shared" si="48"/>
        <x:v>187100</x:v>
      </x:c>
      <x:c r="D977" s="25">
        <x:f t="shared" si="49"/>
        <x:v>206700</x:v>
      </x:c>
      <x:c r="E977" s="25">
        <x:f t="shared" si="50"/>
        <x:v>221400</x:v>
      </x:c>
      <x:c r="F977" s="58">
        <x:f t="shared" si="51"/>
        <x:v>235600</x:v>
      </x:c>
    </x:row>
    <x:row r="978">
      <x:c r="B978" s="63">
        <x:v>1076</x:v>
      </x:c>
      <x:c r="C978" s="57">
        <x:f t="shared" si="48"/>
        <x:v>187100</x:v>
      </x:c>
      <x:c r="D978" s="25">
        <x:f t="shared" si="49"/>
        <x:v>206700</x:v>
      </x:c>
      <x:c r="E978" s="25">
        <x:f t="shared" si="50"/>
        <x:v>221400</x:v>
      </x:c>
      <x:c r="F978" s="58">
        <x:f t="shared" si="51"/>
        <x:v>235600</x:v>
      </x:c>
    </x:row>
    <x:row r="979">
      <x:c r="B979" s="63">
        <x:v>1077</x:v>
      </x:c>
      <x:c r="C979" s="57">
        <x:f t="shared" si="48"/>
        <x:v>187100</x:v>
      </x:c>
      <x:c r="D979" s="25">
        <x:f t="shared" si="49"/>
        <x:v>206700</x:v>
      </x:c>
      <x:c r="E979" s="25">
        <x:f t="shared" si="50"/>
        <x:v>221400</x:v>
      </x:c>
      <x:c r="F979" s="58">
        <x:f t="shared" si="51"/>
        <x:v>235600</x:v>
      </x:c>
    </x:row>
    <x:row r="980">
      <x:c r="B980" s="63">
        <x:v>1078</x:v>
      </x:c>
      <x:c r="C980" s="57">
        <x:f t="shared" si="48"/>
        <x:v>187100</x:v>
      </x:c>
      <x:c r="D980" s="25">
        <x:f t="shared" si="49"/>
        <x:v>206700</x:v>
      </x:c>
      <x:c r="E980" s="25">
        <x:f t="shared" si="50"/>
        <x:v>221400</x:v>
      </x:c>
      <x:c r="F980" s="58">
        <x:f t="shared" si="51"/>
        <x:v>235600</x:v>
      </x:c>
    </x:row>
    <x:row r="981">
      <x:c r="B981" s="63">
        <x:v>1079</x:v>
      </x:c>
      <x:c r="C981" s="57">
        <x:f t="shared" si="48"/>
        <x:v>187100</x:v>
      </x:c>
      <x:c r="D981" s="25">
        <x:f t="shared" si="49"/>
        <x:v>206700</x:v>
      </x:c>
      <x:c r="E981" s="25">
        <x:f t="shared" si="50"/>
        <x:v>221400</x:v>
      </x:c>
      <x:c r="F981" s="58">
        <x:f t="shared" si="51"/>
        <x:v>235600</x:v>
      </x:c>
    </x:row>
    <x:row r="982">
      <x:c r="B982" s="63">
        <x:v>1080</x:v>
      </x:c>
      <x:c r="C982" s="57">
        <x:f t="shared" si="48"/>
        <x:v>187100</x:v>
      </x:c>
      <x:c r="D982" s="25">
        <x:f t="shared" si="49"/>
        <x:v>206700</x:v>
      </x:c>
      <x:c r="E982" s="25">
        <x:f t="shared" si="50"/>
        <x:v>221400</x:v>
      </x:c>
      <x:c r="F982" s="58">
        <x:f t="shared" si="51"/>
        <x:v>235600</x:v>
      </x:c>
    </x:row>
    <x:row r="983">
      <x:c r="B983" s="63">
        <x:v>1081</x:v>
      </x:c>
      <x:c r="C983" s="57">
        <x:f t="shared" si="48"/>
        <x:v>187100</x:v>
      </x:c>
      <x:c r="D983" s="25">
        <x:f t="shared" si="49"/>
        <x:v>206700</x:v>
      </x:c>
      <x:c r="E983" s="25">
        <x:f t="shared" si="50"/>
        <x:v>221400</x:v>
      </x:c>
      <x:c r="F983" s="58">
        <x:f t="shared" si="51"/>
        <x:v>235600</x:v>
      </x:c>
    </x:row>
    <x:row r="984">
      <x:c r="B984" s="63">
        <x:v>1082</x:v>
      </x:c>
      <x:c r="C984" s="57">
        <x:f t="shared" si="48"/>
        <x:v>187100</x:v>
      </x:c>
      <x:c r="D984" s="25">
        <x:f t="shared" si="49"/>
        <x:v>206700</x:v>
      </x:c>
      <x:c r="E984" s="25">
        <x:f t="shared" si="50"/>
        <x:v>221400</x:v>
      </x:c>
      <x:c r="F984" s="58">
        <x:f t="shared" si="51"/>
        <x:v>235600</x:v>
      </x:c>
    </x:row>
    <x:row r="985">
      <x:c r="B985" s="63">
        <x:v>1083</x:v>
      </x:c>
      <x:c r="C985" s="57">
        <x:f t="shared" si="48"/>
        <x:v>187100</x:v>
      </x:c>
      <x:c r="D985" s="25">
        <x:f t="shared" si="49"/>
        <x:v>206700</x:v>
      </x:c>
      <x:c r="E985" s="25">
        <x:f t="shared" si="50"/>
        <x:v>221400</x:v>
      </x:c>
      <x:c r="F985" s="58">
        <x:f t="shared" si="51"/>
        <x:v>235600</x:v>
      </x:c>
    </x:row>
    <x:row r="986">
      <x:c r="B986" s="63">
        <x:v>1084</x:v>
      </x:c>
      <x:c r="C986" s="57">
        <x:f t="shared" si="48"/>
        <x:v>187100</x:v>
      </x:c>
      <x:c r="D986" s="25">
        <x:f t="shared" si="49"/>
        <x:v>206700</x:v>
      </x:c>
      <x:c r="E986" s="25">
        <x:f t="shared" si="50"/>
        <x:v>221400</x:v>
      </x:c>
      <x:c r="F986" s="58">
        <x:f t="shared" si="51"/>
        <x:v>235600</x:v>
      </x:c>
    </x:row>
    <x:row r="987">
      <x:c r="B987" s="63">
        <x:v>1085</x:v>
      </x:c>
      <x:c r="C987" s="57">
        <x:f t="shared" si="48"/>
        <x:v>187100</x:v>
      </x:c>
      <x:c r="D987" s="25">
        <x:f t="shared" si="49"/>
        <x:v>206700</x:v>
      </x:c>
      <x:c r="E987" s="25">
        <x:f t="shared" si="50"/>
        <x:v>221400</x:v>
      </x:c>
      <x:c r="F987" s="58">
        <x:f t="shared" si="51"/>
        <x:v>235600</x:v>
      </x:c>
    </x:row>
    <x:row r="988">
      <x:c r="B988" s="63">
        <x:v>1086</x:v>
      </x:c>
      <x:c r="C988" s="57">
        <x:f t="shared" si="48"/>
        <x:v>187100</x:v>
      </x:c>
      <x:c r="D988" s="25">
        <x:f t="shared" si="49"/>
        <x:v>206700</x:v>
      </x:c>
      <x:c r="E988" s="25">
        <x:f t="shared" si="50"/>
        <x:v>221400</x:v>
      </x:c>
      <x:c r="F988" s="58">
        <x:f t="shared" si="51"/>
        <x:v>235600</x:v>
      </x:c>
    </x:row>
    <x:row r="989">
      <x:c r="B989" s="63">
        <x:v>1087</x:v>
      </x:c>
      <x:c r="C989" s="57">
        <x:f t="shared" si="48"/>
        <x:v>187100</x:v>
      </x:c>
      <x:c r="D989" s="25">
        <x:f t="shared" si="49"/>
        <x:v>206700</x:v>
      </x:c>
      <x:c r="E989" s="25">
        <x:f t="shared" si="50"/>
        <x:v>221400</x:v>
      </x:c>
      <x:c r="F989" s="58">
        <x:f t="shared" si="51"/>
        <x:v>235600</x:v>
      </x:c>
    </x:row>
    <x:row r="990">
      <x:c r="B990" s="63">
        <x:v>1088</x:v>
      </x:c>
      <x:c r="C990" s="57">
        <x:f t="shared" si="48"/>
        <x:v>187100</x:v>
      </x:c>
      <x:c r="D990" s="25">
        <x:f t="shared" si="49"/>
        <x:v>206700</x:v>
      </x:c>
      <x:c r="E990" s="25">
        <x:f t="shared" si="50"/>
        <x:v>221400</x:v>
      </x:c>
      <x:c r="F990" s="58">
        <x:f t="shared" si="51"/>
        <x:v>235600</x:v>
      </x:c>
    </x:row>
    <x:row r="991">
      <x:c r="B991" s="63">
        <x:v>1089</x:v>
      </x:c>
      <x:c r="C991" s="57">
        <x:f t="shared" si="48"/>
        <x:v>187100</x:v>
      </x:c>
      <x:c r="D991" s="25">
        <x:f t="shared" si="49"/>
        <x:v>206700</x:v>
      </x:c>
      <x:c r="E991" s="25">
        <x:f t="shared" si="50"/>
        <x:v>221400</x:v>
      </x:c>
      <x:c r="F991" s="58">
        <x:f t="shared" si="51"/>
        <x:v>235600</x:v>
      </x:c>
    </x:row>
    <x:row r="992">
      <x:c r="B992" s="63">
        <x:v>1090</x:v>
      </x:c>
      <x:c r="C992" s="57">
        <x:f t="shared" si="48"/>
        <x:v>187100</x:v>
      </x:c>
      <x:c r="D992" s="25">
        <x:f t="shared" si="49"/>
        <x:v>206700</x:v>
      </x:c>
      <x:c r="E992" s="25">
        <x:f t="shared" si="50"/>
        <x:v>221400</x:v>
      </x:c>
      <x:c r="F992" s="58">
        <x:f t="shared" si="51"/>
        <x:v>235600</x:v>
      </x:c>
    </x:row>
    <x:row r="993">
      <x:c r="B993" s="63">
        <x:v>1091</x:v>
      </x:c>
      <x:c r="C993" s="57">
        <x:f t="shared" si="48"/>
        <x:v>187100</x:v>
      </x:c>
      <x:c r="D993" s="25">
        <x:f t="shared" si="49"/>
        <x:v>206700</x:v>
      </x:c>
      <x:c r="E993" s="25">
        <x:f t="shared" si="50"/>
        <x:v>221400</x:v>
      </x:c>
      <x:c r="F993" s="58">
        <x:f t="shared" si="51"/>
        <x:v>235600</x:v>
      </x:c>
    </x:row>
    <x:row r="994">
      <x:c r="B994" s="63">
        <x:v>1092</x:v>
      </x:c>
      <x:c r="C994" s="57">
        <x:f t="shared" si="48"/>
        <x:v>187100</x:v>
      </x:c>
      <x:c r="D994" s="25">
        <x:f t="shared" si="49"/>
        <x:v>206700</x:v>
      </x:c>
      <x:c r="E994" s="25">
        <x:f t="shared" si="50"/>
        <x:v>221400</x:v>
      </x:c>
      <x:c r="F994" s="58">
        <x:f t="shared" si="51"/>
        <x:v>235600</x:v>
      </x:c>
    </x:row>
    <x:row r="995">
      <x:c r="B995" s="63">
        <x:v>1093</x:v>
      </x:c>
      <x:c r="C995" s="57">
        <x:f t="shared" si="48"/>
        <x:v>187100</x:v>
      </x:c>
      <x:c r="D995" s="25">
        <x:f t="shared" si="49"/>
        <x:v>206700</x:v>
      </x:c>
      <x:c r="E995" s="25">
        <x:f t="shared" si="50"/>
        <x:v>221400</x:v>
      </x:c>
      <x:c r="F995" s="58">
        <x:f t="shared" si="51"/>
        <x:v>235600</x:v>
      </x:c>
    </x:row>
    <x:row r="996">
      <x:c r="B996" s="63">
        <x:v>1094</x:v>
      </x:c>
      <x:c r="C996" s="57">
        <x:f t="shared" si="48"/>
        <x:v>187100</x:v>
      </x:c>
      <x:c r="D996" s="25">
        <x:f t="shared" si="49"/>
        <x:v>206700</x:v>
      </x:c>
      <x:c r="E996" s="25">
        <x:f t="shared" si="50"/>
        <x:v>221400</x:v>
      </x:c>
      <x:c r="F996" s="58">
        <x:f t="shared" si="51"/>
        <x:v>235600</x:v>
      </x:c>
    </x:row>
    <x:row r="997">
      <x:c r="B997" s="63">
        <x:v>1095</x:v>
      </x:c>
      <x:c r="C997" s="57">
        <x:f t="shared" si="48"/>
        <x:v>187100</x:v>
      </x:c>
      <x:c r="D997" s="25">
        <x:f t="shared" si="49"/>
        <x:v>206700</x:v>
      </x:c>
      <x:c r="E997" s="25">
        <x:f t="shared" si="50"/>
        <x:v>221400</x:v>
      </x:c>
      <x:c r="F997" s="58">
        <x:f t="shared" si="51"/>
        <x:v>235600</x:v>
      </x:c>
    </x:row>
    <x:row r="998">
      <x:c r="B998" s="63">
        <x:v>1096</x:v>
      </x:c>
      <x:c r="C998" s="57">
        <x:f t="shared" si="48"/>
        <x:v>187100</x:v>
      </x:c>
      <x:c r="D998" s="25">
        <x:f t="shared" si="49"/>
        <x:v>206700</x:v>
      </x:c>
      <x:c r="E998" s="25">
        <x:f t="shared" si="50"/>
        <x:v>221400</x:v>
      </x:c>
      <x:c r="F998" s="58">
        <x:f t="shared" si="51"/>
        <x:v>235600</x:v>
      </x:c>
    </x:row>
    <x:row r="999">
      <x:c r="B999" s="63">
        <x:v>1097</x:v>
      </x:c>
      <x:c r="C999" s="57">
        <x:f t="shared" si="48"/>
        <x:v>187100</x:v>
      </x:c>
      <x:c r="D999" s="25">
        <x:f t="shared" si="49"/>
        <x:v>206700</x:v>
      </x:c>
      <x:c r="E999" s="25">
        <x:f t="shared" si="50"/>
        <x:v>221400</x:v>
      </x:c>
      <x:c r="F999" s="58">
        <x:f t="shared" si="51"/>
        <x:v>235600</x:v>
      </x:c>
    </x:row>
    <x:row r="1000">
      <x:c r="B1000" s="63">
        <x:v>1098</x:v>
      </x:c>
      <x:c r="C1000" s="57">
        <x:f t="shared" si="48"/>
        <x:v>187100</x:v>
      </x:c>
      <x:c r="D1000" s="25">
        <x:f t="shared" si="49"/>
        <x:v>206700</x:v>
      </x:c>
      <x:c r="E1000" s="25">
        <x:f t="shared" si="50"/>
        <x:v>221400</x:v>
      </x:c>
      <x:c r="F1000" s="58">
        <x:f t="shared" si="51"/>
        <x:v>235600</x:v>
      </x:c>
    </x:row>
    <x:row r="1001">
      <x:c r="B1001" s="63">
        <x:v>1099</x:v>
      </x:c>
      <x:c r="C1001" s="57">
        <x:f t="shared" si="48"/>
        <x:v>187100</x:v>
      </x:c>
      <x:c r="D1001" s="25">
        <x:f t="shared" si="49"/>
        <x:v>206700</x:v>
      </x:c>
      <x:c r="E1001" s="25">
        <x:f t="shared" si="50"/>
        <x:v>221400</x:v>
      </x:c>
      <x:c r="F1001" s="58">
        <x:f t="shared" si="51"/>
        <x:v>235600</x:v>
      </x:c>
    </x:row>
    <x:row r="1002">
      <x:c r="B1002" s="63">
        <x:v>1100</x:v>
      </x:c>
      <x:c r="C1002" s="57">
        <x:f t="shared" si="48"/>
        <x:v>187100</x:v>
      </x:c>
      <x:c r="D1002" s="25">
        <x:f t="shared" si="49"/>
        <x:v>206700</x:v>
      </x:c>
      <x:c r="E1002" s="25">
        <x:f t="shared" si="50"/>
        <x:v>221400</x:v>
      </x:c>
      <x:c r="F1002" s="58">
        <x:f t="shared" si="51"/>
        <x:v>235600</x:v>
      </x:c>
    </x:row>
    <x:row r="1003">
      <x:c r="B1003" s="63">
        <x:v>1101</x:v>
      </x:c>
      <x:c r="C1003" s="57" t="n">
        <x:f>$C$402+$J$15</x:f>
        <x:v>194400</x:v>
      </x:c>
      <x:c r="D1003" s="25" t="n">
        <x:f>$D$402+$K$15</x:f>
        <x:v>214800</x:v>
      </x:c>
      <x:c r="E1003" s="25" t="n">
        <x:f>$E$402+$L$15</x:f>
        <x:v>230100</x:v>
      </x:c>
      <x:c r="F1003" s="58" t="n">
        <x:f>$F$402+$M$15</x:f>
        <x:v>244900</x:v>
      </x:c>
    </x:row>
    <x:row r="1004">
      <x:c r="B1004" s="63">
        <x:v>1102</x:v>
      </x:c>
      <x:c r="C1004" s="57" t="n">
        <x:f t="shared" ref="C1004:C1052" si="52">$C$402+$J$15</x:f>
        <x:v>194400</x:v>
      </x:c>
      <x:c r="D1004" s="25" t="n">
        <x:f t="shared" ref="D1004:D1052" si="53">$D$402+$K$15</x:f>
        <x:v>214800</x:v>
      </x:c>
      <x:c r="E1004" s="25" t="n">
        <x:f t="shared" ref="E1004:E1052" si="54">$E$402+$L$15</x:f>
        <x:v>230100</x:v>
      </x:c>
      <x:c r="F1004" s="58" t="n">
        <x:f t="shared" ref="F1004:F1052" si="55">$F$402+$M$15</x:f>
        <x:v>244900</x:v>
      </x:c>
    </x:row>
    <x:row r="1005">
      <x:c r="B1005" s="63">
        <x:v>1103</x:v>
      </x:c>
      <x:c r="C1005" s="57">
        <x:f t="shared" si="52"/>
        <x:v>194400</x:v>
      </x:c>
      <x:c r="D1005" s="25">
        <x:f t="shared" si="53"/>
        <x:v>214800</x:v>
      </x:c>
      <x:c r="E1005" s="25">
        <x:f t="shared" si="54"/>
        <x:v>230100</x:v>
      </x:c>
      <x:c r="F1005" s="58">
        <x:f t="shared" si="55"/>
        <x:v>244900</x:v>
      </x:c>
    </x:row>
    <x:row r="1006">
      <x:c r="B1006" s="63">
        <x:v>1104</x:v>
      </x:c>
      <x:c r="C1006" s="57">
        <x:f t="shared" si="52"/>
        <x:v>194400</x:v>
      </x:c>
      <x:c r="D1006" s="25">
        <x:f t="shared" si="53"/>
        <x:v>214800</x:v>
      </x:c>
      <x:c r="E1006" s="25">
        <x:f t="shared" si="54"/>
        <x:v>230100</x:v>
      </x:c>
      <x:c r="F1006" s="58">
        <x:f t="shared" si="55"/>
        <x:v>244900</x:v>
      </x:c>
    </x:row>
    <x:row r="1007">
      <x:c r="B1007" s="63">
        <x:v>1105</x:v>
      </x:c>
      <x:c r="C1007" s="57">
        <x:f t="shared" si="52"/>
        <x:v>194400</x:v>
      </x:c>
      <x:c r="D1007" s="25">
        <x:f t="shared" si="53"/>
        <x:v>214800</x:v>
      </x:c>
      <x:c r="E1007" s="25">
        <x:f t="shared" si="54"/>
        <x:v>230100</x:v>
      </x:c>
      <x:c r="F1007" s="58">
        <x:f t="shared" si="55"/>
        <x:v>244900</x:v>
      </x:c>
    </x:row>
    <x:row r="1008">
      <x:c r="B1008" s="63">
        <x:v>1106</x:v>
      </x:c>
      <x:c r="C1008" s="57">
        <x:f t="shared" si="52"/>
        <x:v>194400</x:v>
      </x:c>
      <x:c r="D1008" s="25">
        <x:f t="shared" si="53"/>
        <x:v>214800</x:v>
      </x:c>
      <x:c r="E1008" s="25">
        <x:f t="shared" si="54"/>
        <x:v>230100</x:v>
      </x:c>
      <x:c r="F1008" s="58">
        <x:f t="shared" si="55"/>
        <x:v>244900</x:v>
      </x:c>
    </x:row>
    <x:row r="1009">
      <x:c r="B1009" s="63">
        <x:v>1107</x:v>
      </x:c>
      <x:c r="C1009" s="57">
        <x:f t="shared" si="52"/>
        <x:v>194400</x:v>
      </x:c>
      <x:c r="D1009" s="25">
        <x:f t="shared" si="53"/>
        <x:v>214800</x:v>
      </x:c>
      <x:c r="E1009" s="25">
        <x:f t="shared" si="54"/>
        <x:v>230100</x:v>
      </x:c>
      <x:c r="F1009" s="58">
        <x:f t="shared" si="55"/>
        <x:v>244900</x:v>
      </x:c>
    </x:row>
    <x:row r="1010">
      <x:c r="B1010" s="63">
        <x:v>1108</x:v>
      </x:c>
      <x:c r="C1010" s="57">
        <x:f t="shared" si="52"/>
        <x:v>194400</x:v>
      </x:c>
      <x:c r="D1010" s="25">
        <x:f t="shared" si="53"/>
        <x:v>214800</x:v>
      </x:c>
      <x:c r="E1010" s="25">
        <x:f t="shared" si="54"/>
        <x:v>230100</x:v>
      </x:c>
      <x:c r="F1010" s="58">
        <x:f t="shared" si="55"/>
        <x:v>244900</x:v>
      </x:c>
    </x:row>
    <x:row r="1011">
      <x:c r="B1011" s="63">
        <x:v>1109</x:v>
      </x:c>
      <x:c r="C1011" s="57">
        <x:f t="shared" si="52"/>
        <x:v>194400</x:v>
      </x:c>
      <x:c r="D1011" s="25">
        <x:f t="shared" si="53"/>
        <x:v>214800</x:v>
      </x:c>
      <x:c r="E1011" s="25">
        <x:f t="shared" si="54"/>
        <x:v>230100</x:v>
      </x:c>
      <x:c r="F1011" s="58">
        <x:f t="shared" si="55"/>
        <x:v>244900</x:v>
      </x:c>
    </x:row>
    <x:row r="1012">
      <x:c r="B1012" s="63">
        <x:v>1110</x:v>
      </x:c>
      <x:c r="C1012" s="57">
        <x:f t="shared" si="52"/>
        <x:v>194400</x:v>
      </x:c>
      <x:c r="D1012" s="25">
        <x:f t="shared" si="53"/>
        <x:v>214800</x:v>
      </x:c>
      <x:c r="E1012" s="25">
        <x:f t="shared" si="54"/>
        <x:v>230100</x:v>
      </x:c>
      <x:c r="F1012" s="58">
        <x:f t="shared" si="55"/>
        <x:v>244900</x:v>
      </x:c>
    </x:row>
    <x:row r="1013">
      <x:c r="B1013" s="63">
        <x:v>1111</x:v>
      </x:c>
      <x:c r="C1013" s="57">
        <x:f t="shared" si="52"/>
        <x:v>194400</x:v>
      </x:c>
      <x:c r="D1013" s="25">
        <x:f t="shared" si="53"/>
        <x:v>214800</x:v>
      </x:c>
      <x:c r="E1013" s="25">
        <x:f t="shared" si="54"/>
        <x:v>230100</x:v>
      </x:c>
      <x:c r="F1013" s="58">
        <x:f t="shared" si="55"/>
        <x:v>244900</x:v>
      </x:c>
    </x:row>
    <x:row r="1014">
      <x:c r="B1014" s="63">
        <x:v>1112</x:v>
      </x:c>
      <x:c r="C1014" s="57">
        <x:f t="shared" si="52"/>
        <x:v>194400</x:v>
      </x:c>
      <x:c r="D1014" s="25">
        <x:f t="shared" si="53"/>
        <x:v>214800</x:v>
      </x:c>
      <x:c r="E1014" s="25">
        <x:f t="shared" si="54"/>
        <x:v>230100</x:v>
      </x:c>
      <x:c r="F1014" s="58">
        <x:f t="shared" si="55"/>
        <x:v>244900</x:v>
      </x:c>
    </x:row>
    <x:row r="1015">
      <x:c r="B1015" s="63">
        <x:v>1113</x:v>
      </x:c>
      <x:c r="C1015" s="57">
        <x:f t="shared" si="52"/>
        <x:v>194400</x:v>
      </x:c>
      <x:c r="D1015" s="25">
        <x:f t="shared" si="53"/>
        <x:v>214800</x:v>
      </x:c>
      <x:c r="E1015" s="25">
        <x:f t="shared" si="54"/>
        <x:v>230100</x:v>
      </x:c>
      <x:c r="F1015" s="58">
        <x:f t="shared" si="55"/>
        <x:v>244900</x:v>
      </x:c>
    </x:row>
    <x:row r="1016">
      <x:c r="B1016" s="63">
        <x:v>1114</x:v>
      </x:c>
      <x:c r="C1016" s="57">
        <x:f t="shared" si="52"/>
        <x:v>194400</x:v>
      </x:c>
      <x:c r="D1016" s="25">
        <x:f t="shared" si="53"/>
        <x:v>214800</x:v>
      </x:c>
      <x:c r="E1016" s="25">
        <x:f t="shared" si="54"/>
        <x:v>230100</x:v>
      </x:c>
      <x:c r="F1016" s="58">
        <x:f t="shared" si="55"/>
        <x:v>244900</x:v>
      </x:c>
    </x:row>
    <x:row r="1017">
      <x:c r="B1017" s="63">
        <x:v>1115</x:v>
      </x:c>
      <x:c r="C1017" s="57">
        <x:f t="shared" si="52"/>
        <x:v>194400</x:v>
      </x:c>
      <x:c r="D1017" s="25">
        <x:f t="shared" si="53"/>
        <x:v>214800</x:v>
      </x:c>
      <x:c r="E1017" s="25">
        <x:f t="shared" si="54"/>
        <x:v>230100</x:v>
      </x:c>
      <x:c r="F1017" s="58">
        <x:f t="shared" si="55"/>
        <x:v>244900</x:v>
      </x:c>
    </x:row>
    <x:row r="1018">
      <x:c r="B1018" s="63">
        <x:v>1116</x:v>
      </x:c>
      <x:c r="C1018" s="57">
        <x:f t="shared" si="52"/>
        <x:v>194400</x:v>
      </x:c>
      <x:c r="D1018" s="25">
        <x:f t="shared" si="53"/>
        <x:v>214800</x:v>
      </x:c>
      <x:c r="E1018" s="25">
        <x:f t="shared" si="54"/>
        <x:v>230100</x:v>
      </x:c>
      <x:c r="F1018" s="58">
        <x:f t="shared" si="55"/>
        <x:v>244900</x:v>
      </x:c>
    </x:row>
    <x:row r="1019">
      <x:c r="B1019" s="63">
        <x:v>1117</x:v>
      </x:c>
      <x:c r="C1019" s="57">
        <x:f t="shared" si="52"/>
        <x:v>194400</x:v>
      </x:c>
      <x:c r="D1019" s="25">
        <x:f t="shared" si="53"/>
        <x:v>214800</x:v>
      </x:c>
      <x:c r="E1019" s="25">
        <x:f t="shared" si="54"/>
        <x:v>230100</x:v>
      </x:c>
      <x:c r="F1019" s="58">
        <x:f t="shared" si="55"/>
        <x:v>244900</x:v>
      </x:c>
    </x:row>
    <x:row r="1020">
      <x:c r="B1020" s="63">
        <x:v>1118</x:v>
      </x:c>
      <x:c r="C1020" s="57">
        <x:f t="shared" si="52"/>
        <x:v>194400</x:v>
      </x:c>
      <x:c r="D1020" s="25">
        <x:f t="shared" si="53"/>
        <x:v>214800</x:v>
      </x:c>
      <x:c r="E1020" s="25">
        <x:f t="shared" si="54"/>
        <x:v>230100</x:v>
      </x:c>
      <x:c r="F1020" s="58">
        <x:f t="shared" si="55"/>
        <x:v>244900</x:v>
      </x:c>
    </x:row>
    <x:row r="1021">
      <x:c r="B1021" s="63">
        <x:v>1119</x:v>
      </x:c>
      <x:c r="C1021" s="57">
        <x:f t="shared" si="52"/>
        <x:v>194400</x:v>
      </x:c>
      <x:c r="D1021" s="25">
        <x:f t="shared" si="53"/>
        <x:v>214800</x:v>
      </x:c>
      <x:c r="E1021" s="25">
        <x:f t="shared" si="54"/>
        <x:v>230100</x:v>
      </x:c>
      <x:c r="F1021" s="58">
        <x:f t="shared" si="55"/>
        <x:v>244900</x:v>
      </x:c>
    </x:row>
    <x:row r="1022">
      <x:c r="B1022" s="63">
        <x:v>1120</x:v>
      </x:c>
      <x:c r="C1022" s="57">
        <x:f t="shared" si="52"/>
        <x:v>194400</x:v>
      </x:c>
      <x:c r="D1022" s="25">
        <x:f t="shared" si="53"/>
        <x:v>214800</x:v>
      </x:c>
      <x:c r="E1022" s="25">
        <x:f t="shared" si="54"/>
        <x:v>230100</x:v>
      </x:c>
      <x:c r="F1022" s="58">
        <x:f t="shared" si="55"/>
        <x:v>244900</x:v>
      </x:c>
    </x:row>
    <x:row r="1023">
      <x:c r="B1023" s="63">
        <x:v>1121</x:v>
      </x:c>
      <x:c r="C1023" s="57">
        <x:f t="shared" si="52"/>
        <x:v>194400</x:v>
      </x:c>
      <x:c r="D1023" s="25">
        <x:f t="shared" si="53"/>
        <x:v>214800</x:v>
      </x:c>
      <x:c r="E1023" s="25">
        <x:f t="shared" si="54"/>
        <x:v>230100</x:v>
      </x:c>
      <x:c r="F1023" s="58">
        <x:f t="shared" si="55"/>
        <x:v>244900</x:v>
      </x:c>
    </x:row>
    <x:row r="1024">
      <x:c r="B1024" s="63">
        <x:v>1122</x:v>
      </x:c>
      <x:c r="C1024" s="57">
        <x:f t="shared" si="52"/>
        <x:v>194400</x:v>
      </x:c>
      <x:c r="D1024" s="25">
        <x:f t="shared" si="53"/>
        <x:v>214800</x:v>
      </x:c>
      <x:c r="E1024" s="25">
        <x:f t="shared" si="54"/>
        <x:v>230100</x:v>
      </x:c>
      <x:c r="F1024" s="58">
        <x:f t="shared" si="55"/>
        <x:v>244900</x:v>
      </x:c>
    </x:row>
    <x:row r="1025">
      <x:c r="B1025" s="63">
        <x:v>1123</x:v>
      </x:c>
      <x:c r="C1025" s="57">
        <x:f t="shared" si="52"/>
        <x:v>194400</x:v>
      </x:c>
      <x:c r="D1025" s="25">
        <x:f t="shared" si="53"/>
        <x:v>214800</x:v>
      </x:c>
      <x:c r="E1025" s="25">
        <x:f t="shared" si="54"/>
        <x:v>230100</x:v>
      </x:c>
      <x:c r="F1025" s="58">
        <x:f t="shared" si="55"/>
        <x:v>244900</x:v>
      </x:c>
    </x:row>
    <x:row r="1026">
      <x:c r="B1026" s="63">
        <x:v>1124</x:v>
      </x:c>
      <x:c r="C1026" s="57">
        <x:f t="shared" si="52"/>
        <x:v>194400</x:v>
      </x:c>
      <x:c r="D1026" s="25">
        <x:f t="shared" si="53"/>
        <x:v>214800</x:v>
      </x:c>
      <x:c r="E1026" s="25">
        <x:f t="shared" si="54"/>
        <x:v>230100</x:v>
      </x:c>
      <x:c r="F1026" s="58">
        <x:f t="shared" si="55"/>
        <x:v>244900</x:v>
      </x:c>
    </x:row>
    <x:row r="1027">
      <x:c r="B1027" s="63">
        <x:v>1125</x:v>
      </x:c>
      <x:c r="C1027" s="57">
        <x:f t="shared" si="52"/>
        <x:v>194400</x:v>
      </x:c>
      <x:c r="D1027" s="25">
        <x:f t="shared" si="53"/>
        <x:v>214800</x:v>
      </x:c>
      <x:c r="E1027" s="25">
        <x:f t="shared" si="54"/>
        <x:v>230100</x:v>
      </x:c>
      <x:c r="F1027" s="58">
        <x:f t="shared" si="55"/>
        <x:v>244900</x:v>
      </x:c>
    </x:row>
    <x:row r="1028">
      <x:c r="B1028" s="63">
        <x:v>1126</x:v>
      </x:c>
      <x:c r="C1028" s="57">
        <x:f t="shared" si="52"/>
        <x:v>194400</x:v>
      </x:c>
      <x:c r="D1028" s="25">
        <x:f t="shared" si="53"/>
        <x:v>214800</x:v>
      </x:c>
      <x:c r="E1028" s="25">
        <x:f t="shared" si="54"/>
        <x:v>230100</x:v>
      </x:c>
      <x:c r="F1028" s="58">
        <x:f t="shared" si="55"/>
        <x:v>244900</x:v>
      </x:c>
    </x:row>
    <x:row r="1029">
      <x:c r="B1029" s="63">
        <x:v>1127</x:v>
      </x:c>
      <x:c r="C1029" s="57">
        <x:f t="shared" si="52"/>
        <x:v>194400</x:v>
      </x:c>
      <x:c r="D1029" s="25">
        <x:f t="shared" si="53"/>
        <x:v>214800</x:v>
      </x:c>
      <x:c r="E1029" s="25">
        <x:f t="shared" si="54"/>
        <x:v>230100</x:v>
      </x:c>
      <x:c r="F1029" s="58">
        <x:f t="shared" si="55"/>
        <x:v>244900</x:v>
      </x:c>
    </x:row>
    <x:row r="1030">
      <x:c r="B1030" s="63">
        <x:v>1128</x:v>
      </x:c>
      <x:c r="C1030" s="57">
        <x:f t="shared" si="52"/>
        <x:v>194400</x:v>
      </x:c>
      <x:c r="D1030" s="25">
        <x:f t="shared" si="53"/>
        <x:v>214800</x:v>
      </x:c>
      <x:c r="E1030" s="25">
        <x:f t="shared" si="54"/>
        <x:v>230100</x:v>
      </x:c>
      <x:c r="F1030" s="58">
        <x:f t="shared" si="55"/>
        <x:v>244900</x:v>
      </x:c>
    </x:row>
    <x:row r="1031">
      <x:c r="B1031" s="63">
        <x:v>1129</x:v>
      </x:c>
      <x:c r="C1031" s="57">
        <x:f t="shared" si="52"/>
        <x:v>194400</x:v>
      </x:c>
      <x:c r="D1031" s="25">
        <x:f t="shared" si="53"/>
        <x:v>214800</x:v>
      </x:c>
      <x:c r="E1031" s="25">
        <x:f t="shared" si="54"/>
        <x:v>230100</x:v>
      </x:c>
      <x:c r="F1031" s="58">
        <x:f t="shared" si="55"/>
        <x:v>244900</x:v>
      </x:c>
    </x:row>
    <x:row r="1032">
      <x:c r="B1032" s="63">
        <x:v>1130</x:v>
      </x:c>
      <x:c r="C1032" s="57">
        <x:f t="shared" si="52"/>
        <x:v>194400</x:v>
      </x:c>
      <x:c r="D1032" s="25">
        <x:f t="shared" si="53"/>
        <x:v>214800</x:v>
      </x:c>
      <x:c r="E1032" s="25">
        <x:f t="shared" si="54"/>
        <x:v>230100</x:v>
      </x:c>
      <x:c r="F1032" s="58">
        <x:f t="shared" si="55"/>
        <x:v>244900</x:v>
      </x:c>
    </x:row>
    <x:row r="1033">
      <x:c r="B1033" s="63">
        <x:v>1131</x:v>
      </x:c>
      <x:c r="C1033" s="57">
        <x:f t="shared" si="52"/>
        <x:v>194400</x:v>
      </x:c>
      <x:c r="D1033" s="25">
        <x:f t="shared" si="53"/>
        <x:v>214800</x:v>
      </x:c>
      <x:c r="E1033" s="25">
        <x:f t="shared" si="54"/>
        <x:v>230100</x:v>
      </x:c>
      <x:c r="F1033" s="58">
        <x:f t="shared" si="55"/>
        <x:v>244900</x:v>
      </x:c>
    </x:row>
    <x:row r="1034">
      <x:c r="B1034" s="63">
        <x:v>1132</x:v>
      </x:c>
      <x:c r="C1034" s="57">
        <x:f t="shared" si="52"/>
        <x:v>194400</x:v>
      </x:c>
      <x:c r="D1034" s="25">
        <x:f t="shared" si="53"/>
        <x:v>214800</x:v>
      </x:c>
      <x:c r="E1034" s="25">
        <x:f t="shared" si="54"/>
        <x:v>230100</x:v>
      </x:c>
      <x:c r="F1034" s="58">
        <x:f t="shared" si="55"/>
        <x:v>244900</x:v>
      </x:c>
    </x:row>
    <x:row r="1035">
      <x:c r="B1035" s="63">
        <x:v>1133</x:v>
      </x:c>
      <x:c r="C1035" s="57">
        <x:f t="shared" si="52"/>
        <x:v>194400</x:v>
      </x:c>
      <x:c r="D1035" s="25">
        <x:f t="shared" si="53"/>
        <x:v>214800</x:v>
      </x:c>
      <x:c r="E1035" s="25">
        <x:f t="shared" si="54"/>
        <x:v>230100</x:v>
      </x:c>
      <x:c r="F1035" s="58">
        <x:f t="shared" si="55"/>
        <x:v>244900</x:v>
      </x:c>
    </x:row>
    <x:row r="1036">
      <x:c r="B1036" s="63">
        <x:v>1134</x:v>
      </x:c>
      <x:c r="C1036" s="57">
        <x:f t="shared" si="52"/>
        <x:v>194400</x:v>
      </x:c>
      <x:c r="D1036" s="25">
        <x:f t="shared" si="53"/>
        <x:v>214800</x:v>
      </x:c>
      <x:c r="E1036" s="25">
        <x:f t="shared" si="54"/>
        <x:v>230100</x:v>
      </x:c>
      <x:c r="F1036" s="58">
        <x:f t="shared" si="55"/>
        <x:v>244900</x:v>
      </x:c>
    </x:row>
    <x:row r="1037">
      <x:c r="B1037" s="63">
        <x:v>1135</x:v>
      </x:c>
      <x:c r="C1037" s="57">
        <x:f t="shared" si="52"/>
        <x:v>194400</x:v>
      </x:c>
      <x:c r="D1037" s="25">
        <x:f t="shared" si="53"/>
        <x:v>214800</x:v>
      </x:c>
      <x:c r="E1037" s="25">
        <x:f t="shared" si="54"/>
        <x:v>230100</x:v>
      </x:c>
      <x:c r="F1037" s="58">
        <x:f t="shared" si="55"/>
        <x:v>244900</x:v>
      </x:c>
    </x:row>
    <x:row r="1038">
      <x:c r="B1038" s="63">
        <x:v>1136</x:v>
      </x:c>
      <x:c r="C1038" s="57">
        <x:f t="shared" si="52"/>
        <x:v>194400</x:v>
      </x:c>
      <x:c r="D1038" s="25">
        <x:f t="shared" si="53"/>
        <x:v>214800</x:v>
      </x:c>
      <x:c r="E1038" s="25">
        <x:f t="shared" si="54"/>
        <x:v>230100</x:v>
      </x:c>
      <x:c r="F1038" s="58">
        <x:f t="shared" si="55"/>
        <x:v>244900</x:v>
      </x:c>
    </x:row>
    <x:row r="1039">
      <x:c r="B1039" s="63">
        <x:v>1137</x:v>
      </x:c>
      <x:c r="C1039" s="57">
        <x:f t="shared" si="52"/>
        <x:v>194400</x:v>
      </x:c>
      <x:c r="D1039" s="25">
        <x:f t="shared" si="53"/>
        <x:v>214800</x:v>
      </x:c>
      <x:c r="E1039" s="25">
        <x:f t="shared" si="54"/>
        <x:v>230100</x:v>
      </x:c>
      <x:c r="F1039" s="58">
        <x:f t="shared" si="55"/>
        <x:v>244900</x:v>
      </x:c>
    </x:row>
    <x:row r="1040">
      <x:c r="B1040" s="63">
        <x:v>1138</x:v>
      </x:c>
      <x:c r="C1040" s="57">
        <x:f t="shared" si="52"/>
        <x:v>194400</x:v>
      </x:c>
      <x:c r="D1040" s="25">
        <x:f t="shared" si="53"/>
        <x:v>214800</x:v>
      </x:c>
      <x:c r="E1040" s="25">
        <x:f t="shared" si="54"/>
        <x:v>230100</x:v>
      </x:c>
      <x:c r="F1040" s="58">
        <x:f t="shared" si="55"/>
        <x:v>244900</x:v>
      </x:c>
    </x:row>
    <x:row r="1041">
      <x:c r="B1041" s="63">
        <x:v>1139</x:v>
      </x:c>
      <x:c r="C1041" s="57">
        <x:f t="shared" si="52"/>
        <x:v>194400</x:v>
      </x:c>
      <x:c r="D1041" s="25">
        <x:f t="shared" si="53"/>
        <x:v>214800</x:v>
      </x:c>
      <x:c r="E1041" s="25">
        <x:f t="shared" si="54"/>
        <x:v>230100</x:v>
      </x:c>
      <x:c r="F1041" s="58">
        <x:f t="shared" si="55"/>
        <x:v>244900</x:v>
      </x:c>
    </x:row>
    <x:row r="1042">
      <x:c r="B1042" s="63">
        <x:v>1140</x:v>
      </x:c>
      <x:c r="C1042" s="57">
        <x:f t="shared" si="52"/>
        <x:v>194400</x:v>
      </x:c>
      <x:c r="D1042" s="25">
        <x:f t="shared" si="53"/>
        <x:v>214800</x:v>
      </x:c>
      <x:c r="E1042" s="25">
        <x:f t="shared" si="54"/>
        <x:v>230100</x:v>
      </x:c>
      <x:c r="F1042" s="58">
        <x:f t="shared" si="55"/>
        <x:v>244900</x:v>
      </x:c>
    </x:row>
    <x:row r="1043">
      <x:c r="B1043" s="63">
        <x:v>1141</x:v>
      </x:c>
      <x:c r="C1043" s="57">
        <x:f t="shared" si="52"/>
        <x:v>194400</x:v>
      </x:c>
      <x:c r="D1043" s="25">
        <x:f t="shared" si="53"/>
        <x:v>214800</x:v>
      </x:c>
      <x:c r="E1043" s="25">
        <x:f t="shared" si="54"/>
        <x:v>230100</x:v>
      </x:c>
      <x:c r="F1043" s="58">
        <x:f t="shared" si="55"/>
        <x:v>244900</x:v>
      </x:c>
    </x:row>
    <x:row r="1044">
      <x:c r="B1044" s="63">
        <x:v>1142</x:v>
      </x:c>
      <x:c r="C1044" s="57">
        <x:f t="shared" si="52"/>
        <x:v>194400</x:v>
      </x:c>
      <x:c r="D1044" s="25">
        <x:f t="shared" si="53"/>
        <x:v>214800</x:v>
      </x:c>
      <x:c r="E1044" s="25">
        <x:f t="shared" si="54"/>
        <x:v>230100</x:v>
      </x:c>
      <x:c r="F1044" s="58">
        <x:f t="shared" si="55"/>
        <x:v>244900</x:v>
      </x:c>
    </x:row>
    <x:row r="1045">
      <x:c r="B1045" s="63">
        <x:v>1143</x:v>
      </x:c>
      <x:c r="C1045" s="57">
        <x:f t="shared" si="52"/>
        <x:v>194400</x:v>
      </x:c>
      <x:c r="D1045" s="25">
        <x:f t="shared" si="53"/>
        <x:v>214800</x:v>
      </x:c>
      <x:c r="E1045" s="25">
        <x:f t="shared" si="54"/>
        <x:v>230100</x:v>
      </x:c>
      <x:c r="F1045" s="58">
        <x:f t="shared" si="55"/>
        <x:v>244900</x:v>
      </x:c>
    </x:row>
    <x:row r="1046">
      <x:c r="B1046" s="63">
        <x:v>1144</x:v>
      </x:c>
      <x:c r="C1046" s="57">
        <x:f t="shared" si="52"/>
        <x:v>194400</x:v>
      </x:c>
      <x:c r="D1046" s="25">
        <x:f t="shared" si="53"/>
        <x:v>214800</x:v>
      </x:c>
      <x:c r="E1046" s="25">
        <x:f t="shared" si="54"/>
        <x:v>230100</x:v>
      </x:c>
      <x:c r="F1046" s="58">
        <x:f t="shared" si="55"/>
        <x:v>244900</x:v>
      </x:c>
    </x:row>
    <x:row r="1047">
      <x:c r="B1047" s="63">
        <x:v>1145</x:v>
      </x:c>
      <x:c r="C1047" s="57">
        <x:f t="shared" si="52"/>
        <x:v>194400</x:v>
      </x:c>
      <x:c r="D1047" s="25">
        <x:f t="shared" si="53"/>
        <x:v>214800</x:v>
      </x:c>
      <x:c r="E1047" s="25">
        <x:f t="shared" si="54"/>
        <x:v>230100</x:v>
      </x:c>
      <x:c r="F1047" s="58">
        <x:f t="shared" si="55"/>
        <x:v>244900</x:v>
      </x:c>
    </x:row>
    <x:row r="1048">
      <x:c r="B1048" s="63">
        <x:v>1146</x:v>
      </x:c>
      <x:c r="C1048" s="57">
        <x:f t="shared" si="52"/>
        <x:v>194400</x:v>
      </x:c>
      <x:c r="D1048" s="25">
        <x:f t="shared" si="53"/>
        <x:v>214800</x:v>
      </x:c>
      <x:c r="E1048" s="25">
        <x:f t="shared" si="54"/>
        <x:v>230100</x:v>
      </x:c>
      <x:c r="F1048" s="58">
        <x:f t="shared" si="55"/>
        <x:v>244900</x:v>
      </x:c>
    </x:row>
    <x:row r="1049">
      <x:c r="B1049" s="63">
        <x:v>1147</x:v>
      </x:c>
      <x:c r="C1049" s="57">
        <x:f t="shared" si="52"/>
        <x:v>194400</x:v>
      </x:c>
      <x:c r="D1049" s="25">
        <x:f t="shared" si="53"/>
        <x:v>214800</x:v>
      </x:c>
      <x:c r="E1049" s="25">
        <x:f t="shared" si="54"/>
        <x:v>230100</x:v>
      </x:c>
      <x:c r="F1049" s="58">
        <x:f t="shared" si="55"/>
        <x:v>244900</x:v>
      </x:c>
    </x:row>
    <x:row r="1050">
      <x:c r="B1050" s="63">
        <x:v>1148</x:v>
      </x:c>
      <x:c r="C1050" s="57">
        <x:f t="shared" si="52"/>
        <x:v>194400</x:v>
      </x:c>
      <x:c r="D1050" s="25">
        <x:f t="shared" si="53"/>
        <x:v>214800</x:v>
      </x:c>
      <x:c r="E1050" s="25">
        <x:f t="shared" si="54"/>
        <x:v>230100</x:v>
      </x:c>
      <x:c r="F1050" s="58">
        <x:f t="shared" si="55"/>
        <x:v>244900</x:v>
      </x:c>
    </x:row>
    <x:row r="1051">
      <x:c r="B1051" s="63">
        <x:v>1149</x:v>
      </x:c>
      <x:c r="C1051" s="57">
        <x:f t="shared" si="52"/>
        <x:v>194400</x:v>
      </x:c>
      <x:c r="D1051" s="25">
        <x:f t="shared" si="53"/>
        <x:v>214800</x:v>
      </x:c>
      <x:c r="E1051" s="25">
        <x:f t="shared" si="54"/>
        <x:v>230100</x:v>
      </x:c>
      <x:c r="F1051" s="58">
        <x:f t="shared" si="55"/>
        <x:v>244900</x:v>
      </x:c>
    </x:row>
    <x:row r="1052">
      <x:c r="B1052" s="63">
        <x:v>1150</x:v>
      </x:c>
      <x:c r="C1052" s="57">
        <x:f t="shared" si="52"/>
        <x:v>194400</x:v>
      </x:c>
      <x:c r="D1052" s="25">
        <x:f t="shared" si="53"/>
        <x:v>214800</x:v>
      </x:c>
      <x:c r="E1052" s="25">
        <x:f t="shared" si="54"/>
        <x:v>230100</x:v>
      </x:c>
      <x:c r="F1052" s="58">
        <x:f t="shared" si="55"/>
        <x:v>244900</x:v>
      </x:c>
    </x:row>
    <x:row r="1053">
      <x:c r="B1053" s="63">
        <x:v>1151</x:v>
      </x:c>
      <x:c r="C1053" s="57" t="n">
        <x:f>$C$402+$J$16</x:f>
        <x:v>201700</x:v>
      </x:c>
      <x:c r="D1053" s="25" t="n">
        <x:f>$D$402+$K$16</x:f>
        <x:v>222900</x:v>
      </x:c>
      <x:c r="E1053" s="25" t="n">
        <x:f>$E$402+$L$16</x:f>
        <x:v>238800</x:v>
      </x:c>
      <x:c r="F1053" s="58" t="n">
        <x:f>$F$402+$M$16</x:f>
        <x:v>254200</x:v>
      </x:c>
    </x:row>
    <x:row r="1054">
      <x:c r="B1054" s="63">
        <x:v>1152</x:v>
      </x:c>
      <x:c r="C1054" s="57" t="n">
        <x:f t="shared" ref="C1054:C1102" si="56">$C$402+$J$16</x:f>
        <x:v>201700</x:v>
      </x:c>
      <x:c r="D1054" s="25" t="n">
        <x:f t="shared" ref="D1054:D1102" si="57">$D$402+$K$16</x:f>
        <x:v>222900</x:v>
      </x:c>
      <x:c r="E1054" s="25" t="n">
        <x:f t="shared" ref="E1054:E1102" si="58">$E$402+$L$16</x:f>
        <x:v>238800</x:v>
      </x:c>
      <x:c r="F1054" s="58" t="n">
        <x:f t="shared" ref="F1054:F1102" si="59">$F$402+$M$16</x:f>
        <x:v>254200</x:v>
      </x:c>
    </x:row>
    <x:row r="1055">
      <x:c r="B1055" s="63">
        <x:v>1153</x:v>
      </x:c>
      <x:c r="C1055" s="57">
        <x:f t="shared" si="56"/>
        <x:v>201700</x:v>
      </x:c>
      <x:c r="D1055" s="25">
        <x:f t="shared" si="57"/>
        <x:v>222900</x:v>
      </x:c>
      <x:c r="E1055" s="25">
        <x:f t="shared" si="58"/>
        <x:v>238800</x:v>
      </x:c>
      <x:c r="F1055" s="58">
        <x:f t="shared" si="59"/>
        <x:v>254200</x:v>
      </x:c>
    </x:row>
    <x:row r="1056">
      <x:c r="B1056" s="63">
        <x:v>1154</x:v>
      </x:c>
      <x:c r="C1056" s="57">
        <x:f t="shared" si="56"/>
        <x:v>201700</x:v>
      </x:c>
      <x:c r="D1056" s="25">
        <x:f t="shared" si="57"/>
        <x:v>222900</x:v>
      </x:c>
      <x:c r="E1056" s="25">
        <x:f t="shared" si="58"/>
        <x:v>238800</x:v>
      </x:c>
      <x:c r="F1056" s="58">
        <x:f t="shared" si="59"/>
        <x:v>254200</x:v>
      </x:c>
    </x:row>
    <x:row r="1057">
      <x:c r="B1057" s="63">
        <x:v>1155</x:v>
      </x:c>
      <x:c r="C1057" s="57">
        <x:f t="shared" si="56"/>
        <x:v>201700</x:v>
      </x:c>
      <x:c r="D1057" s="25">
        <x:f t="shared" si="57"/>
        <x:v>222900</x:v>
      </x:c>
      <x:c r="E1057" s="25">
        <x:f t="shared" si="58"/>
        <x:v>238800</x:v>
      </x:c>
      <x:c r="F1057" s="58">
        <x:f t="shared" si="59"/>
        <x:v>254200</x:v>
      </x:c>
    </x:row>
    <x:row r="1058">
      <x:c r="B1058" s="63">
        <x:v>1156</x:v>
      </x:c>
      <x:c r="C1058" s="57">
        <x:f t="shared" si="56"/>
        <x:v>201700</x:v>
      </x:c>
      <x:c r="D1058" s="25">
        <x:f t="shared" si="57"/>
        <x:v>222900</x:v>
      </x:c>
      <x:c r="E1058" s="25">
        <x:f t="shared" si="58"/>
        <x:v>238800</x:v>
      </x:c>
      <x:c r="F1058" s="58">
        <x:f t="shared" si="59"/>
        <x:v>254200</x:v>
      </x:c>
    </x:row>
    <x:row r="1059">
      <x:c r="B1059" s="63">
        <x:v>1157</x:v>
      </x:c>
      <x:c r="C1059" s="57">
        <x:f t="shared" si="56"/>
        <x:v>201700</x:v>
      </x:c>
      <x:c r="D1059" s="25">
        <x:f t="shared" si="57"/>
        <x:v>222900</x:v>
      </x:c>
      <x:c r="E1059" s="25">
        <x:f t="shared" si="58"/>
        <x:v>238800</x:v>
      </x:c>
      <x:c r="F1059" s="58">
        <x:f t="shared" si="59"/>
        <x:v>254200</x:v>
      </x:c>
    </x:row>
    <x:row r="1060">
      <x:c r="B1060" s="63">
        <x:v>1158</x:v>
      </x:c>
      <x:c r="C1060" s="57">
        <x:f t="shared" si="56"/>
        <x:v>201700</x:v>
      </x:c>
      <x:c r="D1060" s="25">
        <x:f t="shared" si="57"/>
        <x:v>222900</x:v>
      </x:c>
      <x:c r="E1060" s="25">
        <x:f t="shared" si="58"/>
        <x:v>238800</x:v>
      </x:c>
      <x:c r="F1060" s="58">
        <x:f t="shared" si="59"/>
        <x:v>254200</x:v>
      </x:c>
    </x:row>
    <x:row r="1061">
      <x:c r="B1061" s="63">
        <x:v>1159</x:v>
      </x:c>
      <x:c r="C1061" s="57">
        <x:f t="shared" si="56"/>
        <x:v>201700</x:v>
      </x:c>
      <x:c r="D1061" s="25">
        <x:f t="shared" si="57"/>
        <x:v>222900</x:v>
      </x:c>
      <x:c r="E1061" s="25">
        <x:f t="shared" si="58"/>
        <x:v>238800</x:v>
      </x:c>
      <x:c r="F1061" s="58">
        <x:f t="shared" si="59"/>
        <x:v>254200</x:v>
      </x:c>
    </x:row>
    <x:row r="1062">
      <x:c r="B1062" s="63">
        <x:v>1160</x:v>
      </x:c>
      <x:c r="C1062" s="57">
        <x:f t="shared" si="56"/>
        <x:v>201700</x:v>
      </x:c>
      <x:c r="D1062" s="25">
        <x:f t="shared" si="57"/>
        <x:v>222900</x:v>
      </x:c>
      <x:c r="E1062" s="25">
        <x:f t="shared" si="58"/>
        <x:v>238800</x:v>
      </x:c>
      <x:c r="F1062" s="58">
        <x:f t="shared" si="59"/>
        <x:v>254200</x:v>
      </x:c>
    </x:row>
    <x:row r="1063">
      <x:c r="B1063" s="63">
        <x:v>1161</x:v>
      </x:c>
      <x:c r="C1063" s="57">
        <x:f t="shared" si="56"/>
        <x:v>201700</x:v>
      </x:c>
      <x:c r="D1063" s="25">
        <x:f t="shared" si="57"/>
        <x:v>222900</x:v>
      </x:c>
      <x:c r="E1063" s="25">
        <x:f t="shared" si="58"/>
        <x:v>238800</x:v>
      </x:c>
      <x:c r="F1063" s="58">
        <x:f t="shared" si="59"/>
        <x:v>254200</x:v>
      </x:c>
    </x:row>
    <x:row r="1064">
      <x:c r="B1064" s="63">
        <x:v>1162</x:v>
      </x:c>
      <x:c r="C1064" s="57">
        <x:f t="shared" si="56"/>
        <x:v>201700</x:v>
      </x:c>
      <x:c r="D1064" s="25">
        <x:f t="shared" si="57"/>
        <x:v>222900</x:v>
      </x:c>
      <x:c r="E1064" s="25">
        <x:f t="shared" si="58"/>
        <x:v>238800</x:v>
      </x:c>
      <x:c r="F1064" s="58">
        <x:f t="shared" si="59"/>
        <x:v>254200</x:v>
      </x:c>
    </x:row>
    <x:row r="1065">
      <x:c r="B1065" s="63">
        <x:v>1163</x:v>
      </x:c>
      <x:c r="C1065" s="57">
        <x:f t="shared" si="56"/>
        <x:v>201700</x:v>
      </x:c>
      <x:c r="D1065" s="25">
        <x:f t="shared" si="57"/>
        <x:v>222900</x:v>
      </x:c>
      <x:c r="E1065" s="25">
        <x:f t="shared" si="58"/>
        <x:v>238800</x:v>
      </x:c>
      <x:c r="F1065" s="58">
        <x:f t="shared" si="59"/>
        <x:v>254200</x:v>
      </x:c>
    </x:row>
    <x:row r="1066">
      <x:c r="B1066" s="63">
        <x:v>1164</x:v>
      </x:c>
      <x:c r="C1066" s="57">
        <x:f t="shared" si="56"/>
        <x:v>201700</x:v>
      </x:c>
      <x:c r="D1066" s="25">
        <x:f t="shared" si="57"/>
        <x:v>222900</x:v>
      </x:c>
      <x:c r="E1066" s="25">
        <x:f t="shared" si="58"/>
        <x:v>238800</x:v>
      </x:c>
      <x:c r="F1066" s="58">
        <x:f t="shared" si="59"/>
        <x:v>254200</x:v>
      </x:c>
    </x:row>
    <x:row r="1067">
      <x:c r="B1067" s="63">
        <x:v>1165</x:v>
      </x:c>
      <x:c r="C1067" s="57">
        <x:f t="shared" si="56"/>
        <x:v>201700</x:v>
      </x:c>
      <x:c r="D1067" s="25">
        <x:f t="shared" si="57"/>
        <x:v>222900</x:v>
      </x:c>
      <x:c r="E1067" s="25">
        <x:f t="shared" si="58"/>
        <x:v>238800</x:v>
      </x:c>
      <x:c r="F1067" s="58">
        <x:f t="shared" si="59"/>
        <x:v>254200</x:v>
      </x:c>
    </x:row>
    <x:row r="1068">
      <x:c r="B1068" s="63">
        <x:v>1166</x:v>
      </x:c>
      <x:c r="C1068" s="57">
        <x:f t="shared" si="56"/>
        <x:v>201700</x:v>
      </x:c>
      <x:c r="D1068" s="25">
        <x:f t="shared" si="57"/>
        <x:v>222900</x:v>
      </x:c>
      <x:c r="E1068" s="25">
        <x:f t="shared" si="58"/>
        <x:v>238800</x:v>
      </x:c>
      <x:c r="F1068" s="58">
        <x:f t="shared" si="59"/>
        <x:v>254200</x:v>
      </x:c>
    </x:row>
    <x:row r="1069">
      <x:c r="B1069" s="63">
        <x:v>1167</x:v>
      </x:c>
      <x:c r="C1069" s="57">
        <x:f t="shared" si="56"/>
        <x:v>201700</x:v>
      </x:c>
      <x:c r="D1069" s="25">
        <x:f t="shared" si="57"/>
        <x:v>222900</x:v>
      </x:c>
      <x:c r="E1069" s="25">
        <x:f t="shared" si="58"/>
        <x:v>238800</x:v>
      </x:c>
      <x:c r="F1069" s="58">
        <x:f t="shared" si="59"/>
        <x:v>254200</x:v>
      </x:c>
    </x:row>
    <x:row r="1070">
      <x:c r="B1070" s="63">
        <x:v>1168</x:v>
      </x:c>
      <x:c r="C1070" s="57">
        <x:f t="shared" si="56"/>
        <x:v>201700</x:v>
      </x:c>
      <x:c r="D1070" s="25">
        <x:f t="shared" si="57"/>
        <x:v>222900</x:v>
      </x:c>
      <x:c r="E1070" s="25">
        <x:f t="shared" si="58"/>
        <x:v>238800</x:v>
      </x:c>
      <x:c r="F1070" s="58">
        <x:f t="shared" si="59"/>
        <x:v>254200</x:v>
      </x:c>
    </x:row>
    <x:row r="1071">
      <x:c r="B1071" s="63">
        <x:v>1169</x:v>
      </x:c>
      <x:c r="C1071" s="57">
        <x:f t="shared" si="56"/>
        <x:v>201700</x:v>
      </x:c>
      <x:c r="D1071" s="25">
        <x:f t="shared" si="57"/>
        <x:v>222900</x:v>
      </x:c>
      <x:c r="E1071" s="25">
        <x:f t="shared" si="58"/>
        <x:v>238800</x:v>
      </x:c>
      <x:c r="F1071" s="58">
        <x:f t="shared" si="59"/>
        <x:v>254200</x:v>
      </x:c>
    </x:row>
    <x:row r="1072">
      <x:c r="B1072" s="63">
        <x:v>1170</x:v>
      </x:c>
      <x:c r="C1072" s="57">
        <x:f t="shared" si="56"/>
        <x:v>201700</x:v>
      </x:c>
      <x:c r="D1072" s="25">
        <x:f t="shared" si="57"/>
        <x:v>222900</x:v>
      </x:c>
      <x:c r="E1072" s="25">
        <x:f t="shared" si="58"/>
        <x:v>238800</x:v>
      </x:c>
      <x:c r="F1072" s="58">
        <x:f t="shared" si="59"/>
        <x:v>254200</x:v>
      </x:c>
    </x:row>
    <x:row r="1073">
      <x:c r="B1073" s="63">
        <x:v>1171</x:v>
      </x:c>
      <x:c r="C1073" s="57">
        <x:f t="shared" si="56"/>
        <x:v>201700</x:v>
      </x:c>
      <x:c r="D1073" s="25">
        <x:f t="shared" si="57"/>
        <x:v>222900</x:v>
      </x:c>
      <x:c r="E1073" s="25">
        <x:f t="shared" si="58"/>
        <x:v>238800</x:v>
      </x:c>
      <x:c r="F1073" s="58">
        <x:f t="shared" si="59"/>
        <x:v>254200</x:v>
      </x:c>
    </x:row>
    <x:row r="1074">
      <x:c r="B1074" s="63">
        <x:v>1172</x:v>
      </x:c>
      <x:c r="C1074" s="57">
        <x:f t="shared" si="56"/>
        <x:v>201700</x:v>
      </x:c>
      <x:c r="D1074" s="25">
        <x:f t="shared" si="57"/>
        <x:v>222900</x:v>
      </x:c>
      <x:c r="E1074" s="25">
        <x:f t="shared" si="58"/>
        <x:v>238800</x:v>
      </x:c>
      <x:c r="F1074" s="58">
        <x:f t="shared" si="59"/>
        <x:v>254200</x:v>
      </x:c>
    </x:row>
    <x:row r="1075">
      <x:c r="B1075" s="63">
        <x:v>1173</x:v>
      </x:c>
      <x:c r="C1075" s="57">
        <x:f t="shared" si="56"/>
        <x:v>201700</x:v>
      </x:c>
      <x:c r="D1075" s="25">
        <x:f t="shared" si="57"/>
        <x:v>222900</x:v>
      </x:c>
      <x:c r="E1075" s="25">
        <x:f t="shared" si="58"/>
        <x:v>238800</x:v>
      </x:c>
      <x:c r="F1075" s="58">
        <x:f t="shared" si="59"/>
        <x:v>254200</x:v>
      </x:c>
    </x:row>
    <x:row r="1076">
      <x:c r="B1076" s="63">
        <x:v>1174</x:v>
      </x:c>
      <x:c r="C1076" s="57">
        <x:f t="shared" si="56"/>
        <x:v>201700</x:v>
      </x:c>
      <x:c r="D1076" s="25">
        <x:f t="shared" si="57"/>
        <x:v>222900</x:v>
      </x:c>
      <x:c r="E1076" s="25">
        <x:f t="shared" si="58"/>
        <x:v>238800</x:v>
      </x:c>
      <x:c r="F1076" s="58">
        <x:f t="shared" si="59"/>
        <x:v>254200</x:v>
      </x:c>
    </x:row>
    <x:row r="1077">
      <x:c r="B1077" s="63">
        <x:v>1175</x:v>
      </x:c>
      <x:c r="C1077" s="57">
        <x:f t="shared" si="56"/>
        <x:v>201700</x:v>
      </x:c>
      <x:c r="D1077" s="25">
        <x:f t="shared" si="57"/>
        <x:v>222900</x:v>
      </x:c>
      <x:c r="E1077" s="25">
        <x:f t="shared" si="58"/>
        <x:v>238800</x:v>
      </x:c>
      <x:c r="F1077" s="58">
        <x:f t="shared" si="59"/>
        <x:v>254200</x:v>
      </x:c>
    </x:row>
    <x:row r="1078">
      <x:c r="B1078" s="63">
        <x:v>1176</x:v>
      </x:c>
      <x:c r="C1078" s="57">
        <x:f t="shared" si="56"/>
        <x:v>201700</x:v>
      </x:c>
      <x:c r="D1078" s="25">
        <x:f t="shared" si="57"/>
        <x:v>222900</x:v>
      </x:c>
      <x:c r="E1078" s="25">
        <x:f t="shared" si="58"/>
        <x:v>238800</x:v>
      </x:c>
      <x:c r="F1078" s="58">
        <x:f t="shared" si="59"/>
        <x:v>254200</x:v>
      </x:c>
    </x:row>
    <x:row r="1079">
      <x:c r="B1079" s="63">
        <x:v>1177</x:v>
      </x:c>
      <x:c r="C1079" s="57">
        <x:f t="shared" si="56"/>
        <x:v>201700</x:v>
      </x:c>
      <x:c r="D1079" s="25">
        <x:f t="shared" si="57"/>
        <x:v>222900</x:v>
      </x:c>
      <x:c r="E1079" s="25">
        <x:f t="shared" si="58"/>
        <x:v>238800</x:v>
      </x:c>
      <x:c r="F1079" s="58">
        <x:f t="shared" si="59"/>
        <x:v>254200</x:v>
      </x:c>
    </x:row>
    <x:row r="1080">
      <x:c r="B1080" s="63">
        <x:v>1178</x:v>
      </x:c>
      <x:c r="C1080" s="57">
        <x:f t="shared" si="56"/>
        <x:v>201700</x:v>
      </x:c>
      <x:c r="D1080" s="25">
        <x:f t="shared" si="57"/>
        <x:v>222900</x:v>
      </x:c>
      <x:c r="E1080" s="25">
        <x:f t="shared" si="58"/>
        <x:v>238800</x:v>
      </x:c>
      <x:c r="F1080" s="58">
        <x:f t="shared" si="59"/>
        <x:v>254200</x:v>
      </x:c>
    </x:row>
    <x:row r="1081">
      <x:c r="B1081" s="63">
        <x:v>1179</x:v>
      </x:c>
      <x:c r="C1081" s="57">
        <x:f t="shared" si="56"/>
        <x:v>201700</x:v>
      </x:c>
      <x:c r="D1081" s="25">
        <x:f t="shared" si="57"/>
        <x:v>222900</x:v>
      </x:c>
      <x:c r="E1081" s="25">
        <x:f t="shared" si="58"/>
        <x:v>238800</x:v>
      </x:c>
      <x:c r="F1081" s="58">
        <x:f t="shared" si="59"/>
        <x:v>254200</x:v>
      </x:c>
    </x:row>
    <x:row r="1082">
      <x:c r="B1082" s="63">
        <x:v>1180</x:v>
      </x:c>
      <x:c r="C1082" s="57">
        <x:f t="shared" si="56"/>
        <x:v>201700</x:v>
      </x:c>
      <x:c r="D1082" s="25">
        <x:f t="shared" si="57"/>
        <x:v>222900</x:v>
      </x:c>
      <x:c r="E1082" s="25">
        <x:f t="shared" si="58"/>
        <x:v>238800</x:v>
      </x:c>
      <x:c r="F1082" s="58">
        <x:f t="shared" si="59"/>
        <x:v>254200</x:v>
      </x:c>
    </x:row>
    <x:row r="1083">
      <x:c r="B1083" s="63">
        <x:v>1181</x:v>
      </x:c>
      <x:c r="C1083" s="57">
        <x:f t="shared" si="56"/>
        <x:v>201700</x:v>
      </x:c>
      <x:c r="D1083" s="25">
        <x:f t="shared" si="57"/>
        <x:v>222900</x:v>
      </x:c>
      <x:c r="E1083" s="25">
        <x:f t="shared" si="58"/>
        <x:v>238800</x:v>
      </x:c>
      <x:c r="F1083" s="58">
        <x:f t="shared" si="59"/>
        <x:v>254200</x:v>
      </x:c>
    </x:row>
    <x:row r="1084">
      <x:c r="B1084" s="63">
        <x:v>1182</x:v>
      </x:c>
      <x:c r="C1084" s="57">
        <x:f t="shared" si="56"/>
        <x:v>201700</x:v>
      </x:c>
      <x:c r="D1084" s="25">
        <x:f t="shared" si="57"/>
        <x:v>222900</x:v>
      </x:c>
      <x:c r="E1084" s="25">
        <x:f t="shared" si="58"/>
        <x:v>238800</x:v>
      </x:c>
      <x:c r="F1084" s="58">
        <x:f t="shared" si="59"/>
        <x:v>254200</x:v>
      </x:c>
    </x:row>
    <x:row r="1085">
      <x:c r="B1085" s="63">
        <x:v>1183</x:v>
      </x:c>
      <x:c r="C1085" s="57">
        <x:f t="shared" si="56"/>
        <x:v>201700</x:v>
      </x:c>
      <x:c r="D1085" s="25">
        <x:f t="shared" si="57"/>
        <x:v>222900</x:v>
      </x:c>
      <x:c r="E1085" s="25">
        <x:f t="shared" si="58"/>
        <x:v>238800</x:v>
      </x:c>
      <x:c r="F1085" s="58">
        <x:f t="shared" si="59"/>
        <x:v>254200</x:v>
      </x:c>
    </x:row>
    <x:row r="1086">
      <x:c r="B1086" s="63">
        <x:v>1184</x:v>
      </x:c>
      <x:c r="C1086" s="57">
        <x:f t="shared" si="56"/>
        <x:v>201700</x:v>
      </x:c>
      <x:c r="D1086" s="25">
        <x:f t="shared" si="57"/>
        <x:v>222900</x:v>
      </x:c>
      <x:c r="E1086" s="25">
        <x:f t="shared" si="58"/>
        <x:v>238800</x:v>
      </x:c>
      <x:c r="F1086" s="58">
        <x:f t="shared" si="59"/>
        <x:v>254200</x:v>
      </x:c>
    </x:row>
    <x:row r="1087">
      <x:c r="B1087" s="63">
        <x:v>1185</x:v>
      </x:c>
      <x:c r="C1087" s="57">
        <x:f t="shared" si="56"/>
        <x:v>201700</x:v>
      </x:c>
      <x:c r="D1087" s="25">
        <x:f t="shared" si="57"/>
        <x:v>222900</x:v>
      </x:c>
      <x:c r="E1087" s="25">
        <x:f t="shared" si="58"/>
        <x:v>238800</x:v>
      </x:c>
      <x:c r="F1087" s="58">
        <x:f t="shared" si="59"/>
        <x:v>254200</x:v>
      </x:c>
    </x:row>
    <x:row r="1088">
      <x:c r="B1088" s="63">
        <x:v>1186</x:v>
      </x:c>
      <x:c r="C1088" s="57">
        <x:f t="shared" si="56"/>
        <x:v>201700</x:v>
      </x:c>
      <x:c r="D1088" s="25">
        <x:f t="shared" si="57"/>
        <x:v>222900</x:v>
      </x:c>
      <x:c r="E1088" s="25">
        <x:f t="shared" si="58"/>
        <x:v>238800</x:v>
      </x:c>
      <x:c r="F1088" s="58">
        <x:f t="shared" si="59"/>
        <x:v>254200</x:v>
      </x:c>
    </x:row>
    <x:row r="1089">
      <x:c r="B1089" s="63">
        <x:v>1187</x:v>
      </x:c>
      <x:c r="C1089" s="57">
        <x:f t="shared" si="56"/>
        <x:v>201700</x:v>
      </x:c>
      <x:c r="D1089" s="25">
        <x:f t="shared" si="57"/>
        <x:v>222900</x:v>
      </x:c>
      <x:c r="E1089" s="25">
        <x:f t="shared" si="58"/>
        <x:v>238800</x:v>
      </x:c>
      <x:c r="F1089" s="58">
        <x:f t="shared" si="59"/>
        <x:v>254200</x:v>
      </x:c>
    </x:row>
    <x:row r="1090">
      <x:c r="B1090" s="63">
        <x:v>1188</x:v>
      </x:c>
      <x:c r="C1090" s="57">
        <x:f t="shared" si="56"/>
        <x:v>201700</x:v>
      </x:c>
      <x:c r="D1090" s="25">
        <x:f t="shared" si="57"/>
        <x:v>222900</x:v>
      </x:c>
      <x:c r="E1090" s="25">
        <x:f t="shared" si="58"/>
        <x:v>238800</x:v>
      </x:c>
      <x:c r="F1090" s="58">
        <x:f t="shared" si="59"/>
        <x:v>254200</x:v>
      </x:c>
    </x:row>
    <x:row r="1091">
      <x:c r="B1091" s="63">
        <x:v>1189</x:v>
      </x:c>
      <x:c r="C1091" s="57">
        <x:f t="shared" si="56"/>
        <x:v>201700</x:v>
      </x:c>
      <x:c r="D1091" s="25">
        <x:f t="shared" si="57"/>
        <x:v>222900</x:v>
      </x:c>
      <x:c r="E1091" s="25">
        <x:f t="shared" si="58"/>
        <x:v>238800</x:v>
      </x:c>
      <x:c r="F1091" s="58">
        <x:f t="shared" si="59"/>
        <x:v>254200</x:v>
      </x:c>
    </x:row>
    <x:row r="1092">
      <x:c r="B1092" s="63">
        <x:v>1190</x:v>
      </x:c>
      <x:c r="C1092" s="57">
        <x:f t="shared" si="56"/>
        <x:v>201700</x:v>
      </x:c>
      <x:c r="D1092" s="25">
        <x:f t="shared" si="57"/>
        <x:v>222900</x:v>
      </x:c>
      <x:c r="E1092" s="25">
        <x:f t="shared" si="58"/>
        <x:v>238800</x:v>
      </x:c>
      <x:c r="F1092" s="58">
        <x:f t="shared" si="59"/>
        <x:v>254200</x:v>
      </x:c>
    </x:row>
    <x:row r="1093">
      <x:c r="B1093" s="63">
        <x:v>1191</x:v>
      </x:c>
      <x:c r="C1093" s="57">
        <x:f t="shared" si="56"/>
        <x:v>201700</x:v>
      </x:c>
      <x:c r="D1093" s="25">
        <x:f t="shared" si="57"/>
        <x:v>222900</x:v>
      </x:c>
      <x:c r="E1093" s="25">
        <x:f t="shared" si="58"/>
        <x:v>238800</x:v>
      </x:c>
      <x:c r="F1093" s="58">
        <x:f t="shared" si="59"/>
        <x:v>254200</x:v>
      </x:c>
    </x:row>
    <x:row r="1094">
      <x:c r="B1094" s="63">
        <x:v>1192</x:v>
      </x:c>
      <x:c r="C1094" s="57">
        <x:f t="shared" si="56"/>
        <x:v>201700</x:v>
      </x:c>
      <x:c r="D1094" s="25">
        <x:f t="shared" si="57"/>
        <x:v>222900</x:v>
      </x:c>
      <x:c r="E1094" s="25">
        <x:f t="shared" si="58"/>
        <x:v>238800</x:v>
      </x:c>
      <x:c r="F1094" s="58">
        <x:f t="shared" si="59"/>
        <x:v>254200</x:v>
      </x:c>
    </x:row>
    <x:row r="1095">
      <x:c r="B1095" s="63">
        <x:v>1193</x:v>
      </x:c>
      <x:c r="C1095" s="57">
        <x:f t="shared" si="56"/>
        <x:v>201700</x:v>
      </x:c>
      <x:c r="D1095" s="25">
        <x:f t="shared" si="57"/>
        <x:v>222900</x:v>
      </x:c>
      <x:c r="E1095" s="25">
        <x:f t="shared" si="58"/>
        <x:v>238800</x:v>
      </x:c>
      <x:c r="F1095" s="58">
        <x:f t="shared" si="59"/>
        <x:v>254200</x:v>
      </x:c>
    </x:row>
    <x:row r="1096">
      <x:c r="B1096" s="63">
        <x:v>1194</x:v>
      </x:c>
      <x:c r="C1096" s="57">
        <x:f t="shared" si="56"/>
        <x:v>201700</x:v>
      </x:c>
      <x:c r="D1096" s="25">
        <x:f t="shared" si="57"/>
        <x:v>222900</x:v>
      </x:c>
      <x:c r="E1096" s="25">
        <x:f t="shared" si="58"/>
        <x:v>238800</x:v>
      </x:c>
      <x:c r="F1096" s="58">
        <x:f t="shared" si="59"/>
        <x:v>254200</x:v>
      </x:c>
    </x:row>
    <x:row r="1097">
      <x:c r="B1097" s="63">
        <x:v>1195</x:v>
      </x:c>
      <x:c r="C1097" s="57">
        <x:f t="shared" si="56"/>
        <x:v>201700</x:v>
      </x:c>
      <x:c r="D1097" s="25">
        <x:f t="shared" si="57"/>
        <x:v>222900</x:v>
      </x:c>
      <x:c r="E1097" s="25">
        <x:f t="shared" si="58"/>
        <x:v>238800</x:v>
      </x:c>
      <x:c r="F1097" s="58">
        <x:f t="shared" si="59"/>
        <x:v>254200</x:v>
      </x:c>
    </x:row>
    <x:row r="1098">
      <x:c r="B1098" s="63">
        <x:v>1196</x:v>
      </x:c>
      <x:c r="C1098" s="57">
        <x:f t="shared" si="56"/>
        <x:v>201700</x:v>
      </x:c>
      <x:c r="D1098" s="25">
        <x:f t="shared" si="57"/>
        <x:v>222900</x:v>
      </x:c>
      <x:c r="E1098" s="25">
        <x:f t="shared" si="58"/>
        <x:v>238800</x:v>
      </x:c>
      <x:c r="F1098" s="58">
        <x:f t="shared" si="59"/>
        <x:v>254200</x:v>
      </x:c>
    </x:row>
    <x:row r="1099">
      <x:c r="B1099" s="63">
        <x:v>1197</x:v>
      </x:c>
      <x:c r="C1099" s="57">
        <x:f t="shared" si="56"/>
        <x:v>201700</x:v>
      </x:c>
      <x:c r="D1099" s="25">
        <x:f t="shared" si="57"/>
        <x:v>222900</x:v>
      </x:c>
      <x:c r="E1099" s="25">
        <x:f t="shared" si="58"/>
        <x:v>238800</x:v>
      </x:c>
      <x:c r="F1099" s="58">
        <x:f t="shared" si="59"/>
        <x:v>254200</x:v>
      </x:c>
    </x:row>
    <x:row r="1100">
      <x:c r="B1100" s="63">
        <x:v>1198</x:v>
      </x:c>
      <x:c r="C1100" s="57">
        <x:f t="shared" si="56"/>
        <x:v>201700</x:v>
      </x:c>
      <x:c r="D1100" s="25">
        <x:f t="shared" si="57"/>
        <x:v>222900</x:v>
      </x:c>
      <x:c r="E1100" s="25">
        <x:f t="shared" si="58"/>
        <x:v>238800</x:v>
      </x:c>
      <x:c r="F1100" s="58">
        <x:f t="shared" si="59"/>
        <x:v>254200</x:v>
      </x:c>
    </x:row>
    <x:row r="1101">
      <x:c r="B1101" s="63">
        <x:v>1199</x:v>
      </x:c>
      <x:c r="C1101" s="57">
        <x:f t="shared" si="56"/>
        <x:v>201700</x:v>
      </x:c>
      <x:c r="D1101" s="25">
        <x:f t="shared" si="57"/>
        <x:v>222900</x:v>
      </x:c>
      <x:c r="E1101" s="25">
        <x:f t="shared" si="58"/>
        <x:v>238800</x:v>
      </x:c>
      <x:c r="F1101" s="58">
        <x:f t="shared" si="59"/>
        <x:v>254200</x:v>
      </x:c>
    </x:row>
    <x:row r="1102">
      <x:c r="B1102" s="63">
        <x:v>1200</x:v>
      </x:c>
      <x:c r="C1102" s="57">
        <x:f t="shared" si="56"/>
        <x:v>201700</x:v>
      </x:c>
      <x:c r="D1102" s="25">
        <x:f t="shared" si="57"/>
        <x:v>222900</x:v>
      </x:c>
      <x:c r="E1102" s="25">
        <x:f t="shared" si="58"/>
        <x:v>238800</x:v>
      </x:c>
      <x:c r="F1102" s="58">
        <x:f t="shared" si="59"/>
        <x:v>254200</x:v>
      </x:c>
    </x:row>
    <x:row r="1103">
      <x:c r="B1103" s="63">
        <x:v>1201</x:v>
      </x:c>
      <x:c r="C1103" s="57" t="n">
        <x:f>$C$402+$J$17</x:f>
        <x:v>209000</x:v>
      </x:c>
      <x:c r="D1103" s="25" t="n">
        <x:f>$D$402+$K$17</x:f>
        <x:v>231000</x:v>
      </x:c>
      <x:c r="E1103" s="25" t="n">
        <x:f>$E$402+$L$17</x:f>
        <x:v>247500</x:v>
      </x:c>
      <x:c r="F1103" s="58" t="n">
        <x:f>$F$402+$M$17</x:f>
        <x:v>263500</x:v>
      </x:c>
    </x:row>
    <x:row r="1104">
      <x:c r="B1104" s="63">
        <x:v>1202</x:v>
      </x:c>
      <x:c r="C1104" s="57" t="n">
        <x:f t="shared" ref="C1104:C1152" si="60">$C$402+$J$17</x:f>
        <x:v>209000</x:v>
      </x:c>
      <x:c r="D1104" s="25" t="n">
        <x:f t="shared" ref="D1104:D1152" si="61">$D$402+$K$17</x:f>
        <x:v>231000</x:v>
      </x:c>
      <x:c r="E1104" s="25" t="n">
        <x:f t="shared" ref="E1104:E1152" si="62">$E$402+$L$17</x:f>
        <x:v>247500</x:v>
      </x:c>
      <x:c r="F1104" s="58" t="n">
        <x:f t="shared" ref="F1104:F1152" si="63">$F$402+$M$17</x:f>
        <x:v>263500</x:v>
      </x:c>
    </x:row>
    <x:row r="1105">
      <x:c r="B1105" s="63">
        <x:v>1203</x:v>
      </x:c>
      <x:c r="C1105" s="57">
        <x:f t="shared" si="60"/>
        <x:v>209000</x:v>
      </x:c>
      <x:c r="D1105" s="25">
        <x:f t="shared" si="61"/>
        <x:v>231000</x:v>
      </x:c>
      <x:c r="E1105" s="25">
        <x:f t="shared" si="62"/>
        <x:v>247500</x:v>
      </x:c>
      <x:c r="F1105" s="58">
        <x:f t="shared" si="63"/>
        <x:v>263500</x:v>
      </x:c>
    </x:row>
    <x:row r="1106">
      <x:c r="B1106" s="63">
        <x:v>1204</x:v>
      </x:c>
      <x:c r="C1106" s="57">
        <x:f t="shared" si="60"/>
        <x:v>209000</x:v>
      </x:c>
      <x:c r="D1106" s="25">
        <x:f t="shared" si="61"/>
        <x:v>231000</x:v>
      </x:c>
      <x:c r="E1106" s="25">
        <x:f t="shared" si="62"/>
        <x:v>247500</x:v>
      </x:c>
      <x:c r="F1106" s="58">
        <x:f t="shared" si="63"/>
        <x:v>263500</x:v>
      </x:c>
    </x:row>
    <x:row r="1107">
      <x:c r="B1107" s="63">
        <x:v>1205</x:v>
      </x:c>
      <x:c r="C1107" s="57">
        <x:f t="shared" si="60"/>
        <x:v>209000</x:v>
      </x:c>
      <x:c r="D1107" s="25">
        <x:f t="shared" si="61"/>
        <x:v>231000</x:v>
      </x:c>
      <x:c r="E1107" s="25">
        <x:f t="shared" si="62"/>
        <x:v>247500</x:v>
      </x:c>
      <x:c r="F1107" s="58">
        <x:f t="shared" si="63"/>
        <x:v>263500</x:v>
      </x:c>
    </x:row>
    <x:row r="1108">
      <x:c r="B1108" s="63">
        <x:v>1206</x:v>
      </x:c>
      <x:c r="C1108" s="57">
        <x:f t="shared" si="60"/>
        <x:v>209000</x:v>
      </x:c>
      <x:c r="D1108" s="25">
        <x:f t="shared" si="61"/>
        <x:v>231000</x:v>
      </x:c>
      <x:c r="E1108" s="25">
        <x:f t="shared" si="62"/>
        <x:v>247500</x:v>
      </x:c>
      <x:c r="F1108" s="58">
        <x:f t="shared" si="63"/>
        <x:v>263500</x:v>
      </x:c>
    </x:row>
    <x:row r="1109">
      <x:c r="B1109" s="63">
        <x:v>1207</x:v>
      </x:c>
      <x:c r="C1109" s="57">
        <x:f t="shared" si="60"/>
        <x:v>209000</x:v>
      </x:c>
      <x:c r="D1109" s="25">
        <x:f t="shared" si="61"/>
        <x:v>231000</x:v>
      </x:c>
      <x:c r="E1109" s="25">
        <x:f t="shared" si="62"/>
        <x:v>247500</x:v>
      </x:c>
      <x:c r="F1109" s="58">
        <x:f t="shared" si="63"/>
        <x:v>263500</x:v>
      </x:c>
    </x:row>
    <x:row r="1110">
      <x:c r="B1110" s="63">
        <x:v>1208</x:v>
      </x:c>
      <x:c r="C1110" s="57">
        <x:f t="shared" si="60"/>
        <x:v>209000</x:v>
      </x:c>
      <x:c r="D1110" s="25">
        <x:f t="shared" si="61"/>
        <x:v>231000</x:v>
      </x:c>
      <x:c r="E1110" s="25">
        <x:f t="shared" si="62"/>
        <x:v>247500</x:v>
      </x:c>
      <x:c r="F1110" s="58">
        <x:f t="shared" si="63"/>
        <x:v>263500</x:v>
      </x:c>
    </x:row>
    <x:row r="1111">
      <x:c r="B1111" s="63">
        <x:v>1209</x:v>
      </x:c>
      <x:c r="C1111" s="57">
        <x:f t="shared" si="60"/>
        <x:v>209000</x:v>
      </x:c>
      <x:c r="D1111" s="25">
        <x:f t="shared" si="61"/>
        <x:v>231000</x:v>
      </x:c>
      <x:c r="E1111" s="25">
        <x:f t="shared" si="62"/>
        <x:v>247500</x:v>
      </x:c>
      <x:c r="F1111" s="58">
        <x:f t="shared" si="63"/>
        <x:v>263500</x:v>
      </x:c>
    </x:row>
    <x:row r="1112">
      <x:c r="B1112" s="63">
        <x:v>1210</x:v>
      </x:c>
      <x:c r="C1112" s="57">
        <x:f t="shared" si="60"/>
        <x:v>209000</x:v>
      </x:c>
      <x:c r="D1112" s="25">
        <x:f t="shared" si="61"/>
        <x:v>231000</x:v>
      </x:c>
      <x:c r="E1112" s="25">
        <x:f t="shared" si="62"/>
        <x:v>247500</x:v>
      </x:c>
      <x:c r="F1112" s="58">
        <x:f t="shared" si="63"/>
        <x:v>263500</x:v>
      </x:c>
    </x:row>
    <x:row r="1113">
      <x:c r="B1113" s="63">
        <x:v>1211</x:v>
      </x:c>
      <x:c r="C1113" s="57">
        <x:f t="shared" si="60"/>
        <x:v>209000</x:v>
      </x:c>
      <x:c r="D1113" s="25">
        <x:f t="shared" si="61"/>
        <x:v>231000</x:v>
      </x:c>
      <x:c r="E1113" s="25">
        <x:f t="shared" si="62"/>
        <x:v>247500</x:v>
      </x:c>
      <x:c r="F1113" s="58">
        <x:f t="shared" si="63"/>
        <x:v>263500</x:v>
      </x:c>
    </x:row>
    <x:row r="1114">
      <x:c r="B1114" s="63">
        <x:v>1212</x:v>
      </x:c>
      <x:c r="C1114" s="57">
        <x:f t="shared" si="60"/>
        <x:v>209000</x:v>
      </x:c>
      <x:c r="D1114" s="25">
        <x:f t="shared" si="61"/>
        <x:v>231000</x:v>
      </x:c>
      <x:c r="E1114" s="25">
        <x:f t="shared" si="62"/>
        <x:v>247500</x:v>
      </x:c>
      <x:c r="F1114" s="58">
        <x:f t="shared" si="63"/>
        <x:v>263500</x:v>
      </x:c>
    </x:row>
    <x:row r="1115">
      <x:c r="B1115" s="63">
        <x:v>1213</x:v>
      </x:c>
      <x:c r="C1115" s="57">
        <x:f t="shared" si="60"/>
        <x:v>209000</x:v>
      </x:c>
      <x:c r="D1115" s="25">
        <x:f t="shared" si="61"/>
        <x:v>231000</x:v>
      </x:c>
      <x:c r="E1115" s="25">
        <x:f t="shared" si="62"/>
        <x:v>247500</x:v>
      </x:c>
      <x:c r="F1115" s="58">
        <x:f t="shared" si="63"/>
        <x:v>263500</x:v>
      </x:c>
    </x:row>
    <x:row r="1116">
      <x:c r="B1116" s="63">
        <x:v>1214</x:v>
      </x:c>
      <x:c r="C1116" s="57">
        <x:f t="shared" si="60"/>
        <x:v>209000</x:v>
      </x:c>
      <x:c r="D1116" s="25">
        <x:f t="shared" si="61"/>
        <x:v>231000</x:v>
      </x:c>
      <x:c r="E1116" s="25">
        <x:f t="shared" si="62"/>
        <x:v>247500</x:v>
      </x:c>
      <x:c r="F1116" s="58">
        <x:f t="shared" si="63"/>
        <x:v>263500</x:v>
      </x:c>
    </x:row>
    <x:row r="1117">
      <x:c r="B1117" s="63">
        <x:v>1215</x:v>
      </x:c>
      <x:c r="C1117" s="57">
        <x:f t="shared" si="60"/>
        <x:v>209000</x:v>
      </x:c>
      <x:c r="D1117" s="25">
        <x:f t="shared" si="61"/>
        <x:v>231000</x:v>
      </x:c>
      <x:c r="E1117" s="25">
        <x:f t="shared" si="62"/>
        <x:v>247500</x:v>
      </x:c>
      <x:c r="F1117" s="58">
        <x:f t="shared" si="63"/>
        <x:v>263500</x:v>
      </x:c>
    </x:row>
    <x:row r="1118">
      <x:c r="B1118" s="63">
        <x:v>1216</x:v>
      </x:c>
      <x:c r="C1118" s="57">
        <x:f t="shared" si="60"/>
        <x:v>209000</x:v>
      </x:c>
      <x:c r="D1118" s="25">
        <x:f t="shared" si="61"/>
        <x:v>231000</x:v>
      </x:c>
      <x:c r="E1118" s="25">
        <x:f t="shared" si="62"/>
        <x:v>247500</x:v>
      </x:c>
      <x:c r="F1118" s="58">
        <x:f t="shared" si="63"/>
        <x:v>263500</x:v>
      </x:c>
    </x:row>
    <x:row r="1119">
      <x:c r="B1119" s="63">
        <x:v>1217</x:v>
      </x:c>
      <x:c r="C1119" s="57">
        <x:f t="shared" si="60"/>
        <x:v>209000</x:v>
      </x:c>
      <x:c r="D1119" s="25">
        <x:f t="shared" si="61"/>
        <x:v>231000</x:v>
      </x:c>
      <x:c r="E1119" s="25">
        <x:f t="shared" si="62"/>
        <x:v>247500</x:v>
      </x:c>
      <x:c r="F1119" s="58">
        <x:f t="shared" si="63"/>
        <x:v>263500</x:v>
      </x:c>
    </x:row>
    <x:row r="1120">
      <x:c r="B1120" s="63">
        <x:v>1218</x:v>
      </x:c>
      <x:c r="C1120" s="57">
        <x:f t="shared" si="60"/>
        <x:v>209000</x:v>
      </x:c>
      <x:c r="D1120" s="25">
        <x:f t="shared" si="61"/>
        <x:v>231000</x:v>
      </x:c>
      <x:c r="E1120" s="25">
        <x:f t="shared" si="62"/>
        <x:v>247500</x:v>
      </x:c>
      <x:c r="F1120" s="58">
        <x:f t="shared" si="63"/>
        <x:v>263500</x:v>
      </x:c>
    </x:row>
    <x:row r="1121">
      <x:c r="B1121" s="63">
        <x:v>1219</x:v>
      </x:c>
      <x:c r="C1121" s="57">
        <x:f t="shared" si="60"/>
        <x:v>209000</x:v>
      </x:c>
      <x:c r="D1121" s="25">
        <x:f t="shared" si="61"/>
        <x:v>231000</x:v>
      </x:c>
      <x:c r="E1121" s="25">
        <x:f t="shared" si="62"/>
        <x:v>247500</x:v>
      </x:c>
      <x:c r="F1121" s="58">
        <x:f t="shared" si="63"/>
        <x:v>263500</x:v>
      </x:c>
    </x:row>
    <x:row r="1122">
      <x:c r="B1122" s="63">
        <x:v>1220</x:v>
      </x:c>
      <x:c r="C1122" s="57">
        <x:f t="shared" si="60"/>
        <x:v>209000</x:v>
      </x:c>
      <x:c r="D1122" s="25">
        <x:f t="shared" si="61"/>
        <x:v>231000</x:v>
      </x:c>
      <x:c r="E1122" s="25">
        <x:f t="shared" si="62"/>
        <x:v>247500</x:v>
      </x:c>
      <x:c r="F1122" s="58">
        <x:f t="shared" si="63"/>
        <x:v>263500</x:v>
      </x:c>
    </x:row>
    <x:row r="1123">
      <x:c r="B1123" s="63">
        <x:v>1221</x:v>
      </x:c>
      <x:c r="C1123" s="57">
        <x:f t="shared" si="60"/>
        <x:v>209000</x:v>
      </x:c>
      <x:c r="D1123" s="25">
        <x:f t="shared" si="61"/>
        <x:v>231000</x:v>
      </x:c>
      <x:c r="E1123" s="25">
        <x:f t="shared" si="62"/>
        <x:v>247500</x:v>
      </x:c>
      <x:c r="F1123" s="58">
        <x:f t="shared" si="63"/>
        <x:v>263500</x:v>
      </x:c>
    </x:row>
    <x:row r="1124">
      <x:c r="B1124" s="63">
        <x:v>1222</x:v>
      </x:c>
      <x:c r="C1124" s="57">
        <x:f t="shared" si="60"/>
        <x:v>209000</x:v>
      </x:c>
      <x:c r="D1124" s="25">
        <x:f t="shared" si="61"/>
        <x:v>231000</x:v>
      </x:c>
      <x:c r="E1124" s="25">
        <x:f t="shared" si="62"/>
        <x:v>247500</x:v>
      </x:c>
      <x:c r="F1124" s="58">
        <x:f t="shared" si="63"/>
        <x:v>263500</x:v>
      </x:c>
    </x:row>
    <x:row r="1125">
      <x:c r="B1125" s="63">
        <x:v>1223</x:v>
      </x:c>
      <x:c r="C1125" s="57">
        <x:f t="shared" si="60"/>
        <x:v>209000</x:v>
      </x:c>
      <x:c r="D1125" s="25">
        <x:f t="shared" si="61"/>
        <x:v>231000</x:v>
      </x:c>
      <x:c r="E1125" s="25">
        <x:f t="shared" si="62"/>
        <x:v>247500</x:v>
      </x:c>
      <x:c r="F1125" s="58">
        <x:f t="shared" si="63"/>
        <x:v>263500</x:v>
      </x:c>
    </x:row>
    <x:row r="1126">
      <x:c r="B1126" s="63">
        <x:v>1224</x:v>
      </x:c>
      <x:c r="C1126" s="57">
        <x:f t="shared" si="60"/>
        <x:v>209000</x:v>
      </x:c>
      <x:c r="D1126" s="25">
        <x:f t="shared" si="61"/>
        <x:v>231000</x:v>
      </x:c>
      <x:c r="E1126" s="25">
        <x:f t="shared" si="62"/>
        <x:v>247500</x:v>
      </x:c>
      <x:c r="F1126" s="58">
        <x:f t="shared" si="63"/>
        <x:v>263500</x:v>
      </x:c>
    </x:row>
    <x:row r="1127">
      <x:c r="B1127" s="63">
        <x:v>1225</x:v>
      </x:c>
      <x:c r="C1127" s="57">
        <x:f t="shared" si="60"/>
        <x:v>209000</x:v>
      </x:c>
      <x:c r="D1127" s="25">
        <x:f t="shared" si="61"/>
        <x:v>231000</x:v>
      </x:c>
      <x:c r="E1127" s="25">
        <x:f t="shared" si="62"/>
        <x:v>247500</x:v>
      </x:c>
      <x:c r="F1127" s="58">
        <x:f t="shared" si="63"/>
        <x:v>263500</x:v>
      </x:c>
    </x:row>
    <x:row r="1128">
      <x:c r="B1128" s="63">
        <x:v>1226</x:v>
      </x:c>
      <x:c r="C1128" s="57">
        <x:f t="shared" si="60"/>
        <x:v>209000</x:v>
      </x:c>
      <x:c r="D1128" s="25">
        <x:f t="shared" si="61"/>
        <x:v>231000</x:v>
      </x:c>
      <x:c r="E1128" s="25">
        <x:f t="shared" si="62"/>
        <x:v>247500</x:v>
      </x:c>
      <x:c r="F1128" s="58">
        <x:f t="shared" si="63"/>
        <x:v>263500</x:v>
      </x:c>
    </x:row>
    <x:row r="1129">
      <x:c r="B1129" s="63">
        <x:v>1227</x:v>
      </x:c>
      <x:c r="C1129" s="57">
        <x:f t="shared" si="60"/>
        <x:v>209000</x:v>
      </x:c>
      <x:c r="D1129" s="25">
        <x:f t="shared" si="61"/>
        <x:v>231000</x:v>
      </x:c>
      <x:c r="E1129" s="25">
        <x:f t="shared" si="62"/>
        <x:v>247500</x:v>
      </x:c>
      <x:c r="F1129" s="58">
        <x:f t="shared" si="63"/>
        <x:v>263500</x:v>
      </x:c>
    </x:row>
    <x:row r="1130">
      <x:c r="B1130" s="63">
        <x:v>1228</x:v>
      </x:c>
      <x:c r="C1130" s="57">
        <x:f t="shared" si="60"/>
        <x:v>209000</x:v>
      </x:c>
      <x:c r="D1130" s="25">
        <x:f t="shared" si="61"/>
        <x:v>231000</x:v>
      </x:c>
      <x:c r="E1130" s="25">
        <x:f t="shared" si="62"/>
        <x:v>247500</x:v>
      </x:c>
      <x:c r="F1130" s="58">
        <x:f t="shared" si="63"/>
        <x:v>263500</x:v>
      </x:c>
    </x:row>
    <x:row r="1131">
      <x:c r="B1131" s="63">
        <x:v>1229</x:v>
      </x:c>
      <x:c r="C1131" s="57">
        <x:f t="shared" si="60"/>
        <x:v>209000</x:v>
      </x:c>
      <x:c r="D1131" s="25">
        <x:f t="shared" si="61"/>
        <x:v>231000</x:v>
      </x:c>
      <x:c r="E1131" s="25">
        <x:f t="shared" si="62"/>
        <x:v>247500</x:v>
      </x:c>
      <x:c r="F1131" s="58">
        <x:f t="shared" si="63"/>
        <x:v>263500</x:v>
      </x:c>
    </x:row>
    <x:row r="1132">
      <x:c r="B1132" s="63">
        <x:v>1230</x:v>
      </x:c>
      <x:c r="C1132" s="57">
        <x:f t="shared" si="60"/>
        <x:v>209000</x:v>
      </x:c>
      <x:c r="D1132" s="25">
        <x:f t="shared" si="61"/>
        <x:v>231000</x:v>
      </x:c>
      <x:c r="E1132" s="25">
        <x:f t="shared" si="62"/>
        <x:v>247500</x:v>
      </x:c>
      <x:c r="F1132" s="58">
        <x:f t="shared" si="63"/>
        <x:v>263500</x:v>
      </x:c>
    </x:row>
    <x:row r="1133">
      <x:c r="B1133" s="63">
        <x:v>1231</x:v>
      </x:c>
      <x:c r="C1133" s="57">
        <x:f t="shared" si="60"/>
        <x:v>209000</x:v>
      </x:c>
      <x:c r="D1133" s="25">
        <x:f t="shared" si="61"/>
        <x:v>231000</x:v>
      </x:c>
      <x:c r="E1133" s="25">
        <x:f t="shared" si="62"/>
        <x:v>247500</x:v>
      </x:c>
      <x:c r="F1133" s="58">
        <x:f t="shared" si="63"/>
        <x:v>263500</x:v>
      </x:c>
    </x:row>
    <x:row r="1134">
      <x:c r="B1134" s="63">
        <x:v>1232</x:v>
      </x:c>
      <x:c r="C1134" s="57">
        <x:f t="shared" si="60"/>
        <x:v>209000</x:v>
      </x:c>
      <x:c r="D1134" s="25">
        <x:f t="shared" si="61"/>
        <x:v>231000</x:v>
      </x:c>
      <x:c r="E1134" s="25">
        <x:f t="shared" si="62"/>
        <x:v>247500</x:v>
      </x:c>
      <x:c r="F1134" s="58">
        <x:f t="shared" si="63"/>
        <x:v>263500</x:v>
      </x:c>
    </x:row>
    <x:row r="1135">
      <x:c r="B1135" s="63">
        <x:v>1233</x:v>
      </x:c>
      <x:c r="C1135" s="57">
        <x:f t="shared" si="60"/>
        <x:v>209000</x:v>
      </x:c>
      <x:c r="D1135" s="25">
        <x:f t="shared" si="61"/>
        <x:v>231000</x:v>
      </x:c>
      <x:c r="E1135" s="25">
        <x:f t="shared" si="62"/>
        <x:v>247500</x:v>
      </x:c>
      <x:c r="F1135" s="58">
        <x:f t="shared" si="63"/>
        <x:v>263500</x:v>
      </x:c>
    </x:row>
    <x:row r="1136">
      <x:c r="B1136" s="63">
        <x:v>1234</x:v>
      </x:c>
      <x:c r="C1136" s="57">
        <x:f t="shared" si="60"/>
        <x:v>209000</x:v>
      </x:c>
      <x:c r="D1136" s="25">
        <x:f t="shared" si="61"/>
        <x:v>231000</x:v>
      </x:c>
      <x:c r="E1136" s="25">
        <x:f t="shared" si="62"/>
        <x:v>247500</x:v>
      </x:c>
      <x:c r="F1136" s="58">
        <x:f t="shared" si="63"/>
        <x:v>263500</x:v>
      </x:c>
    </x:row>
    <x:row r="1137">
      <x:c r="B1137" s="63">
        <x:v>1235</x:v>
      </x:c>
      <x:c r="C1137" s="57">
        <x:f t="shared" si="60"/>
        <x:v>209000</x:v>
      </x:c>
      <x:c r="D1137" s="25">
        <x:f t="shared" si="61"/>
        <x:v>231000</x:v>
      </x:c>
      <x:c r="E1137" s="25">
        <x:f t="shared" si="62"/>
        <x:v>247500</x:v>
      </x:c>
      <x:c r="F1137" s="58">
        <x:f t="shared" si="63"/>
        <x:v>263500</x:v>
      </x:c>
    </x:row>
    <x:row r="1138">
      <x:c r="B1138" s="63">
        <x:v>1236</x:v>
      </x:c>
      <x:c r="C1138" s="57">
        <x:f t="shared" si="60"/>
        <x:v>209000</x:v>
      </x:c>
      <x:c r="D1138" s="25">
        <x:f t="shared" si="61"/>
        <x:v>231000</x:v>
      </x:c>
      <x:c r="E1138" s="25">
        <x:f t="shared" si="62"/>
        <x:v>247500</x:v>
      </x:c>
      <x:c r="F1138" s="58">
        <x:f t="shared" si="63"/>
        <x:v>263500</x:v>
      </x:c>
    </x:row>
    <x:row r="1139">
      <x:c r="B1139" s="63">
        <x:v>1237</x:v>
      </x:c>
      <x:c r="C1139" s="57">
        <x:f t="shared" si="60"/>
        <x:v>209000</x:v>
      </x:c>
      <x:c r="D1139" s="25">
        <x:f t="shared" si="61"/>
        <x:v>231000</x:v>
      </x:c>
      <x:c r="E1139" s="25">
        <x:f t="shared" si="62"/>
        <x:v>247500</x:v>
      </x:c>
      <x:c r="F1139" s="58">
        <x:f t="shared" si="63"/>
        <x:v>263500</x:v>
      </x:c>
    </x:row>
    <x:row r="1140">
      <x:c r="B1140" s="63">
        <x:v>1238</x:v>
      </x:c>
      <x:c r="C1140" s="57">
        <x:f t="shared" si="60"/>
        <x:v>209000</x:v>
      </x:c>
      <x:c r="D1140" s="25">
        <x:f t="shared" si="61"/>
        <x:v>231000</x:v>
      </x:c>
      <x:c r="E1140" s="25">
        <x:f t="shared" si="62"/>
        <x:v>247500</x:v>
      </x:c>
      <x:c r="F1140" s="58">
        <x:f t="shared" si="63"/>
        <x:v>263500</x:v>
      </x:c>
    </x:row>
    <x:row r="1141">
      <x:c r="B1141" s="63">
        <x:v>1239</x:v>
      </x:c>
      <x:c r="C1141" s="57">
        <x:f t="shared" si="60"/>
        <x:v>209000</x:v>
      </x:c>
      <x:c r="D1141" s="25">
        <x:f t="shared" si="61"/>
        <x:v>231000</x:v>
      </x:c>
      <x:c r="E1141" s="25">
        <x:f t="shared" si="62"/>
        <x:v>247500</x:v>
      </x:c>
      <x:c r="F1141" s="58">
        <x:f t="shared" si="63"/>
        <x:v>263500</x:v>
      </x:c>
    </x:row>
    <x:row r="1142">
      <x:c r="B1142" s="63">
        <x:v>1240</x:v>
      </x:c>
      <x:c r="C1142" s="57">
        <x:f t="shared" si="60"/>
        <x:v>209000</x:v>
      </x:c>
      <x:c r="D1142" s="25">
        <x:f t="shared" si="61"/>
        <x:v>231000</x:v>
      </x:c>
      <x:c r="E1142" s="25">
        <x:f t="shared" si="62"/>
        <x:v>247500</x:v>
      </x:c>
      <x:c r="F1142" s="58">
        <x:f t="shared" si="63"/>
        <x:v>263500</x:v>
      </x:c>
    </x:row>
    <x:row r="1143">
      <x:c r="B1143" s="63">
        <x:v>1241</x:v>
      </x:c>
      <x:c r="C1143" s="57">
        <x:f t="shared" si="60"/>
        <x:v>209000</x:v>
      </x:c>
      <x:c r="D1143" s="25">
        <x:f t="shared" si="61"/>
        <x:v>231000</x:v>
      </x:c>
      <x:c r="E1143" s="25">
        <x:f t="shared" si="62"/>
        <x:v>247500</x:v>
      </x:c>
      <x:c r="F1143" s="58">
        <x:f t="shared" si="63"/>
        <x:v>263500</x:v>
      </x:c>
    </x:row>
    <x:row r="1144">
      <x:c r="B1144" s="63">
        <x:v>1242</x:v>
      </x:c>
      <x:c r="C1144" s="57">
        <x:f t="shared" si="60"/>
        <x:v>209000</x:v>
      </x:c>
      <x:c r="D1144" s="25">
        <x:f t="shared" si="61"/>
        <x:v>231000</x:v>
      </x:c>
      <x:c r="E1144" s="25">
        <x:f t="shared" si="62"/>
        <x:v>247500</x:v>
      </x:c>
      <x:c r="F1144" s="58">
        <x:f t="shared" si="63"/>
        <x:v>263500</x:v>
      </x:c>
    </x:row>
    <x:row r="1145">
      <x:c r="B1145" s="63">
        <x:v>1243</x:v>
      </x:c>
      <x:c r="C1145" s="57">
        <x:f t="shared" si="60"/>
        <x:v>209000</x:v>
      </x:c>
      <x:c r="D1145" s="25">
        <x:f t="shared" si="61"/>
        <x:v>231000</x:v>
      </x:c>
      <x:c r="E1145" s="25">
        <x:f t="shared" si="62"/>
        <x:v>247500</x:v>
      </x:c>
      <x:c r="F1145" s="58">
        <x:f t="shared" si="63"/>
        <x:v>263500</x:v>
      </x:c>
    </x:row>
    <x:row r="1146">
      <x:c r="B1146" s="63">
        <x:v>1244</x:v>
      </x:c>
      <x:c r="C1146" s="57">
        <x:f t="shared" si="60"/>
        <x:v>209000</x:v>
      </x:c>
      <x:c r="D1146" s="25">
        <x:f t="shared" si="61"/>
        <x:v>231000</x:v>
      </x:c>
      <x:c r="E1146" s="25">
        <x:f t="shared" si="62"/>
        <x:v>247500</x:v>
      </x:c>
      <x:c r="F1146" s="58">
        <x:f t="shared" si="63"/>
        <x:v>263500</x:v>
      </x:c>
    </x:row>
    <x:row r="1147">
      <x:c r="B1147" s="63">
        <x:v>1245</x:v>
      </x:c>
      <x:c r="C1147" s="57">
        <x:f t="shared" si="60"/>
        <x:v>209000</x:v>
      </x:c>
      <x:c r="D1147" s="25">
        <x:f t="shared" si="61"/>
        <x:v>231000</x:v>
      </x:c>
      <x:c r="E1147" s="25">
        <x:f t="shared" si="62"/>
        <x:v>247500</x:v>
      </x:c>
      <x:c r="F1147" s="58">
        <x:f t="shared" si="63"/>
        <x:v>263500</x:v>
      </x:c>
    </x:row>
    <x:row r="1148">
      <x:c r="B1148" s="63">
        <x:v>1246</x:v>
      </x:c>
      <x:c r="C1148" s="57">
        <x:f t="shared" si="60"/>
        <x:v>209000</x:v>
      </x:c>
      <x:c r="D1148" s="25">
        <x:f t="shared" si="61"/>
        <x:v>231000</x:v>
      </x:c>
      <x:c r="E1148" s="25">
        <x:f t="shared" si="62"/>
        <x:v>247500</x:v>
      </x:c>
      <x:c r="F1148" s="58">
        <x:f t="shared" si="63"/>
        <x:v>263500</x:v>
      </x:c>
    </x:row>
    <x:row r="1149">
      <x:c r="B1149" s="63">
        <x:v>1247</x:v>
      </x:c>
      <x:c r="C1149" s="57">
        <x:f t="shared" si="60"/>
        <x:v>209000</x:v>
      </x:c>
      <x:c r="D1149" s="25">
        <x:f t="shared" si="61"/>
        <x:v>231000</x:v>
      </x:c>
      <x:c r="E1149" s="25">
        <x:f t="shared" si="62"/>
        <x:v>247500</x:v>
      </x:c>
      <x:c r="F1149" s="58">
        <x:f t="shared" si="63"/>
        <x:v>263500</x:v>
      </x:c>
    </x:row>
    <x:row r="1150">
      <x:c r="B1150" s="63">
        <x:v>1248</x:v>
      </x:c>
      <x:c r="C1150" s="57">
        <x:f t="shared" si="60"/>
        <x:v>209000</x:v>
      </x:c>
      <x:c r="D1150" s="25">
        <x:f t="shared" si="61"/>
        <x:v>231000</x:v>
      </x:c>
      <x:c r="E1150" s="25">
        <x:f t="shared" si="62"/>
        <x:v>247500</x:v>
      </x:c>
      <x:c r="F1150" s="58">
        <x:f t="shared" si="63"/>
        <x:v>263500</x:v>
      </x:c>
    </x:row>
    <x:row r="1151">
      <x:c r="B1151" s="63">
        <x:v>1249</x:v>
      </x:c>
      <x:c r="C1151" s="57">
        <x:f t="shared" si="60"/>
        <x:v>209000</x:v>
      </x:c>
      <x:c r="D1151" s="25">
        <x:f t="shared" si="61"/>
        <x:v>231000</x:v>
      </x:c>
      <x:c r="E1151" s="25">
        <x:f t="shared" si="62"/>
        <x:v>247500</x:v>
      </x:c>
      <x:c r="F1151" s="58">
        <x:f t="shared" si="63"/>
        <x:v>263500</x:v>
      </x:c>
    </x:row>
    <x:row r="1152">
      <x:c r="B1152" s="63">
        <x:v>1250</x:v>
      </x:c>
      <x:c r="C1152" s="57">
        <x:f t="shared" si="60"/>
        <x:v>209000</x:v>
      </x:c>
      <x:c r="D1152" s="25">
        <x:f t="shared" si="61"/>
        <x:v>231000</x:v>
      </x:c>
      <x:c r="E1152" s="25">
        <x:f t="shared" si="62"/>
        <x:v>247500</x:v>
      </x:c>
      <x:c r="F1152" s="58">
        <x:f t="shared" si="63"/>
        <x:v>263500</x:v>
      </x:c>
    </x:row>
    <x:row r="1153">
      <x:c r="B1153" s="63">
        <x:v>1251</x:v>
      </x:c>
      <x:c r="C1153" s="57" t="n">
        <x:f>$C$402+$J$18</x:f>
        <x:v>216300</x:v>
      </x:c>
      <x:c r="D1153" s="25" t="n">
        <x:f>$D$402+$K$18</x:f>
        <x:v>239100</x:v>
      </x:c>
      <x:c r="E1153" s="25" t="n">
        <x:f>$E$402+$L$18</x:f>
        <x:v>256200</x:v>
      </x:c>
      <x:c r="F1153" s="58" t="n">
        <x:f>$F$402+$M$18</x:f>
        <x:v>272800</x:v>
      </x:c>
    </x:row>
    <x:row r="1154">
      <x:c r="B1154" s="63">
        <x:v>1252</x:v>
      </x:c>
      <x:c r="C1154" s="57" t="n">
        <x:f t="shared" ref="C1154:C1202" si="64">$C$402+$J$18</x:f>
        <x:v>216300</x:v>
      </x:c>
      <x:c r="D1154" s="25" t="n">
        <x:f t="shared" ref="D1154:D1202" si="65">$D$402+$K$18</x:f>
        <x:v>239100</x:v>
      </x:c>
      <x:c r="E1154" s="25" t="n">
        <x:f t="shared" ref="E1154:E1202" si="66">$E$402+$L$18</x:f>
        <x:v>256200</x:v>
      </x:c>
      <x:c r="F1154" s="58" t="n">
        <x:f t="shared" ref="F1154:F1202" si="67">$F$402+$M$18</x:f>
        <x:v>272800</x:v>
      </x:c>
    </x:row>
    <x:row r="1155">
      <x:c r="B1155" s="63">
        <x:v>1253</x:v>
      </x:c>
      <x:c r="C1155" s="57">
        <x:f t="shared" si="64"/>
        <x:v>216300</x:v>
      </x:c>
      <x:c r="D1155" s="25">
        <x:f t="shared" si="65"/>
        <x:v>239100</x:v>
      </x:c>
      <x:c r="E1155" s="25">
        <x:f t="shared" si="66"/>
        <x:v>256200</x:v>
      </x:c>
      <x:c r="F1155" s="58">
        <x:f t="shared" si="67"/>
        <x:v>272800</x:v>
      </x:c>
    </x:row>
    <x:row r="1156">
      <x:c r="B1156" s="63">
        <x:v>1254</x:v>
      </x:c>
      <x:c r="C1156" s="57">
        <x:f t="shared" si="64"/>
        <x:v>216300</x:v>
      </x:c>
      <x:c r="D1156" s="25">
        <x:f t="shared" si="65"/>
        <x:v>239100</x:v>
      </x:c>
      <x:c r="E1156" s="25">
        <x:f t="shared" si="66"/>
        <x:v>256200</x:v>
      </x:c>
      <x:c r="F1156" s="58">
        <x:f t="shared" si="67"/>
        <x:v>272800</x:v>
      </x:c>
    </x:row>
    <x:row r="1157">
      <x:c r="B1157" s="63">
        <x:v>1255</x:v>
      </x:c>
      <x:c r="C1157" s="57">
        <x:f t="shared" si="64"/>
        <x:v>216300</x:v>
      </x:c>
      <x:c r="D1157" s="25">
        <x:f t="shared" si="65"/>
        <x:v>239100</x:v>
      </x:c>
      <x:c r="E1157" s="25">
        <x:f t="shared" si="66"/>
        <x:v>256200</x:v>
      </x:c>
      <x:c r="F1157" s="58">
        <x:f t="shared" si="67"/>
        <x:v>272800</x:v>
      </x:c>
    </x:row>
    <x:row r="1158">
      <x:c r="B1158" s="63">
        <x:v>1256</x:v>
      </x:c>
      <x:c r="C1158" s="57">
        <x:f t="shared" si="64"/>
        <x:v>216300</x:v>
      </x:c>
      <x:c r="D1158" s="25">
        <x:f t="shared" si="65"/>
        <x:v>239100</x:v>
      </x:c>
      <x:c r="E1158" s="25">
        <x:f t="shared" si="66"/>
        <x:v>256200</x:v>
      </x:c>
      <x:c r="F1158" s="58">
        <x:f t="shared" si="67"/>
        <x:v>272800</x:v>
      </x:c>
    </x:row>
    <x:row r="1159">
      <x:c r="B1159" s="63">
        <x:v>1257</x:v>
      </x:c>
      <x:c r="C1159" s="57">
        <x:f t="shared" si="64"/>
        <x:v>216300</x:v>
      </x:c>
      <x:c r="D1159" s="25">
        <x:f t="shared" si="65"/>
        <x:v>239100</x:v>
      </x:c>
      <x:c r="E1159" s="25">
        <x:f t="shared" si="66"/>
        <x:v>256200</x:v>
      </x:c>
      <x:c r="F1159" s="58">
        <x:f t="shared" si="67"/>
        <x:v>272800</x:v>
      </x:c>
    </x:row>
    <x:row r="1160">
      <x:c r="B1160" s="63">
        <x:v>1258</x:v>
      </x:c>
      <x:c r="C1160" s="57">
        <x:f t="shared" si="64"/>
        <x:v>216300</x:v>
      </x:c>
      <x:c r="D1160" s="25">
        <x:f t="shared" si="65"/>
        <x:v>239100</x:v>
      </x:c>
      <x:c r="E1160" s="25">
        <x:f t="shared" si="66"/>
        <x:v>256200</x:v>
      </x:c>
      <x:c r="F1160" s="58">
        <x:f t="shared" si="67"/>
        <x:v>272800</x:v>
      </x:c>
    </x:row>
    <x:row r="1161">
      <x:c r="B1161" s="63">
        <x:v>1259</x:v>
      </x:c>
      <x:c r="C1161" s="57">
        <x:f t="shared" si="64"/>
        <x:v>216300</x:v>
      </x:c>
      <x:c r="D1161" s="25">
        <x:f t="shared" si="65"/>
        <x:v>239100</x:v>
      </x:c>
      <x:c r="E1161" s="25">
        <x:f t="shared" si="66"/>
        <x:v>256200</x:v>
      </x:c>
      <x:c r="F1161" s="58">
        <x:f t="shared" si="67"/>
        <x:v>272800</x:v>
      </x:c>
    </x:row>
    <x:row r="1162">
      <x:c r="B1162" s="63">
        <x:v>1260</x:v>
      </x:c>
      <x:c r="C1162" s="57">
        <x:f t="shared" si="64"/>
        <x:v>216300</x:v>
      </x:c>
      <x:c r="D1162" s="25">
        <x:f t="shared" si="65"/>
        <x:v>239100</x:v>
      </x:c>
      <x:c r="E1162" s="25">
        <x:f t="shared" si="66"/>
        <x:v>256200</x:v>
      </x:c>
      <x:c r="F1162" s="58">
        <x:f t="shared" si="67"/>
        <x:v>272800</x:v>
      </x:c>
    </x:row>
    <x:row r="1163">
      <x:c r="B1163" s="63">
        <x:v>1261</x:v>
      </x:c>
      <x:c r="C1163" s="57">
        <x:f t="shared" si="64"/>
        <x:v>216300</x:v>
      </x:c>
      <x:c r="D1163" s="25">
        <x:f t="shared" si="65"/>
        <x:v>239100</x:v>
      </x:c>
      <x:c r="E1163" s="25">
        <x:f t="shared" si="66"/>
        <x:v>256200</x:v>
      </x:c>
      <x:c r="F1163" s="58">
        <x:f t="shared" si="67"/>
        <x:v>272800</x:v>
      </x:c>
    </x:row>
    <x:row r="1164">
      <x:c r="B1164" s="63">
        <x:v>1262</x:v>
      </x:c>
      <x:c r="C1164" s="57">
        <x:f t="shared" si="64"/>
        <x:v>216300</x:v>
      </x:c>
      <x:c r="D1164" s="25">
        <x:f t="shared" si="65"/>
        <x:v>239100</x:v>
      </x:c>
      <x:c r="E1164" s="25">
        <x:f t="shared" si="66"/>
        <x:v>256200</x:v>
      </x:c>
      <x:c r="F1164" s="58">
        <x:f t="shared" si="67"/>
        <x:v>272800</x:v>
      </x:c>
    </x:row>
    <x:row r="1165">
      <x:c r="B1165" s="63">
        <x:v>1263</x:v>
      </x:c>
      <x:c r="C1165" s="57">
        <x:f t="shared" si="64"/>
        <x:v>216300</x:v>
      </x:c>
      <x:c r="D1165" s="25">
        <x:f t="shared" si="65"/>
        <x:v>239100</x:v>
      </x:c>
      <x:c r="E1165" s="25">
        <x:f t="shared" si="66"/>
        <x:v>256200</x:v>
      </x:c>
      <x:c r="F1165" s="58">
        <x:f t="shared" si="67"/>
        <x:v>272800</x:v>
      </x:c>
    </x:row>
    <x:row r="1166">
      <x:c r="B1166" s="63">
        <x:v>1264</x:v>
      </x:c>
      <x:c r="C1166" s="57">
        <x:f t="shared" si="64"/>
        <x:v>216300</x:v>
      </x:c>
      <x:c r="D1166" s="25">
        <x:f t="shared" si="65"/>
        <x:v>239100</x:v>
      </x:c>
      <x:c r="E1166" s="25">
        <x:f t="shared" si="66"/>
        <x:v>256200</x:v>
      </x:c>
      <x:c r="F1166" s="58">
        <x:f t="shared" si="67"/>
        <x:v>272800</x:v>
      </x:c>
    </x:row>
    <x:row r="1167">
      <x:c r="B1167" s="63">
        <x:v>1265</x:v>
      </x:c>
      <x:c r="C1167" s="57">
        <x:f t="shared" si="64"/>
        <x:v>216300</x:v>
      </x:c>
      <x:c r="D1167" s="25">
        <x:f t="shared" si="65"/>
        <x:v>239100</x:v>
      </x:c>
      <x:c r="E1167" s="25">
        <x:f t="shared" si="66"/>
        <x:v>256200</x:v>
      </x:c>
      <x:c r="F1167" s="58">
        <x:f t="shared" si="67"/>
        <x:v>272800</x:v>
      </x:c>
    </x:row>
    <x:row r="1168">
      <x:c r="B1168" s="63">
        <x:v>1266</x:v>
      </x:c>
      <x:c r="C1168" s="57">
        <x:f t="shared" si="64"/>
        <x:v>216300</x:v>
      </x:c>
      <x:c r="D1168" s="25">
        <x:f t="shared" si="65"/>
        <x:v>239100</x:v>
      </x:c>
      <x:c r="E1168" s="25">
        <x:f t="shared" si="66"/>
        <x:v>256200</x:v>
      </x:c>
      <x:c r="F1168" s="58">
        <x:f t="shared" si="67"/>
        <x:v>272800</x:v>
      </x:c>
    </x:row>
    <x:row r="1169">
      <x:c r="B1169" s="63">
        <x:v>1267</x:v>
      </x:c>
      <x:c r="C1169" s="57">
        <x:f t="shared" si="64"/>
        <x:v>216300</x:v>
      </x:c>
      <x:c r="D1169" s="25">
        <x:f t="shared" si="65"/>
        <x:v>239100</x:v>
      </x:c>
      <x:c r="E1169" s="25">
        <x:f t="shared" si="66"/>
        <x:v>256200</x:v>
      </x:c>
      <x:c r="F1169" s="58">
        <x:f t="shared" si="67"/>
        <x:v>272800</x:v>
      </x:c>
    </x:row>
    <x:row r="1170">
      <x:c r="B1170" s="63">
        <x:v>1268</x:v>
      </x:c>
      <x:c r="C1170" s="57">
        <x:f t="shared" si="64"/>
        <x:v>216300</x:v>
      </x:c>
      <x:c r="D1170" s="25">
        <x:f t="shared" si="65"/>
        <x:v>239100</x:v>
      </x:c>
      <x:c r="E1170" s="25">
        <x:f t="shared" si="66"/>
        <x:v>256200</x:v>
      </x:c>
      <x:c r="F1170" s="58">
        <x:f t="shared" si="67"/>
        <x:v>272800</x:v>
      </x:c>
    </x:row>
    <x:row r="1171">
      <x:c r="B1171" s="63">
        <x:v>1269</x:v>
      </x:c>
      <x:c r="C1171" s="57">
        <x:f t="shared" si="64"/>
        <x:v>216300</x:v>
      </x:c>
      <x:c r="D1171" s="25">
        <x:f t="shared" si="65"/>
        <x:v>239100</x:v>
      </x:c>
      <x:c r="E1171" s="25">
        <x:f t="shared" si="66"/>
        <x:v>256200</x:v>
      </x:c>
      <x:c r="F1171" s="58">
        <x:f t="shared" si="67"/>
        <x:v>272800</x:v>
      </x:c>
    </x:row>
    <x:row r="1172">
      <x:c r="B1172" s="63">
        <x:v>1270</x:v>
      </x:c>
      <x:c r="C1172" s="57">
        <x:f t="shared" si="64"/>
        <x:v>216300</x:v>
      </x:c>
      <x:c r="D1172" s="25">
        <x:f t="shared" si="65"/>
        <x:v>239100</x:v>
      </x:c>
      <x:c r="E1172" s="25">
        <x:f t="shared" si="66"/>
        <x:v>256200</x:v>
      </x:c>
      <x:c r="F1172" s="58">
        <x:f t="shared" si="67"/>
        <x:v>272800</x:v>
      </x:c>
    </x:row>
    <x:row r="1173">
      <x:c r="B1173" s="63">
        <x:v>1271</x:v>
      </x:c>
      <x:c r="C1173" s="57">
        <x:f t="shared" si="64"/>
        <x:v>216300</x:v>
      </x:c>
      <x:c r="D1173" s="25">
        <x:f t="shared" si="65"/>
        <x:v>239100</x:v>
      </x:c>
      <x:c r="E1173" s="25">
        <x:f t="shared" si="66"/>
        <x:v>256200</x:v>
      </x:c>
      <x:c r="F1173" s="58">
        <x:f t="shared" si="67"/>
        <x:v>272800</x:v>
      </x:c>
    </x:row>
    <x:row r="1174">
      <x:c r="B1174" s="63">
        <x:v>1272</x:v>
      </x:c>
      <x:c r="C1174" s="57">
        <x:f t="shared" si="64"/>
        <x:v>216300</x:v>
      </x:c>
      <x:c r="D1174" s="25">
        <x:f t="shared" si="65"/>
        <x:v>239100</x:v>
      </x:c>
      <x:c r="E1174" s="25">
        <x:f t="shared" si="66"/>
        <x:v>256200</x:v>
      </x:c>
      <x:c r="F1174" s="58">
        <x:f t="shared" si="67"/>
        <x:v>272800</x:v>
      </x:c>
    </x:row>
    <x:row r="1175">
      <x:c r="B1175" s="63">
        <x:v>1273</x:v>
      </x:c>
      <x:c r="C1175" s="57">
        <x:f t="shared" si="64"/>
        <x:v>216300</x:v>
      </x:c>
      <x:c r="D1175" s="25">
        <x:f t="shared" si="65"/>
        <x:v>239100</x:v>
      </x:c>
      <x:c r="E1175" s="25">
        <x:f t="shared" si="66"/>
        <x:v>256200</x:v>
      </x:c>
      <x:c r="F1175" s="58">
        <x:f t="shared" si="67"/>
        <x:v>272800</x:v>
      </x:c>
    </x:row>
    <x:row r="1176">
      <x:c r="B1176" s="63">
        <x:v>1274</x:v>
      </x:c>
      <x:c r="C1176" s="57">
        <x:f t="shared" si="64"/>
        <x:v>216300</x:v>
      </x:c>
      <x:c r="D1176" s="25">
        <x:f t="shared" si="65"/>
        <x:v>239100</x:v>
      </x:c>
      <x:c r="E1176" s="25">
        <x:f t="shared" si="66"/>
        <x:v>256200</x:v>
      </x:c>
      <x:c r="F1176" s="58">
        <x:f t="shared" si="67"/>
        <x:v>272800</x:v>
      </x:c>
    </x:row>
    <x:row r="1177">
      <x:c r="B1177" s="63">
        <x:v>1275</x:v>
      </x:c>
      <x:c r="C1177" s="57">
        <x:f t="shared" si="64"/>
        <x:v>216300</x:v>
      </x:c>
      <x:c r="D1177" s="25">
        <x:f t="shared" si="65"/>
        <x:v>239100</x:v>
      </x:c>
      <x:c r="E1177" s="25">
        <x:f t="shared" si="66"/>
        <x:v>256200</x:v>
      </x:c>
      <x:c r="F1177" s="58">
        <x:f t="shared" si="67"/>
        <x:v>272800</x:v>
      </x:c>
    </x:row>
    <x:row r="1178">
      <x:c r="B1178" s="63">
        <x:v>1276</x:v>
      </x:c>
      <x:c r="C1178" s="57">
        <x:f t="shared" si="64"/>
        <x:v>216300</x:v>
      </x:c>
      <x:c r="D1178" s="25">
        <x:f t="shared" si="65"/>
        <x:v>239100</x:v>
      </x:c>
      <x:c r="E1178" s="25">
        <x:f t="shared" si="66"/>
        <x:v>256200</x:v>
      </x:c>
      <x:c r="F1178" s="58">
        <x:f t="shared" si="67"/>
        <x:v>272800</x:v>
      </x:c>
    </x:row>
    <x:row r="1179">
      <x:c r="B1179" s="63">
        <x:v>1277</x:v>
      </x:c>
      <x:c r="C1179" s="57">
        <x:f t="shared" si="64"/>
        <x:v>216300</x:v>
      </x:c>
      <x:c r="D1179" s="25">
        <x:f t="shared" si="65"/>
        <x:v>239100</x:v>
      </x:c>
      <x:c r="E1179" s="25">
        <x:f t="shared" si="66"/>
        <x:v>256200</x:v>
      </x:c>
      <x:c r="F1179" s="58">
        <x:f t="shared" si="67"/>
        <x:v>272800</x:v>
      </x:c>
    </x:row>
    <x:row r="1180">
      <x:c r="B1180" s="63">
        <x:v>1278</x:v>
      </x:c>
      <x:c r="C1180" s="57">
        <x:f t="shared" si="64"/>
        <x:v>216300</x:v>
      </x:c>
      <x:c r="D1180" s="25">
        <x:f t="shared" si="65"/>
        <x:v>239100</x:v>
      </x:c>
      <x:c r="E1180" s="25">
        <x:f t="shared" si="66"/>
        <x:v>256200</x:v>
      </x:c>
      <x:c r="F1180" s="58">
        <x:f t="shared" si="67"/>
        <x:v>272800</x:v>
      </x:c>
    </x:row>
    <x:row r="1181">
      <x:c r="B1181" s="63">
        <x:v>1279</x:v>
      </x:c>
      <x:c r="C1181" s="57">
        <x:f t="shared" si="64"/>
        <x:v>216300</x:v>
      </x:c>
      <x:c r="D1181" s="25">
        <x:f t="shared" si="65"/>
        <x:v>239100</x:v>
      </x:c>
      <x:c r="E1181" s="25">
        <x:f t="shared" si="66"/>
        <x:v>256200</x:v>
      </x:c>
      <x:c r="F1181" s="58">
        <x:f t="shared" si="67"/>
        <x:v>272800</x:v>
      </x:c>
    </x:row>
    <x:row r="1182">
      <x:c r="B1182" s="63">
        <x:v>1280</x:v>
      </x:c>
      <x:c r="C1182" s="57">
        <x:f t="shared" si="64"/>
        <x:v>216300</x:v>
      </x:c>
      <x:c r="D1182" s="25">
        <x:f t="shared" si="65"/>
        <x:v>239100</x:v>
      </x:c>
      <x:c r="E1182" s="25">
        <x:f t="shared" si="66"/>
        <x:v>256200</x:v>
      </x:c>
      <x:c r="F1182" s="58">
        <x:f t="shared" si="67"/>
        <x:v>272800</x:v>
      </x:c>
    </x:row>
    <x:row r="1183">
      <x:c r="B1183" s="63">
        <x:v>1281</x:v>
      </x:c>
      <x:c r="C1183" s="57">
        <x:f t="shared" si="64"/>
        <x:v>216300</x:v>
      </x:c>
      <x:c r="D1183" s="25">
        <x:f t="shared" si="65"/>
        <x:v>239100</x:v>
      </x:c>
      <x:c r="E1183" s="25">
        <x:f t="shared" si="66"/>
        <x:v>256200</x:v>
      </x:c>
      <x:c r="F1183" s="58">
        <x:f t="shared" si="67"/>
        <x:v>272800</x:v>
      </x:c>
    </x:row>
    <x:row r="1184">
      <x:c r="B1184" s="63">
        <x:v>1282</x:v>
      </x:c>
      <x:c r="C1184" s="57">
        <x:f t="shared" si="64"/>
        <x:v>216300</x:v>
      </x:c>
      <x:c r="D1184" s="25">
        <x:f t="shared" si="65"/>
        <x:v>239100</x:v>
      </x:c>
      <x:c r="E1184" s="25">
        <x:f t="shared" si="66"/>
        <x:v>256200</x:v>
      </x:c>
      <x:c r="F1184" s="58">
        <x:f t="shared" si="67"/>
        <x:v>272800</x:v>
      </x:c>
    </x:row>
    <x:row r="1185">
      <x:c r="B1185" s="63">
        <x:v>1283</x:v>
      </x:c>
      <x:c r="C1185" s="57">
        <x:f t="shared" si="64"/>
        <x:v>216300</x:v>
      </x:c>
      <x:c r="D1185" s="25">
        <x:f t="shared" si="65"/>
        <x:v>239100</x:v>
      </x:c>
      <x:c r="E1185" s="25">
        <x:f t="shared" si="66"/>
        <x:v>256200</x:v>
      </x:c>
      <x:c r="F1185" s="58">
        <x:f t="shared" si="67"/>
        <x:v>272800</x:v>
      </x:c>
    </x:row>
    <x:row r="1186">
      <x:c r="B1186" s="63">
        <x:v>1284</x:v>
      </x:c>
      <x:c r="C1186" s="57">
        <x:f t="shared" si="64"/>
        <x:v>216300</x:v>
      </x:c>
      <x:c r="D1186" s="25">
        <x:f t="shared" si="65"/>
        <x:v>239100</x:v>
      </x:c>
      <x:c r="E1186" s="25">
        <x:f t="shared" si="66"/>
        <x:v>256200</x:v>
      </x:c>
      <x:c r="F1186" s="58">
        <x:f t="shared" si="67"/>
        <x:v>272800</x:v>
      </x:c>
    </x:row>
    <x:row r="1187">
      <x:c r="B1187" s="63">
        <x:v>1285</x:v>
      </x:c>
      <x:c r="C1187" s="57">
        <x:f t="shared" si="64"/>
        <x:v>216300</x:v>
      </x:c>
      <x:c r="D1187" s="25">
        <x:f t="shared" si="65"/>
        <x:v>239100</x:v>
      </x:c>
      <x:c r="E1187" s="25">
        <x:f t="shared" si="66"/>
        <x:v>256200</x:v>
      </x:c>
      <x:c r="F1187" s="58">
        <x:f t="shared" si="67"/>
        <x:v>272800</x:v>
      </x:c>
    </x:row>
    <x:row r="1188">
      <x:c r="B1188" s="63">
        <x:v>1286</x:v>
      </x:c>
      <x:c r="C1188" s="57">
        <x:f t="shared" si="64"/>
        <x:v>216300</x:v>
      </x:c>
      <x:c r="D1188" s="25">
        <x:f t="shared" si="65"/>
        <x:v>239100</x:v>
      </x:c>
      <x:c r="E1188" s="25">
        <x:f t="shared" si="66"/>
        <x:v>256200</x:v>
      </x:c>
      <x:c r="F1188" s="58">
        <x:f t="shared" si="67"/>
        <x:v>272800</x:v>
      </x:c>
    </x:row>
    <x:row r="1189">
      <x:c r="B1189" s="63">
        <x:v>1287</x:v>
      </x:c>
      <x:c r="C1189" s="57">
        <x:f t="shared" si="64"/>
        <x:v>216300</x:v>
      </x:c>
      <x:c r="D1189" s="25">
        <x:f t="shared" si="65"/>
        <x:v>239100</x:v>
      </x:c>
      <x:c r="E1189" s="25">
        <x:f t="shared" si="66"/>
        <x:v>256200</x:v>
      </x:c>
      <x:c r="F1189" s="58">
        <x:f t="shared" si="67"/>
        <x:v>272800</x:v>
      </x:c>
    </x:row>
    <x:row r="1190">
      <x:c r="B1190" s="63">
        <x:v>1288</x:v>
      </x:c>
      <x:c r="C1190" s="57">
        <x:f t="shared" si="64"/>
        <x:v>216300</x:v>
      </x:c>
      <x:c r="D1190" s="25">
        <x:f t="shared" si="65"/>
        <x:v>239100</x:v>
      </x:c>
      <x:c r="E1190" s="25">
        <x:f t="shared" si="66"/>
        <x:v>256200</x:v>
      </x:c>
      <x:c r="F1190" s="58">
        <x:f t="shared" si="67"/>
        <x:v>272800</x:v>
      </x:c>
    </x:row>
    <x:row r="1191">
      <x:c r="B1191" s="63">
        <x:v>1289</x:v>
      </x:c>
      <x:c r="C1191" s="57">
        <x:f t="shared" si="64"/>
        <x:v>216300</x:v>
      </x:c>
      <x:c r="D1191" s="25">
        <x:f t="shared" si="65"/>
        <x:v>239100</x:v>
      </x:c>
      <x:c r="E1191" s="25">
        <x:f t="shared" si="66"/>
        <x:v>256200</x:v>
      </x:c>
      <x:c r="F1191" s="58">
        <x:f t="shared" si="67"/>
        <x:v>272800</x:v>
      </x:c>
    </x:row>
    <x:row r="1192">
      <x:c r="B1192" s="63">
        <x:v>1290</x:v>
      </x:c>
      <x:c r="C1192" s="57">
        <x:f t="shared" si="64"/>
        <x:v>216300</x:v>
      </x:c>
      <x:c r="D1192" s="25">
        <x:f t="shared" si="65"/>
        <x:v>239100</x:v>
      </x:c>
      <x:c r="E1192" s="25">
        <x:f t="shared" si="66"/>
        <x:v>256200</x:v>
      </x:c>
      <x:c r="F1192" s="58">
        <x:f t="shared" si="67"/>
        <x:v>272800</x:v>
      </x:c>
    </x:row>
    <x:row r="1193">
      <x:c r="B1193" s="63">
        <x:v>1291</x:v>
      </x:c>
      <x:c r="C1193" s="57">
        <x:f t="shared" si="64"/>
        <x:v>216300</x:v>
      </x:c>
      <x:c r="D1193" s="25">
        <x:f t="shared" si="65"/>
        <x:v>239100</x:v>
      </x:c>
      <x:c r="E1193" s="25">
        <x:f t="shared" si="66"/>
        <x:v>256200</x:v>
      </x:c>
      <x:c r="F1193" s="58">
        <x:f t="shared" si="67"/>
        <x:v>272800</x:v>
      </x:c>
    </x:row>
    <x:row r="1194">
      <x:c r="B1194" s="63">
        <x:v>1292</x:v>
      </x:c>
      <x:c r="C1194" s="57">
        <x:f t="shared" si="64"/>
        <x:v>216300</x:v>
      </x:c>
      <x:c r="D1194" s="25">
        <x:f t="shared" si="65"/>
        <x:v>239100</x:v>
      </x:c>
      <x:c r="E1194" s="25">
        <x:f t="shared" si="66"/>
        <x:v>256200</x:v>
      </x:c>
      <x:c r="F1194" s="58">
        <x:f t="shared" si="67"/>
        <x:v>272800</x:v>
      </x:c>
    </x:row>
    <x:row r="1195">
      <x:c r="B1195" s="63">
        <x:v>1293</x:v>
      </x:c>
      <x:c r="C1195" s="57">
        <x:f t="shared" si="64"/>
        <x:v>216300</x:v>
      </x:c>
      <x:c r="D1195" s="25">
        <x:f t="shared" si="65"/>
        <x:v>239100</x:v>
      </x:c>
      <x:c r="E1195" s="25">
        <x:f t="shared" si="66"/>
        <x:v>256200</x:v>
      </x:c>
      <x:c r="F1195" s="58">
        <x:f t="shared" si="67"/>
        <x:v>272800</x:v>
      </x:c>
    </x:row>
    <x:row r="1196">
      <x:c r="B1196" s="63">
        <x:v>1294</x:v>
      </x:c>
      <x:c r="C1196" s="57">
        <x:f t="shared" si="64"/>
        <x:v>216300</x:v>
      </x:c>
      <x:c r="D1196" s="25">
        <x:f t="shared" si="65"/>
        <x:v>239100</x:v>
      </x:c>
      <x:c r="E1196" s="25">
        <x:f t="shared" si="66"/>
        <x:v>256200</x:v>
      </x:c>
      <x:c r="F1196" s="58">
        <x:f t="shared" si="67"/>
        <x:v>272800</x:v>
      </x:c>
    </x:row>
    <x:row r="1197">
      <x:c r="B1197" s="63">
        <x:v>1295</x:v>
      </x:c>
      <x:c r="C1197" s="57">
        <x:f t="shared" si="64"/>
        <x:v>216300</x:v>
      </x:c>
      <x:c r="D1197" s="25">
        <x:f t="shared" si="65"/>
        <x:v>239100</x:v>
      </x:c>
      <x:c r="E1197" s="25">
        <x:f t="shared" si="66"/>
        <x:v>256200</x:v>
      </x:c>
      <x:c r="F1197" s="58">
        <x:f t="shared" si="67"/>
        <x:v>272800</x:v>
      </x:c>
    </x:row>
    <x:row r="1198">
      <x:c r="B1198" s="63">
        <x:v>1296</x:v>
      </x:c>
      <x:c r="C1198" s="57">
        <x:f t="shared" si="64"/>
        <x:v>216300</x:v>
      </x:c>
      <x:c r="D1198" s="25">
        <x:f t="shared" si="65"/>
        <x:v>239100</x:v>
      </x:c>
      <x:c r="E1198" s="25">
        <x:f t="shared" si="66"/>
        <x:v>256200</x:v>
      </x:c>
      <x:c r="F1198" s="58">
        <x:f t="shared" si="67"/>
        <x:v>272800</x:v>
      </x:c>
    </x:row>
    <x:row r="1199">
      <x:c r="B1199" s="63">
        <x:v>1297</x:v>
      </x:c>
      <x:c r="C1199" s="57">
        <x:f t="shared" si="64"/>
        <x:v>216300</x:v>
      </x:c>
      <x:c r="D1199" s="25">
        <x:f t="shared" si="65"/>
        <x:v>239100</x:v>
      </x:c>
      <x:c r="E1199" s="25">
        <x:f t="shared" si="66"/>
        <x:v>256200</x:v>
      </x:c>
      <x:c r="F1199" s="58">
        <x:f t="shared" si="67"/>
        <x:v>272800</x:v>
      </x:c>
    </x:row>
    <x:row r="1200">
      <x:c r="B1200" s="63">
        <x:v>1298</x:v>
      </x:c>
      <x:c r="C1200" s="57">
        <x:f t="shared" si="64"/>
        <x:v>216300</x:v>
      </x:c>
      <x:c r="D1200" s="25">
        <x:f t="shared" si="65"/>
        <x:v>239100</x:v>
      </x:c>
      <x:c r="E1200" s="25">
        <x:f t="shared" si="66"/>
        <x:v>256200</x:v>
      </x:c>
      <x:c r="F1200" s="58">
        <x:f t="shared" si="67"/>
        <x:v>272800</x:v>
      </x:c>
    </x:row>
    <x:row r="1201">
      <x:c r="B1201" s="63">
        <x:v>1299</x:v>
      </x:c>
      <x:c r="C1201" s="57">
        <x:f t="shared" si="64"/>
        <x:v>216300</x:v>
      </x:c>
      <x:c r="D1201" s="25">
        <x:f t="shared" si="65"/>
        <x:v>239100</x:v>
      </x:c>
      <x:c r="E1201" s="25">
        <x:f t="shared" si="66"/>
        <x:v>256200</x:v>
      </x:c>
      <x:c r="F1201" s="58">
        <x:f t="shared" si="67"/>
        <x:v>272800</x:v>
      </x:c>
    </x:row>
    <x:row r="1202">
      <x:c r="B1202" s="63">
        <x:v>1300</x:v>
      </x:c>
      <x:c r="C1202" s="57">
        <x:f t="shared" si="64"/>
        <x:v>216300</x:v>
      </x:c>
      <x:c r="D1202" s="25">
        <x:f t="shared" si="65"/>
        <x:v>239100</x:v>
      </x:c>
      <x:c r="E1202" s="25">
        <x:f t="shared" si="66"/>
        <x:v>256200</x:v>
      </x:c>
      <x:c r="F1202" s="58">
        <x:f t="shared" si="67"/>
        <x:v>272800</x:v>
      </x:c>
    </x:row>
    <x:row r="1203">
      <x:c r="B1203" s="63">
        <x:v>1301</x:v>
      </x:c>
      <x:c r="C1203" s="57" t="n">
        <x:f>$C$402+$J$19</x:f>
        <x:v>223600</x:v>
      </x:c>
      <x:c r="D1203" s="25" t="n">
        <x:f>$D$402+$K$19</x:f>
        <x:v>247200</x:v>
      </x:c>
      <x:c r="E1203" s="25" t="n">
        <x:f>$E$402+$L$19</x:f>
        <x:v>264900</x:v>
      </x:c>
      <x:c r="F1203" s="58" t="n">
        <x:f>$F$402+$M$19</x:f>
        <x:v>282100</x:v>
      </x:c>
    </x:row>
    <x:row r="1204">
      <x:c r="B1204" s="63">
        <x:v>1302</x:v>
      </x:c>
      <x:c r="C1204" s="57" t="n">
        <x:f t="shared" ref="C1204:C1252" si="68">$C$402+$J$19</x:f>
        <x:v>223600</x:v>
      </x:c>
      <x:c r="D1204" s="25" t="n">
        <x:f t="shared" ref="D1204:D1252" si="69">$D$402+$K$19</x:f>
        <x:v>247200</x:v>
      </x:c>
      <x:c r="E1204" s="25" t="n">
        <x:f t="shared" ref="E1204:E1252" si="70">$E$402+$L$19</x:f>
        <x:v>264900</x:v>
      </x:c>
      <x:c r="F1204" s="58" t="n">
        <x:f t="shared" ref="F1204:F1252" si="71">$F$402+$M$19</x:f>
        <x:v>282100</x:v>
      </x:c>
    </x:row>
    <x:row r="1205">
      <x:c r="B1205" s="63">
        <x:v>1303</x:v>
      </x:c>
      <x:c r="C1205" s="57">
        <x:f t="shared" si="68"/>
        <x:v>223600</x:v>
      </x:c>
      <x:c r="D1205" s="25">
        <x:f t="shared" si="69"/>
        <x:v>247200</x:v>
      </x:c>
      <x:c r="E1205" s="25">
        <x:f t="shared" si="70"/>
        <x:v>264900</x:v>
      </x:c>
      <x:c r="F1205" s="58">
        <x:f t="shared" si="71"/>
        <x:v>282100</x:v>
      </x:c>
    </x:row>
    <x:row r="1206">
      <x:c r="B1206" s="63">
        <x:v>1304</x:v>
      </x:c>
      <x:c r="C1206" s="57">
        <x:f t="shared" si="68"/>
        <x:v>223600</x:v>
      </x:c>
      <x:c r="D1206" s="25">
        <x:f t="shared" si="69"/>
        <x:v>247200</x:v>
      </x:c>
      <x:c r="E1206" s="25">
        <x:f t="shared" si="70"/>
        <x:v>264900</x:v>
      </x:c>
      <x:c r="F1206" s="58">
        <x:f t="shared" si="71"/>
        <x:v>282100</x:v>
      </x:c>
    </x:row>
    <x:row r="1207">
      <x:c r="B1207" s="63">
        <x:v>1305</x:v>
      </x:c>
      <x:c r="C1207" s="57">
        <x:f t="shared" si="68"/>
        <x:v>223600</x:v>
      </x:c>
      <x:c r="D1207" s="25">
        <x:f t="shared" si="69"/>
        <x:v>247200</x:v>
      </x:c>
      <x:c r="E1207" s="25">
        <x:f t="shared" si="70"/>
        <x:v>264900</x:v>
      </x:c>
      <x:c r="F1207" s="58">
        <x:f t="shared" si="71"/>
        <x:v>282100</x:v>
      </x:c>
    </x:row>
    <x:row r="1208">
      <x:c r="B1208" s="63">
        <x:v>1306</x:v>
      </x:c>
      <x:c r="C1208" s="57">
        <x:f t="shared" si="68"/>
        <x:v>223600</x:v>
      </x:c>
      <x:c r="D1208" s="25">
        <x:f t="shared" si="69"/>
        <x:v>247200</x:v>
      </x:c>
      <x:c r="E1208" s="25">
        <x:f t="shared" si="70"/>
        <x:v>264900</x:v>
      </x:c>
      <x:c r="F1208" s="58">
        <x:f t="shared" si="71"/>
        <x:v>282100</x:v>
      </x:c>
    </x:row>
    <x:row r="1209">
      <x:c r="B1209" s="63">
        <x:v>1307</x:v>
      </x:c>
      <x:c r="C1209" s="57">
        <x:f t="shared" si="68"/>
        <x:v>223600</x:v>
      </x:c>
      <x:c r="D1209" s="25">
        <x:f t="shared" si="69"/>
        <x:v>247200</x:v>
      </x:c>
      <x:c r="E1209" s="25">
        <x:f t="shared" si="70"/>
        <x:v>264900</x:v>
      </x:c>
      <x:c r="F1209" s="58">
        <x:f t="shared" si="71"/>
        <x:v>282100</x:v>
      </x:c>
    </x:row>
    <x:row r="1210">
      <x:c r="B1210" s="63">
        <x:v>1308</x:v>
      </x:c>
      <x:c r="C1210" s="57">
        <x:f t="shared" si="68"/>
        <x:v>223600</x:v>
      </x:c>
      <x:c r="D1210" s="25">
        <x:f t="shared" si="69"/>
        <x:v>247200</x:v>
      </x:c>
      <x:c r="E1210" s="25">
        <x:f t="shared" si="70"/>
        <x:v>264900</x:v>
      </x:c>
      <x:c r="F1210" s="58">
        <x:f t="shared" si="71"/>
        <x:v>282100</x:v>
      </x:c>
    </x:row>
    <x:row r="1211">
      <x:c r="B1211" s="63">
        <x:v>1309</x:v>
      </x:c>
      <x:c r="C1211" s="57">
        <x:f t="shared" si="68"/>
        <x:v>223600</x:v>
      </x:c>
      <x:c r="D1211" s="25">
        <x:f t="shared" si="69"/>
        <x:v>247200</x:v>
      </x:c>
      <x:c r="E1211" s="25">
        <x:f t="shared" si="70"/>
        <x:v>264900</x:v>
      </x:c>
      <x:c r="F1211" s="58">
        <x:f t="shared" si="71"/>
        <x:v>282100</x:v>
      </x:c>
    </x:row>
    <x:row r="1212">
      <x:c r="B1212" s="63">
        <x:v>1310</x:v>
      </x:c>
      <x:c r="C1212" s="57">
        <x:f t="shared" si="68"/>
        <x:v>223600</x:v>
      </x:c>
      <x:c r="D1212" s="25">
        <x:f t="shared" si="69"/>
        <x:v>247200</x:v>
      </x:c>
      <x:c r="E1212" s="25">
        <x:f t="shared" si="70"/>
        <x:v>264900</x:v>
      </x:c>
      <x:c r="F1212" s="58">
        <x:f t="shared" si="71"/>
        <x:v>282100</x:v>
      </x:c>
    </x:row>
    <x:row r="1213">
      <x:c r="B1213" s="63">
        <x:v>1311</x:v>
      </x:c>
      <x:c r="C1213" s="57">
        <x:f t="shared" si="68"/>
        <x:v>223600</x:v>
      </x:c>
      <x:c r="D1213" s="25">
        <x:f t="shared" si="69"/>
        <x:v>247200</x:v>
      </x:c>
      <x:c r="E1213" s="25">
        <x:f t="shared" si="70"/>
        <x:v>264900</x:v>
      </x:c>
      <x:c r="F1213" s="58">
        <x:f t="shared" si="71"/>
        <x:v>282100</x:v>
      </x:c>
    </x:row>
    <x:row r="1214">
      <x:c r="B1214" s="63">
        <x:v>1312</x:v>
      </x:c>
      <x:c r="C1214" s="57">
        <x:f t="shared" si="68"/>
        <x:v>223600</x:v>
      </x:c>
      <x:c r="D1214" s="25">
        <x:f t="shared" si="69"/>
        <x:v>247200</x:v>
      </x:c>
      <x:c r="E1214" s="25">
        <x:f t="shared" si="70"/>
        <x:v>264900</x:v>
      </x:c>
      <x:c r="F1214" s="58">
        <x:f t="shared" si="71"/>
        <x:v>282100</x:v>
      </x:c>
    </x:row>
    <x:row r="1215">
      <x:c r="B1215" s="63">
        <x:v>1313</x:v>
      </x:c>
      <x:c r="C1215" s="57">
        <x:f t="shared" si="68"/>
        <x:v>223600</x:v>
      </x:c>
      <x:c r="D1215" s="25">
        <x:f t="shared" si="69"/>
        <x:v>247200</x:v>
      </x:c>
      <x:c r="E1215" s="25">
        <x:f t="shared" si="70"/>
        <x:v>264900</x:v>
      </x:c>
      <x:c r="F1215" s="58">
        <x:f t="shared" si="71"/>
        <x:v>282100</x:v>
      </x:c>
    </x:row>
    <x:row r="1216">
      <x:c r="B1216" s="63">
        <x:v>1314</x:v>
      </x:c>
      <x:c r="C1216" s="57">
        <x:f t="shared" si="68"/>
        <x:v>223600</x:v>
      </x:c>
      <x:c r="D1216" s="25">
        <x:f t="shared" si="69"/>
        <x:v>247200</x:v>
      </x:c>
      <x:c r="E1216" s="25">
        <x:f t="shared" si="70"/>
        <x:v>264900</x:v>
      </x:c>
      <x:c r="F1216" s="58">
        <x:f t="shared" si="71"/>
        <x:v>282100</x:v>
      </x:c>
    </x:row>
    <x:row r="1217">
      <x:c r="B1217" s="63">
        <x:v>1315</x:v>
      </x:c>
      <x:c r="C1217" s="57">
        <x:f t="shared" si="68"/>
        <x:v>223600</x:v>
      </x:c>
      <x:c r="D1217" s="25">
        <x:f t="shared" si="69"/>
        <x:v>247200</x:v>
      </x:c>
      <x:c r="E1217" s="25">
        <x:f t="shared" si="70"/>
        <x:v>264900</x:v>
      </x:c>
      <x:c r="F1217" s="58">
        <x:f t="shared" si="71"/>
        <x:v>282100</x:v>
      </x:c>
    </x:row>
    <x:row r="1218">
      <x:c r="B1218" s="63">
        <x:v>1316</x:v>
      </x:c>
      <x:c r="C1218" s="57">
        <x:f t="shared" si="68"/>
        <x:v>223600</x:v>
      </x:c>
      <x:c r="D1218" s="25">
        <x:f t="shared" si="69"/>
        <x:v>247200</x:v>
      </x:c>
      <x:c r="E1218" s="25">
        <x:f t="shared" si="70"/>
        <x:v>264900</x:v>
      </x:c>
      <x:c r="F1218" s="58">
        <x:f t="shared" si="71"/>
        <x:v>282100</x:v>
      </x:c>
    </x:row>
    <x:row r="1219">
      <x:c r="B1219" s="63">
        <x:v>1317</x:v>
      </x:c>
      <x:c r="C1219" s="57">
        <x:f t="shared" si="68"/>
        <x:v>223600</x:v>
      </x:c>
      <x:c r="D1219" s="25">
        <x:f t="shared" si="69"/>
        <x:v>247200</x:v>
      </x:c>
      <x:c r="E1219" s="25">
        <x:f t="shared" si="70"/>
        <x:v>264900</x:v>
      </x:c>
      <x:c r="F1219" s="58">
        <x:f t="shared" si="71"/>
        <x:v>282100</x:v>
      </x:c>
    </x:row>
    <x:row r="1220">
      <x:c r="B1220" s="63">
        <x:v>1318</x:v>
      </x:c>
      <x:c r="C1220" s="57">
        <x:f t="shared" si="68"/>
        <x:v>223600</x:v>
      </x:c>
      <x:c r="D1220" s="25">
        <x:f t="shared" si="69"/>
        <x:v>247200</x:v>
      </x:c>
      <x:c r="E1220" s="25">
        <x:f t="shared" si="70"/>
        <x:v>264900</x:v>
      </x:c>
      <x:c r="F1220" s="58">
        <x:f t="shared" si="71"/>
        <x:v>282100</x:v>
      </x:c>
    </x:row>
    <x:row r="1221">
      <x:c r="B1221" s="63">
        <x:v>1319</x:v>
      </x:c>
      <x:c r="C1221" s="57">
        <x:f t="shared" si="68"/>
        <x:v>223600</x:v>
      </x:c>
      <x:c r="D1221" s="25">
        <x:f t="shared" si="69"/>
        <x:v>247200</x:v>
      </x:c>
      <x:c r="E1221" s="25">
        <x:f t="shared" si="70"/>
        <x:v>264900</x:v>
      </x:c>
      <x:c r="F1221" s="58">
        <x:f t="shared" si="71"/>
        <x:v>282100</x:v>
      </x:c>
    </x:row>
    <x:row r="1222">
      <x:c r="B1222" s="63">
        <x:v>1320</x:v>
      </x:c>
      <x:c r="C1222" s="57">
        <x:f t="shared" si="68"/>
        <x:v>223600</x:v>
      </x:c>
      <x:c r="D1222" s="25">
        <x:f t="shared" si="69"/>
        <x:v>247200</x:v>
      </x:c>
      <x:c r="E1222" s="25">
        <x:f t="shared" si="70"/>
        <x:v>264900</x:v>
      </x:c>
      <x:c r="F1222" s="58">
        <x:f t="shared" si="71"/>
        <x:v>282100</x:v>
      </x:c>
    </x:row>
    <x:row r="1223">
      <x:c r="B1223" s="63">
        <x:v>1321</x:v>
      </x:c>
      <x:c r="C1223" s="57">
        <x:f t="shared" si="68"/>
        <x:v>223600</x:v>
      </x:c>
      <x:c r="D1223" s="25">
        <x:f t="shared" si="69"/>
        <x:v>247200</x:v>
      </x:c>
      <x:c r="E1223" s="25">
        <x:f t="shared" si="70"/>
        <x:v>264900</x:v>
      </x:c>
      <x:c r="F1223" s="58">
        <x:f t="shared" si="71"/>
        <x:v>282100</x:v>
      </x:c>
    </x:row>
    <x:row r="1224">
      <x:c r="B1224" s="63">
        <x:v>1322</x:v>
      </x:c>
      <x:c r="C1224" s="57">
        <x:f t="shared" si="68"/>
        <x:v>223600</x:v>
      </x:c>
      <x:c r="D1224" s="25">
        <x:f t="shared" si="69"/>
        <x:v>247200</x:v>
      </x:c>
      <x:c r="E1224" s="25">
        <x:f t="shared" si="70"/>
        <x:v>264900</x:v>
      </x:c>
      <x:c r="F1224" s="58">
        <x:f t="shared" si="71"/>
        <x:v>282100</x:v>
      </x:c>
    </x:row>
    <x:row r="1225">
      <x:c r="B1225" s="63">
        <x:v>1323</x:v>
      </x:c>
      <x:c r="C1225" s="57">
        <x:f t="shared" si="68"/>
        <x:v>223600</x:v>
      </x:c>
      <x:c r="D1225" s="25">
        <x:f t="shared" si="69"/>
        <x:v>247200</x:v>
      </x:c>
      <x:c r="E1225" s="25">
        <x:f t="shared" si="70"/>
        <x:v>264900</x:v>
      </x:c>
      <x:c r="F1225" s="58">
        <x:f t="shared" si="71"/>
        <x:v>282100</x:v>
      </x:c>
    </x:row>
    <x:row r="1226">
      <x:c r="B1226" s="63">
        <x:v>1324</x:v>
      </x:c>
      <x:c r="C1226" s="57">
        <x:f t="shared" si="68"/>
        <x:v>223600</x:v>
      </x:c>
      <x:c r="D1226" s="25">
        <x:f t="shared" si="69"/>
        <x:v>247200</x:v>
      </x:c>
      <x:c r="E1226" s="25">
        <x:f t="shared" si="70"/>
        <x:v>264900</x:v>
      </x:c>
      <x:c r="F1226" s="58">
        <x:f t="shared" si="71"/>
        <x:v>282100</x:v>
      </x:c>
    </x:row>
    <x:row r="1227">
      <x:c r="B1227" s="63">
        <x:v>1325</x:v>
      </x:c>
      <x:c r="C1227" s="57">
        <x:f t="shared" si="68"/>
        <x:v>223600</x:v>
      </x:c>
      <x:c r="D1227" s="25">
        <x:f t="shared" si="69"/>
        <x:v>247200</x:v>
      </x:c>
      <x:c r="E1227" s="25">
        <x:f t="shared" si="70"/>
        <x:v>264900</x:v>
      </x:c>
      <x:c r="F1227" s="58">
        <x:f t="shared" si="71"/>
        <x:v>282100</x:v>
      </x:c>
    </x:row>
    <x:row r="1228">
      <x:c r="B1228" s="63">
        <x:v>1326</x:v>
      </x:c>
      <x:c r="C1228" s="57">
        <x:f t="shared" si="68"/>
        <x:v>223600</x:v>
      </x:c>
      <x:c r="D1228" s="25">
        <x:f t="shared" si="69"/>
        <x:v>247200</x:v>
      </x:c>
      <x:c r="E1228" s="25">
        <x:f t="shared" si="70"/>
        <x:v>264900</x:v>
      </x:c>
      <x:c r="F1228" s="58">
        <x:f t="shared" si="71"/>
        <x:v>282100</x:v>
      </x:c>
    </x:row>
    <x:row r="1229">
      <x:c r="B1229" s="63">
        <x:v>1327</x:v>
      </x:c>
      <x:c r="C1229" s="57">
        <x:f t="shared" si="68"/>
        <x:v>223600</x:v>
      </x:c>
      <x:c r="D1229" s="25">
        <x:f t="shared" si="69"/>
        <x:v>247200</x:v>
      </x:c>
      <x:c r="E1229" s="25">
        <x:f t="shared" si="70"/>
        <x:v>264900</x:v>
      </x:c>
      <x:c r="F1229" s="58">
        <x:f t="shared" si="71"/>
        <x:v>282100</x:v>
      </x:c>
    </x:row>
    <x:row r="1230">
      <x:c r="B1230" s="63">
        <x:v>1328</x:v>
      </x:c>
      <x:c r="C1230" s="57">
        <x:f t="shared" si="68"/>
        <x:v>223600</x:v>
      </x:c>
      <x:c r="D1230" s="25">
        <x:f t="shared" si="69"/>
        <x:v>247200</x:v>
      </x:c>
      <x:c r="E1230" s="25">
        <x:f t="shared" si="70"/>
        <x:v>264900</x:v>
      </x:c>
      <x:c r="F1230" s="58">
        <x:f t="shared" si="71"/>
        <x:v>282100</x:v>
      </x:c>
    </x:row>
    <x:row r="1231">
      <x:c r="B1231" s="63">
        <x:v>1329</x:v>
      </x:c>
      <x:c r="C1231" s="57">
        <x:f t="shared" si="68"/>
        <x:v>223600</x:v>
      </x:c>
      <x:c r="D1231" s="25">
        <x:f t="shared" si="69"/>
        <x:v>247200</x:v>
      </x:c>
      <x:c r="E1231" s="25">
        <x:f t="shared" si="70"/>
        <x:v>264900</x:v>
      </x:c>
      <x:c r="F1231" s="58">
        <x:f t="shared" si="71"/>
        <x:v>282100</x:v>
      </x:c>
    </x:row>
    <x:row r="1232">
      <x:c r="B1232" s="63">
        <x:v>1330</x:v>
      </x:c>
      <x:c r="C1232" s="57">
        <x:f t="shared" si="68"/>
        <x:v>223600</x:v>
      </x:c>
      <x:c r="D1232" s="25">
        <x:f t="shared" si="69"/>
        <x:v>247200</x:v>
      </x:c>
      <x:c r="E1232" s="25">
        <x:f t="shared" si="70"/>
        <x:v>264900</x:v>
      </x:c>
      <x:c r="F1232" s="58">
        <x:f t="shared" si="71"/>
        <x:v>282100</x:v>
      </x:c>
    </x:row>
    <x:row r="1233">
      <x:c r="B1233" s="63">
        <x:v>1331</x:v>
      </x:c>
      <x:c r="C1233" s="57">
        <x:f t="shared" si="68"/>
        <x:v>223600</x:v>
      </x:c>
      <x:c r="D1233" s="25">
        <x:f t="shared" si="69"/>
        <x:v>247200</x:v>
      </x:c>
      <x:c r="E1233" s="25">
        <x:f t="shared" si="70"/>
        <x:v>264900</x:v>
      </x:c>
      <x:c r="F1233" s="58">
        <x:f t="shared" si="71"/>
        <x:v>282100</x:v>
      </x:c>
    </x:row>
    <x:row r="1234">
      <x:c r="B1234" s="63">
        <x:v>1332</x:v>
      </x:c>
      <x:c r="C1234" s="57">
        <x:f t="shared" si="68"/>
        <x:v>223600</x:v>
      </x:c>
      <x:c r="D1234" s="25">
        <x:f t="shared" si="69"/>
        <x:v>247200</x:v>
      </x:c>
      <x:c r="E1234" s="25">
        <x:f t="shared" si="70"/>
        <x:v>264900</x:v>
      </x:c>
      <x:c r="F1234" s="58">
        <x:f t="shared" si="71"/>
        <x:v>282100</x:v>
      </x:c>
    </x:row>
    <x:row r="1235">
      <x:c r="B1235" s="63">
        <x:v>1333</x:v>
      </x:c>
      <x:c r="C1235" s="57">
        <x:f t="shared" si="68"/>
        <x:v>223600</x:v>
      </x:c>
      <x:c r="D1235" s="25">
        <x:f t="shared" si="69"/>
        <x:v>247200</x:v>
      </x:c>
      <x:c r="E1235" s="25">
        <x:f t="shared" si="70"/>
        <x:v>264900</x:v>
      </x:c>
      <x:c r="F1235" s="58">
        <x:f t="shared" si="71"/>
        <x:v>282100</x:v>
      </x:c>
    </x:row>
    <x:row r="1236">
      <x:c r="B1236" s="63">
        <x:v>1334</x:v>
      </x:c>
      <x:c r="C1236" s="57">
        <x:f t="shared" si="68"/>
        <x:v>223600</x:v>
      </x:c>
      <x:c r="D1236" s="25">
        <x:f t="shared" si="69"/>
        <x:v>247200</x:v>
      </x:c>
      <x:c r="E1236" s="25">
        <x:f t="shared" si="70"/>
        <x:v>264900</x:v>
      </x:c>
      <x:c r="F1236" s="58">
        <x:f t="shared" si="71"/>
        <x:v>282100</x:v>
      </x:c>
    </x:row>
    <x:row r="1237">
      <x:c r="B1237" s="63">
        <x:v>1335</x:v>
      </x:c>
      <x:c r="C1237" s="57">
        <x:f t="shared" si="68"/>
        <x:v>223600</x:v>
      </x:c>
      <x:c r="D1237" s="25">
        <x:f t="shared" si="69"/>
        <x:v>247200</x:v>
      </x:c>
      <x:c r="E1237" s="25">
        <x:f t="shared" si="70"/>
        <x:v>264900</x:v>
      </x:c>
      <x:c r="F1237" s="58">
        <x:f t="shared" si="71"/>
        <x:v>282100</x:v>
      </x:c>
    </x:row>
    <x:row r="1238">
      <x:c r="B1238" s="63">
        <x:v>1336</x:v>
      </x:c>
      <x:c r="C1238" s="57">
        <x:f t="shared" si="68"/>
        <x:v>223600</x:v>
      </x:c>
      <x:c r="D1238" s="25">
        <x:f t="shared" si="69"/>
        <x:v>247200</x:v>
      </x:c>
      <x:c r="E1238" s="25">
        <x:f t="shared" si="70"/>
        <x:v>264900</x:v>
      </x:c>
      <x:c r="F1238" s="58">
        <x:f t="shared" si="71"/>
        <x:v>282100</x:v>
      </x:c>
    </x:row>
    <x:row r="1239">
      <x:c r="B1239" s="63">
        <x:v>1337</x:v>
      </x:c>
      <x:c r="C1239" s="57">
        <x:f t="shared" si="68"/>
        <x:v>223600</x:v>
      </x:c>
      <x:c r="D1239" s="25">
        <x:f t="shared" si="69"/>
        <x:v>247200</x:v>
      </x:c>
      <x:c r="E1239" s="25">
        <x:f t="shared" si="70"/>
        <x:v>264900</x:v>
      </x:c>
      <x:c r="F1239" s="58">
        <x:f t="shared" si="71"/>
        <x:v>282100</x:v>
      </x:c>
    </x:row>
    <x:row r="1240">
      <x:c r="B1240" s="63">
        <x:v>1338</x:v>
      </x:c>
      <x:c r="C1240" s="57">
        <x:f t="shared" si="68"/>
        <x:v>223600</x:v>
      </x:c>
      <x:c r="D1240" s="25">
        <x:f t="shared" si="69"/>
        <x:v>247200</x:v>
      </x:c>
      <x:c r="E1240" s="25">
        <x:f t="shared" si="70"/>
        <x:v>264900</x:v>
      </x:c>
      <x:c r="F1240" s="58">
        <x:f t="shared" si="71"/>
        <x:v>282100</x:v>
      </x:c>
    </x:row>
    <x:row r="1241">
      <x:c r="B1241" s="63">
        <x:v>1339</x:v>
      </x:c>
      <x:c r="C1241" s="57">
        <x:f t="shared" si="68"/>
        <x:v>223600</x:v>
      </x:c>
      <x:c r="D1241" s="25">
        <x:f t="shared" si="69"/>
        <x:v>247200</x:v>
      </x:c>
      <x:c r="E1241" s="25">
        <x:f t="shared" si="70"/>
        <x:v>264900</x:v>
      </x:c>
      <x:c r="F1241" s="58">
        <x:f t="shared" si="71"/>
        <x:v>282100</x:v>
      </x:c>
    </x:row>
    <x:row r="1242">
      <x:c r="B1242" s="63">
        <x:v>1340</x:v>
      </x:c>
      <x:c r="C1242" s="57">
        <x:f t="shared" si="68"/>
        <x:v>223600</x:v>
      </x:c>
      <x:c r="D1242" s="25">
        <x:f t="shared" si="69"/>
        <x:v>247200</x:v>
      </x:c>
      <x:c r="E1242" s="25">
        <x:f t="shared" si="70"/>
        <x:v>264900</x:v>
      </x:c>
      <x:c r="F1242" s="58">
        <x:f t="shared" si="71"/>
        <x:v>282100</x:v>
      </x:c>
    </x:row>
    <x:row r="1243">
      <x:c r="B1243" s="63">
        <x:v>1341</x:v>
      </x:c>
      <x:c r="C1243" s="57">
        <x:f t="shared" si="68"/>
        <x:v>223600</x:v>
      </x:c>
      <x:c r="D1243" s="25">
        <x:f t="shared" si="69"/>
        <x:v>247200</x:v>
      </x:c>
      <x:c r="E1243" s="25">
        <x:f t="shared" si="70"/>
        <x:v>264900</x:v>
      </x:c>
      <x:c r="F1243" s="58">
        <x:f t="shared" si="71"/>
        <x:v>282100</x:v>
      </x:c>
    </x:row>
    <x:row r="1244">
      <x:c r="B1244" s="63">
        <x:v>1342</x:v>
      </x:c>
      <x:c r="C1244" s="57">
        <x:f t="shared" si="68"/>
        <x:v>223600</x:v>
      </x:c>
      <x:c r="D1244" s="25">
        <x:f t="shared" si="69"/>
        <x:v>247200</x:v>
      </x:c>
      <x:c r="E1244" s="25">
        <x:f t="shared" si="70"/>
        <x:v>264900</x:v>
      </x:c>
      <x:c r="F1244" s="58">
        <x:f t="shared" si="71"/>
        <x:v>282100</x:v>
      </x:c>
    </x:row>
    <x:row r="1245">
      <x:c r="B1245" s="63">
        <x:v>1343</x:v>
      </x:c>
      <x:c r="C1245" s="57">
        <x:f t="shared" si="68"/>
        <x:v>223600</x:v>
      </x:c>
      <x:c r="D1245" s="25">
        <x:f t="shared" si="69"/>
        <x:v>247200</x:v>
      </x:c>
      <x:c r="E1245" s="25">
        <x:f t="shared" si="70"/>
        <x:v>264900</x:v>
      </x:c>
      <x:c r="F1245" s="58">
        <x:f t="shared" si="71"/>
        <x:v>282100</x:v>
      </x:c>
    </x:row>
    <x:row r="1246">
      <x:c r="B1246" s="63">
        <x:v>1344</x:v>
      </x:c>
      <x:c r="C1246" s="57">
        <x:f t="shared" si="68"/>
        <x:v>223600</x:v>
      </x:c>
      <x:c r="D1246" s="25">
        <x:f t="shared" si="69"/>
        <x:v>247200</x:v>
      </x:c>
      <x:c r="E1246" s="25">
        <x:f t="shared" si="70"/>
        <x:v>264900</x:v>
      </x:c>
      <x:c r="F1246" s="58">
        <x:f t="shared" si="71"/>
        <x:v>282100</x:v>
      </x:c>
    </x:row>
    <x:row r="1247">
      <x:c r="B1247" s="63">
        <x:v>1345</x:v>
      </x:c>
      <x:c r="C1247" s="57">
        <x:f t="shared" si="68"/>
        <x:v>223600</x:v>
      </x:c>
      <x:c r="D1247" s="25">
        <x:f t="shared" si="69"/>
        <x:v>247200</x:v>
      </x:c>
      <x:c r="E1247" s="25">
        <x:f t="shared" si="70"/>
        <x:v>264900</x:v>
      </x:c>
      <x:c r="F1247" s="58">
        <x:f t="shared" si="71"/>
        <x:v>282100</x:v>
      </x:c>
    </x:row>
    <x:row r="1248">
      <x:c r="B1248" s="63">
        <x:v>1346</x:v>
      </x:c>
      <x:c r="C1248" s="57">
        <x:f t="shared" si="68"/>
        <x:v>223600</x:v>
      </x:c>
      <x:c r="D1248" s="25">
        <x:f t="shared" si="69"/>
        <x:v>247200</x:v>
      </x:c>
      <x:c r="E1248" s="25">
        <x:f t="shared" si="70"/>
        <x:v>264900</x:v>
      </x:c>
      <x:c r="F1248" s="58">
        <x:f t="shared" si="71"/>
        <x:v>282100</x:v>
      </x:c>
    </x:row>
    <x:row r="1249">
      <x:c r="B1249" s="63">
        <x:v>1347</x:v>
      </x:c>
      <x:c r="C1249" s="57">
        <x:f t="shared" si="68"/>
        <x:v>223600</x:v>
      </x:c>
      <x:c r="D1249" s="25">
        <x:f t="shared" si="69"/>
        <x:v>247200</x:v>
      </x:c>
      <x:c r="E1249" s="25">
        <x:f t="shared" si="70"/>
        <x:v>264900</x:v>
      </x:c>
      <x:c r="F1249" s="58">
        <x:f t="shared" si="71"/>
        <x:v>282100</x:v>
      </x:c>
    </x:row>
    <x:row r="1250">
      <x:c r="B1250" s="63">
        <x:v>1348</x:v>
      </x:c>
      <x:c r="C1250" s="57">
        <x:f t="shared" si="68"/>
        <x:v>223600</x:v>
      </x:c>
      <x:c r="D1250" s="25">
        <x:f t="shared" si="69"/>
        <x:v>247200</x:v>
      </x:c>
      <x:c r="E1250" s="25">
        <x:f t="shared" si="70"/>
        <x:v>264900</x:v>
      </x:c>
      <x:c r="F1250" s="58">
        <x:f t="shared" si="71"/>
        <x:v>282100</x:v>
      </x:c>
    </x:row>
    <x:row r="1251">
      <x:c r="B1251" s="63">
        <x:v>1349</x:v>
      </x:c>
      <x:c r="C1251" s="57">
        <x:f t="shared" si="68"/>
        <x:v>223600</x:v>
      </x:c>
      <x:c r="D1251" s="25">
        <x:f t="shared" si="69"/>
        <x:v>247200</x:v>
      </x:c>
      <x:c r="E1251" s="25">
        <x:f t="shared" si="70"/>
        <x:v>264900</x:v>
      </x:c>
      <x:c r="F1251" s="58">
        <x:f t="shared" si="71"/>
        <x:v>282100</x:v>
      </x:c>
    </x:row>
    <x:row r="1252">
      <x:c r="B1252" s="63">
        <x:v>1350</x:v>
      </x:c>
      <x:c r="C1252" s="57">
        <x:f t="shared" si="68"/>
        <x:v>223600</x:v>
      </x:c>
      <x:c r="D1252" s="25">
        <x:f t="shared" si="69"/>
        <x:v>247200</x:v>
      </x:c>
      <x:c r="E1252" s="25">
        <x:f t="shared" si="70"/>
        <x:v>264900</x:v>
      </x:c>
      <x:c r="F1252" s="58">
        <x:f t="shared" si="71"/>
        <x:v>282100</x:v>
      </x:c>
    </x:row>
    <x:row r="1253">
      <x:c r="B1253" s="63">
        <x:v>1351</x:v>
      </x:c>
      <x:c r="C1253" s="57" t="n">
        <x:f>$C$402+$J$20</x:f>
        <x:v>230900</x:v>
      </x:c>
      <x:c r="D1253" s="25" t="n">
        <x:f>$D$402+$K$20</x:f>
        <x:v>255300</x:v>
      </x:c>
      <x:c r="E1253" s="25" t="n">
        <x:f>$E$402+$L$20</x:f>
        <x:v>273600</x:v>
      </x:c>
      <x:c r="F1253" s="58" t="n">
        <x:f>$F$402+$M$20</x:f>
        <x:v>291400</x:v>
      </x:c>
    </x:row>
    <x:row r="1254">
      <x:c r="B1254" s="63">
        <x:v>1352</x:v>
      </x:c>
      <x:c r="C1254" s="57" t="n">
        <x:f t="shared" ref="C1254:C1302" si="72">$C$402+$J$20</x:f>
        <x:v>230900</x:v>
      </x:c>
      <x:c r="D1254" s="25" t="n">
        <x:f t="shared" ref="D1254:D1302" si="73">$D$402+$K$20</x:f>
        <x:v>255300</x:v>
      </x:c>
      <x:c r="E1254" s="25" t="n">
        <x:f t="shared" ref="E1254:E1302" si="74">$E$402+$L$20</x:f>
        <x:v>273600</x:v>
      </x:c>
      <x:c r="F1254" s="58" t="n">
        <x:f t="shared" ref="F1254:F1302" si="75">$F$402+$M$20</x:f>
        <x:v>291400</x:v>
      </x:c>
    </x:row>
    <x:row r="1255">
      <x:c r="B1255" s="63">
        <x:v>1353</x:v>
      </x:c>
      <x:c r="C1255" s="57">
        <x:f t="shared" si="72"/>
        <x:v>230900</x:v>
      </x:c>
      <x:c r="D1255" s="25">
        <x:f t="shared" si="73"/>
        <x:v>255300</x:v>
      </x:c>
      <x:c r="E1255" s="25">
        <x:f t="shared" si="74"/>
        <x:v>273600</x:v>
      </x:c>
      <x:c r="F1255" s="58">
        <x:f t="shared" si="75"/>
        <x:v>291400</x:v>
      </x:c>
    </x:row>
    <x:row r="1256">
      <x:c r="B1256" s="63">
        <x:v>1354</x:v>
      </x:c>
      <x:c r="C1256" s="57">
        <x:f t="shared" si="72"/>
        <x:v>230900</x:v>
      </x:c>
      <x:c r="D1256" s="25">
        <x:f t="shared" si="73"/>
        <x:v>255300</x:v>
      </x:c>
      <x:c r="E1256" s="25">
        <x:f t="shared" si="74"/>
        <x:v>273600</x:v>
      </x:c>
      <x:c r="F1256" s="58">
        <x:f t="shared" si="75"/>
        <x:v>291400</x:v>
      </x:c>
    </x:row>
    <x:row r="1257">
      <x:c r="B1257" s="63">
        <x:v>1355</x:v>
      </x:c>
      <x:c r="C1257" s="57">
        <x:f t="shared" si="72"/>
        <x:v>230900</x:v>
      </x:c>
      <x:c r="D1257" s="25">
        <x:f t="shared" si="73"/>
        <x:v>255300</x:v>
      </x:c>
      <x:c r="E1257" s="25">
        <x:f t="shared" si="74"/>
        <x:v>273600</x:v>
      </x:c>
      <x:c r="F1257" s="58">
        <x:f t="shared" si="75"/>
        <x:v>291400</x:v>
      </x:c>
    </x:row>
    <x:row r="1258">
      <x:c r="B1258" s="63">
        <x:v>1356</x:v>
      </x:c>
      <x:c r="C1258" s="57">
        <x:f t="shared" si="72"/>
        <x:v>230900</x:v>
      </x:c>
      <x:c r="D1258" s="25">
        <x:f t="shared" si="73"/>
        <x:v>255300</x:v>
      </x:c>
      <x:c r="E1258" s="25">
        <x:f t="shared" si="74"/>
        <x:v>273600</x:v>
      </x:c>
      <x:c r="F1258" s="58">
        <x:f t="shared" si="75"/>
        <x:v>291400</x:v>
      </x:c>
    </x:row>
    <x:row r="1259">
      <x:c r="B1259" s="63">
        <x:v>1357</x:v>
      </x:c>
      <x:c r="C1259" s="57">
        <x:f t="shared" si="72"/>
        <x:v>230900</x:v>
      </x:c>
      <x:c r="D1259" s="25">
        <x:f t="shared" si="73"/>
        <x:v>255300</x:v>
      </x:c>
      <x:c r="E1259" s="25">
        <x:f t="shared" si="74"/>
        <x:v>273600</x:v>
      </x:c>
      <x:c r="F1259" s="58">
        <x:f t="shared" si="75"/>
        <x:v>291400</x:v>
      </x:c>
    </x:row>
    <x:row r="1260">
      <x:c r="B1260" s="63">
        <x:v>1358</x:v>
      </x:c>
      <x:c r="C1260" s="57">
        <x:f t="shared" si="72"/>
        <x:v>230900</x:v>
      </x:c>
      <x:c r="D1260" s="25">
        <x:f t="shared" si="73"/>
        <x:v>255300</x:v>
      </x:c>
      <x:c r="E1260" s="25">
        <x:f t="shared" si="74"/>
        <x:v>273600</x:v>
      </x:c>
      <x:c r="F1260" s="58">
        <x:f t="shared" si="75"/>
        <x:v>291400</x:v>
      </x:c>
    </x:row>
    <x:row r="1261">
      <x:c r="B1261" s="63">
        <x:v>1359</x:v>
      </x:c>
      <x:c r="C1261" s="57">
        <x:f t="shared" si="72"/>
        <x:v>230900</x:v>
      </x:c>
      <x:c r="D1261" s="25">
        <x:f t="shared" si="73"/>
        <x:v>255300</x:v>
      </x:c>
      <x:c r="E1261" s="25">
        <x:f t="shared" si="74"/>
        <x:v>273600</x:v>
      </x:c>
      <x:c r="F1261" s="58">
        <x:f t="shared" si="75"/>
        <x:v>291400</x:v>
      </x:c>
    </x:row>
    <x:row r="1262">
      <x:c r="B1262" s="63">
        <x:v>1360</x:v>
      </x:c>
      <x:c r="C1262" s="57">
        <x:f t="shared" si="72"/>
        <x:v>230900</x:v>
      </x:c>
      <x:c r="D1262" s="25">
        <x:f t="shared" si="73"/>
        <x:v>255300</x:v>
      </x:c>
      <x:c r="E1262" s="25">
        <x:f t="shared" si="74"/>
        <x:v>273600</x:v>
      </x:c>
      <x:c r="F1262" s="58">
        <x:f t="shared" si="75"/>
        <x:v>291400</x:v>
      </x:c>
    </x:row>
    <x:row r="1263">
      <x:c r="B1263" s="63">
        <x:v>1361</x:v>
      </x:c>
      <x:c r="C1263" s="57">
        <x:f t="shared" si="72"/>
        <x:v>230900</x:v>
      </x:c>
      <x:c r="D1263" s="25">
        <x:f t="shared" si="73"/>
        <x:v>255300</x:v>
      </x:c>
      <x:c r="E1263" s="25">
        <x:f t="shared" si="74"/>
        <x:v>273600</x:v>
      </x:c>
      <x:c r="F1263" s="58">
        <x:f t="shared" si="75"/>
        <x:v>291400</x:v>
      </x:c>
    </x:row>
    <x:row r="1264">
      <x:c r="B1264" s="63">
        <x:v>1362</x:v>
      </x:c>
      <x:c r="C1264" s="57">
        <x:f t="shared" si="72"/>
        <x:v>230900</x:v>
      </x:c>
      <x:c r="D1264" s="25">
        <x:f t="shared" si="73"/>
        <x:v>255300</x:v>
      </x:c>
      <x:c r="E1264" s="25">
        <x:f t="shared" si="74"/>
        <x:v>273600</x:v>
      </x:c>
      <x:c r="F1264" s="58">
        <x:f t="shared" si="75"/>
        <x:v>291400</x:v>
      </x:c>
    </x:row>
    <x:row r="1265">
      <x:c r="B1265" s="63">
        <x:v>1363</x:v>
      </x:c>
      <x:c r="C1265" s="57">
        <x:f t="shared" si="72"/>
        <x:v>230900</x:v>
      </x:c>
      <x:c r="D1265" s="25">
        <x:f t="shared" si="73"/>
        <x:v>255300</x:v>
      </x:c>
      <x:c r="E1265" s="25">
        <x:f t="shared" si="74"/>
        <x:v>273600</x:v>
      </x:c>
      <x:c r="F1265" s="58">
        <x:f t="shared" si="75"/>
        <x:v>291400</x:v>
      </x:c>
    </x:row>
    <x:row r="1266">
      <x:c r="B1266" s="63">
        <x:v>1364</x:v>
      </x:c>
      <x:c r="C1266" s="57">
        <x:f t="shared" si="72"/>
        <x:v>230900</x:v>
      </x:c>
      <x:c r="D1266" s="25">
        <x:f t="shared" si="73"/>
        <x:v>255300</x:v>
      </x:c>
      <x:c r="E1266" s="25">
        <x:f t="shared" si="74"/>
        <x:v>273600</x:v>
      </x:c>
      <x:c r="F1266" s="58">
        <x:f t="shared" si="75"/>
        <x:v>291400</x:v>
      </x:c>
    </x:row>
    <x:row r="1267">
      <x:c r="B1267" s="63">
        <x:v>1365</x:v>
      </x:c>
      <x:c r="C1267" s="57">
        <x:f t="shared" si="72"/>
        <x:v>230900</x:v>
      </x:c>
      <x:c r="D1267" s="25">
        <x:f t="shared" si="73"/>
        <x:v>255300</x:v>
      </x:c>
      <x:c r="E1267" s="25">
        <x:f t="shared" si="74"/>
        <x:v>273600</x:v>
      </x:c>
      <x:c r="F1267" s="58">
        <x:f t="shared" si="75"/>
        <x:v>291400</x:v>
      </x:c>
    </x:row>
    <x:row r="1268">
      <x:c r="B1268" s="63">
        <x:v>1366</x:v>
      </x:c>
      <x:c r="C1268" s="57">
        <x:f t="shared" si="72"/>
        <x:v>230900</x:v>
      </x:c>
      <x:c r="D1268" s="25">
        <x:f t="shared" si="73"/>
        <x:v>255300</x:v>
      </x:c>
      <x:c r="E1268" s="25">
        <x:f t="shared" si="74"/>
        <x:v>273600</x:v>
      </x:c>
      <x:c r="F1268" s="58">
        <x:f t="shared" si="75"/>
        <x:v>291400</x:v>
      </x:c>
    </x:row>
    <x:row r="1269">
      <x:c r="B1269" s="63">
        <x:v>1367</x:v>
      </x:c>
      <x:c r="C1269" s="57">
        <x:f t="shared" si="72"/>
        <x:v>230900</x:v>
      </x:c>
      <x:c r="D1269" s="25">
        <x:f t="shared" si="73"/>
        <x:v>255300</x:v>
      </x:c>
      <x:c r="E1269" s="25">
        <x:f t="shared" si="74"/>
        <x:v>273600</x:v>
      </x:c>
      <x:c r="F1269" s="58">
        <x:f t="shared" si="75"/>
        <x:v>291400</x:v>
      </x:c>
    </x:row>
    <x:row r="1270">
      <x:c r="B1270" s="63">
        <x:v>1368</x:v>
      </x:c>
      <x:c r="C1270" s="57">
        <x:f t="shared" si="72"/>
        <x:v>230900</x:v>
      </x:c>
      <x:c r="D1270" s="25">
        <x:f t="shared" si="73"/>
        <x:v>255300</x:v>
      </x:c>
      <x:c r="E1270" s="25">
        <x:f t="shared" si="74"/>
        <x:v>273600</x:v>
      </x:c>
      <x:c r="F1270" s="58">
        <x:f t="shared" si="75"/>
        <x:v>291400</x:v>
      </x:c>
    </x:row>
    <x:row r="1271">
      <x:c r="B1271" s="63">
        <x:v>1369</x:v>
      </x:c>
      <x:c r="C1271" s="57">
        <x:f t="shared" si="72"/>
        <x:v>230900</x:v>
      </x:c>
      <x:c r="D1271" s="25">
        <x:f t="shared" si="73"/>
        <x:v>255300</x:v>
      </x:c>
      <x:c r="E1271" s="25">
        <x:f t="shared" si="74"/>
        <x:v>273600</x:v>
      </x:c>
      <x:c r="F1271" s="58">
        <x:f t="shared" si="75"/>
        <x:v>291400</x:v>
      </x:c>
    </x:row>
    <x:row r="1272">
      <x:c r="B1272" s="63">
        <x:v>1370</x:v>
      </x:c>
      <x:c r="C1272" s="57">
        <x:f t="shared" si="72"/>
        <x:v>230900</x:v>
      </x:c>
      <x:c r="D1272" s="25">
        <x:f t="shared" si="73"/>
        <x:v>255300</x:v>
      </x:c>
      <x:c r="E1272" s="25">
        <x:f t="shared" si="74"/>
        <x:v>273600</x:v>
      </x:c>
      <x:c r="F1272" s="58">
        <x:f t="shared" si="75"/>
        <x:v>291400</x:v>
      </x:c>
    </x:row>
    <x:row r="1273">
      <x:c r="B1273" s="63">
        <x:v>1371</x:v>
      </x:c>
      <x:c r="C1273" s="57">
        <x:f t="shared" si="72"/>
        <x:v>230900</x:v>
      </x:c>
      <x:c r="D1273" s="25">
        <x:f t="shared" si="73"/>
        <x:v>255300</x:v>
      </x:c>
      <x:c r="E1273" s="25">
        <x:f t="shared" si="74"/>
        <x:v>273600</x:v>
      </x:c>
      <x:c r="F1273" s="58">
        <x:f t="shared" si="75"/>
        <x:v>291400</x:v>
      </x:c>
    </x:row>
    <x:row r="1274">
      <x:c r="B1274" s="63">
        <x:v>1372</x:v>
      </x:c>
      <x:c r="C1274" s="57">
        <x:f t="shared" si="72"/>
        <x:v>230900</x:v>
      </x:c>
      <x:c r="D1274" s="25">
        <x:f t="shared" si="73"/>
        <x:v>255300</x:v>
      </x:c>
      <x:c r="E1274" s="25">
        <x:f t="shared" si="74"/>
        <x:v>273600</x:v>
      </x:c>
      <x:c r="F1274" s="58">
        <x:f t="shared" si="75"/>
        <x:v>291400</x:v>
      </x:c>
    </x:row>
    <x:row r="1275">
      <x:c r="B1275" s="63">
        <x:v>1373</x:v>
      </x:c>
      <x:c r="C1275" s="57">
        <x:f t="shared" si="72"/>
        <x:v>230900</x:v>
      </x:c>
      <x:c r="D1275" s="25">
        <x:f t="shared" si="73"/>
        <x:v>255300</x:v>
      </x:c>
      <x:c r="E1275" s="25">
        <x:f t="shared" si="74"/>
        <x:v>273600</x:v>
      </x:c>
      <x:c r="F1275" s="58">
        <x:f t="shared" si="75"/>
        <x:v>291400</x:v>
      </x:c>
    </x:row>
    <x:row r="1276">
      <x:c r="B1276" s="63">
        <x:v>1374</x:v>
      </x:c>
      <x:c r="C1276" s="57">
        <x:f t="shared" si="72"/>
        <x:v>230900</x:v>
      </x:c>
      <x:c r="D1276" s="25">
        <x:f t="shared" si="73"/>
        <x:v>255300</x:v>
      </x:c>
      <x:c r="E1276" s="25">
        <x:f t="shared" si="74"/>
        <x:v>273600</x:v>
      </x:c>
      <x:c r="F1276" s="58">
        <x:f t="shared" si="75"/>
        <x:v>291400</x:v>
      </x:c>
    </x:row>
    <x:row r="1277">
      <x:c r="B1277" s="63">
        <x:v>1375</x:v>
      </x:c>
      <x:c r="C1277" s="57">
        <x:f t="shared" si="72"/>
        <x:v>230900</x:v>
      </x:c>
      <x:c r="D1277" s="25">
        <x:f t="shared" si="73"/>
        <x:v>255300</x:v>
      </x:c>
      <x:c r="E1277" s="25">
        <x:f t="shared" si="74"/>
        <x:v>273600</x:v>
      </x:c>
      <x:c r="F1277" s="58">
        <x:f t="shared" si="75"/>
        <x:v>291400</x:v>
      </x:c>
    </x:row>
    <x:row r="1278">
      <x:c r="B1278" s="63">
        <x:v>1376</x:v>
      </x:c>
      <x:c r="C1278" s="57">
        <x:f t="shared" si="72"/>
        <x:v>230900</x:v>
      </x:c>
      <x:c r="D1278" s="25">
        <x:f t="shared" si="73"/>
        <x:v>255300</x:v>
      </x:c>
      <x:c r="E1278" s="25">
        <x:f t="shared" si="74"/>
        <x:v>273600</x:v>
      </x:c>
      <x:c r="F1278" s="58">
        <x:f t="shared" si="75"/>
        <x:v>291400</x:v>
      </x:c>
    </x:row>
    <x:row r="1279">
      <x:c r="B1279" s="63">
        <x:v>1377</x:v>
      </x:c>
      <x:c r="C1279" s="57">
        <x:f t="shared" si="72"/>
        <x:v>230900</x:v>
      </x:c>
      <x:c r="D1279" s="25">
        <x:f t="shared" si="73"/>
        <x:v>255300</x:v>
      </x:c>
      <x:c r="E1279" s="25">
        <x:f t="shared" si="74"/>
        <x:v>273600</x:v>
      </x:c>
      <x:c r="F1279" s="58">
        <x:f t="shared" si="75"/>
        <x:v>291400</x:v>
      </x:c>
    </x:row>
    <x:row r="1280">
      <x:c r="B1280" s="63">
        <x:v>1378</x:v>
      </x:c>
      <x:c r="C1280" s="57">
        <x:f t="shared" si="72"/>
        <x:v>230900</x:v>
      </x:c>
      <x:c r="D1280" s="25">
        <x:f t="shared" si="73"/>
        <x:v>255300</x:v>
      </x:c>
      <x:c r="E1280" s="25">
        <x:f t="shared" si="74"/>
        <x:v>273600</x:v>
      </x:c>
      <x:c r="F1280" s="58">
        <x:f t="shared" si="75"/>
        <x:v>291400</x:v>
      </x:c>
    </x:row>
    <x:row r="1281">
      <x:c r="B1281" s="63">
        <x:v>1379</x:v>
      </x:c>
      <x:c r="C1281" s="57">
        <x:f t="shared" si="72"/>
        <x:v>230900</x:v>
      </x:c>
      <x:c r="D1281" s="25">
        <x:f t="shared" si="73"/>
        <x:v>255300</x:v>
      </x:c>
      <x:c r="E1281" s="25">
        <x:f t="shared" si="74"/>
        <x:v>273600</x:v>
      </x:c>
      <x:c r="F1281" s="58">
        <x:f t="shared" si="75"/>
        <x:v>291400</x:v>
      </x:c>
    </x:row>
    <x:row r="1282">
      <x:c r="B1282" s="63">
        <x:v>1380</x:v>
      </x:c>
      <x:c r="C1282" s="57">
        <x:f t="shared" si="72"/>
        <x:v>230900</x:v>
      </x:c>
      <x:c r="D1282" s="25">
        <x:f t="shared" si="73"/>
        <x:v>255300</x:v>
      </x:c>
      <x:c r="E1282" s="25">
        <x:f t="shared" si="74"/>
        <x:v>273600</x:v>
      </x:c>
      <x:c r="F1282" s="58">
        <x:f t="shared" si="75"/>
        <x:v>291400</x:v>
      </x:c>
    </x:row>
    <x:row r="1283">
      <x:c r="B1283" s="63">
        <x:v>1381</x:v>
      </x:c>
      <x:c r="C1283" s="57">
        <x:f t="shared" si="72"/>
        <x:v>230900</x:v>
      </x:c>
      <x:c r="D1283" s="25">
        <x:f t="shared" si="73"/>
        <x:v>255300</x:v>
      </x:c>
      <x:c r="E1283" s="25">
        <x:f t="shared" si="74"/>
        <x:v>273600</x:v>
      </x:c>
      <x:c r="F1283" s="58">
        <x:f t="shared" si="75"/>
        <x:v>291400</x:v>
      </x:c>
    </x:row>
    <x:row r="1284">
      <x:c r="B1284" s="63">
        <x:v>1382</x:v>
      </x:c>
      <x:c r="C1284" s="57">
        <x:f t="shared" si="72"/>
        <x:v>230900</x:v>
      </x:c>
      <x:c r="D1284" s="25">
        <x:f t="shared" si="73"/>
        <x:v>255300</x:v>
      </x:c>
      <x:c r="E1284" s="25">
        <x:f t="shared" si="74"/>
        <x:v>273600</x:v>
      </x:c>
      <x:c r="F1284" s="58">
        <x:f t="shared" si="75"/>
        <x:v>291400</x:v>
      </x:c>
    </x:row>
    <x:row r="1285">
      <x:c r="B1285" s="63">
        <x:v>1383</x:v>
      </x:c>
      <x:c r="C1285" s="57">
        <x:f t="shared" si="72"/>
        <x:v>230900</x:v>
      </x:c>
      <x:c r="D1285" s="25">
        <x:f t="shared" si="73"/>
        <x:v>255300</x:v>
      </x:c>
      <x:c r="E1285" s="25">
        <x:f t="shared" si="74"/>
        <x:v>273600</x:v>
      </x:c>
      <x:c r="F1285" s="58">
        <x:f t="shared" si="75"/>
        <x:v>291400</x:v>
      </x:c>
    </x:row>
    <x:row r="1286">
      <x:c r="B1286" s="63">
        <x:v>1384</x:v>
      </x:c>
      <x:c r="C1286" s="57">
        <x:f t="shared" si="72"/>
        <x:v>230900</x:v>
      </x:c>
      <x:c r="D1286" s="25">
        <x:f t="shared" si="73"/>
        <x:v>255300</x:v>
      </x:c>
      <x:c r="E1286" s="25">
        <x:f t="shared" si="74"/>
        <x:v>273600</x:v>
      </x:c>
      <x:c r="F1286" s="58">
        <x:f t="shared" si="75"/>
        <x:v>291400</x:v>
      </x:c>
    </x:row>
    <x:row r="1287">
      <x:c r="B1287" s="63">
        <x:v>1385</x:v>
      </x:c>
      <x:c r="C1287" s="57">
        <x:f t="shared" si="72"/>
        <x:v>230900</x:v>
      </x:c>
      <x:c r="D1287" s="25">
        <x:f t="shared" si="73"/>
        <x:v>255300</x:v>
      </x:c>
      <x:c r="E1287" s="25">
        <x:f t="shared" si="74"/>
        <x:v>273600</x:v>
      </x:c>
      <x:c r="F1287" s="58">
        <x:f t="shared" si="75"/>
        <x:v>291400</x:v>
      </x:c>
    </x:row>
    <x:row r="1288">
      <x:c r="B1288" s="63">
        <x:v>1386</x:v>
      </x:c>
      <x:c r="C1288" s="57">
        <x:f t="shared" si="72"/>
        <x:v>230900</x:v>
      </x:c>
      <x:c r="D1288" s="25">
        <x:f t="shared" si="73"/>
        <x:v>255300</x:v>
      </x:c>
      <x:c r="E1288" s="25">
        <x:f t="shared" si="74"/>
        <x:v>273600</x:v>
      </x:c>
      <x:c r="F1288" s="58">
        <x:f t="shared" si="75"/>
        <x:v>291400</x:v>
      </x:c>
    </x:row>
    <x:row r="1289">
      <x:c r="B1289" s="63">
        <x:v>1387</x:v>
      </x:c>
      <x:c r="C1289" s="57">
        <x:f t="shared" si="72"/>
        <x:v>230900</x:v>
      </x:c>
      <x:c r="D1289" s="25">
        <x:f t="shared" si="73"/>
        <x:v>255300</x:v>
      </x:c>
      <x:c r="E1289" s="25">
        <x:f t="shared" si="74"/>
        <x:v>273600</x:v>
      </x:c>
      <x:c r="F1289" s="58">
        <x:f t="shared" si="75"/>
        <x:v>291400</x:v>
      </x:c>
    </x:row>
    <x:row r="1290">
      <x:c r="B1290" s="63">
        <x:v>1388</x:v>
      </x:c>
      <x:c r="C1290" s="57">
        <x:f t="shared" si="72"/>
        <x:v>230900</x:v>
      </x:c>
      <x:c r="D1290" s="25">
        <x:f t="shared" si="73"/>
        <x:v>255300</x:v>
      </x:c>
      <x:c r="E1290" s="25">
        <x:f t="shared" si="74"/>
        <x:v>273600</x:v>
      </x:c>
      <x:c r="F1290" s="58">
        <x:f t="shared" si="75"/>
        <x:v>291400</x:v>
      </x:c>
    </x:row>
    <x:row r="1291">
      <x:c r="B1291" s="63">
        <x:v>1389</x:v>
      </x:c>
      <x:c r="C1291" s="57">
        <x:f t="shared" si="72"/>
        <x:v>230900</x:v>
      </x:c>
      <x:c r="D1291" s="25">
        <x:f t="shared" si="73"/>
        <x:v>255300</x:v>
      </x:c>
      <x:c r="E1291" s="25">
        <x:f t="shared" si="74"/>
        <x:v>273600</x:v>
      </x:c>
      <x:c r="F1291" s="58">
        <x:f t="shared" si="75"/>
        <x:v>291400</x:v>
      </x:c>
    </x:row>
    <x:row r="1292">
      <x:c r="B1292" s="63">
        <x:v>1390</x:v>
      </x:c>
      <x:c r="C1292" s="57">
        <x:f t="shared" si="72"/>
        <x:v>230900</x:v>
      </x:c>
      <x:c r="D1292" s="25">
        <x:f t="shared" si="73"/>
        <x:v>255300</x:v>
      </x:c>
      <x:c r="E1292" s="25">
        <x:f t="shared" si="74"/>
        <x:v>273600</x:v>
      </x:c>
      <x:c r="F1292" s="58">
        <x:f t="shared" si="75"/>
        <x:v>291400</x:v>
      </x:c>
    </x:row>
    <x:row r="1293">
      <x:c r="B1293" s="63">
        <x:v>1391</x:v>
      </x:c>
      <x:c r="C1293" s="57">
        <x:f t="shared" si="72"/>
        <x:v>230900</x:v>
      </x:c>
      <x:c r="D1293" s="25">
        <x:f t="shared" si="73"/>
        <x:v>255300</x:v>
      </x:c>
      <x:c r="E1293" s="25">
        <x:f t="shared" si="74"/>
        <x:v>273600</x:v>
      </x:c>
      <x:c r="F1293" s="58">
        <x:f t="shared" si="75"/>
        <x:v>291400</x:v>
      </x:c>
    </x:row>
    <x:row r="1294">
      <x:c r="B1294" s="63">
        <x:v>1392</x:v>
      </x:c>
      <x:c r="C1294" s="57">
        <x:f t="shared" si="72"/>
        <x:v>230900</x:v>
      </x:c>
      <x:c r="D1294" s="25">
        <x:f t="shared" si="73"/>
        <x:v>255300</x:v>
      </x:c>
      <x:c r="E1294" s="25">
        <x:f t="shared" si="74"/>
        <x:v>273600</x:v>
      </x:c>
      <x:c r="F1294" s="58">
        <x:f t="shared" si="75"/>
        <x:v>291400</x:v>
      </x:c>
    </x:row>
    <x:row r="1295">
      <x:c r="B1295" s="63">
        <x:v>1393</x:v>
      </x:c>
      <x:c r="C1295" s="57">
        <x:f t="shared" si="72"/>
        <x:v>230900</x:v>
      </x:c>
      <x:c r="D1295" s="25">
        <x:f t="shared" si="73"/>
        <x:v>255300</x:v>
      </x:c>
      <x:c r="E1295" s="25">
        <x:f t="shared" si="74"/>
        <x:v>273600</x:v>
      </x:c>
      <x:c r="F1295" s="58">
        <x:f t="shared" si="75"/>
        <x:v>291400</x:v>
      </x:c>
    </x:row>
    <x:row r="1296">
      <x:c r="B1296" s="63">
        <x:v>1394</x:v>
      </x:c>
      <x:c r="C1296" s="57">
        <x:f t="shared" si="72"/>
        <x:v>230900</x:v>
      </x:c>
      <x:c r="D1296" s="25">
        <x:f t="shared" si="73"/>
        <x:v>255300</x:v>
      </x:c>
      <x:c r="E1296" s="25">
        <x:f t="shared" si="74"/>
        <x:v>273600</x:v>
      </x:c>
      <x:c r="F1296" s="58">
        <x:f t="shared" si="75"/>
        <x:v>291400</x:v>
      </x:c>
    </x:row>
    <x:row r="1297">
      <x:c r="B1297" s="63">
        <x:v>1395</x:v>
      </x:c>
      <x:c r="C1297" s="57">
        <x:f t="shared" si="72"/>
        <x:v>230900</x:v>
      </x:c>
      <x:c r="D1297" s="25">
        <x:f t="shared" si="73"/>
        <x:v>255300</x:v>
      </x:c>
      <x:c r="E1297" s="25">
        <x:f t="shared" si="74"/>
        <x:v>273600</x:v>
      </x:c>
      <x:c r="F1297" s="58">
        <x:f t="shared" si="75"/>
        <x:v>291400</x:v>
      </x:c>
    </x:row>
    <x:row r="1298">
      <x:c r="B1298" s="63">
        <x:v>1396</x:v>
      </x:c>
      <x:c r="C1298" s="57">
        <x:f t="shared" si="72"/>
        <x:v>230900</x:v>
      </x:c>
      <x:c r="D1298" s="25">
        <x:f t="shared" si="73"/>
        <x:v>255300</x:v>
      </x:c>
      <x:c r="E1298" s="25">
        <x:f t="shared" si="74"/>
        <x:v>273600</x:v>
      </x:c>
      <x:c r="F1298" s="58">
        <x:f t="shared" si="75"/>
        <x:v>291400</x:v>
      </x:c>
    </x:row>
    <x:row r="1299">
      <x:c r="B1299" s="63">
        <x:v>1397</x:v>
      </x:c>
      <x:c r="C1299" s="57">
        <x:f t="shared" si="72"/>
        <x:v>230900</x:v>
      </x:c>
      <x:c r="D1299" s="25">
        <x:f t="shared" si="73"/>
        <x:v>255300</x:v>
      </x:c>
      <x:c r="E1299" s="25">
        <x:f t="shared" si="74"/>
        <x:v>273600</x:v>
      </x:c>
      <x:c r="F1299" s="58">
        <x:f t="shared" si="75"/>
        <x:v>291400</x:v>
      </x:c>
    </x:row>
    <x:row r="1300">
      <x:c r="B1300" s="63">
        <x:v>1398</x:v>
      </x:c>
      <x:c r="C1300" s="57">
        <x:f t="shared" si="72"/>
        <x:v>230900</x:v>
      </x:c>
      <x:c r="D1300" s="25">
        <x:f t="shared" si="73"/>
        <x:v>255300</x:v>
      </x:c>
      <x:c r="E1300" s="25">
        <x:f t="shared" si="74"/>
        <x:v>273600</x:v>
      </x:c>
      <x:c r="F1300" s="58">
        <x:f t="shared" si="75"/>
        <x:v>291400</x:v>
      </x:c>
    </x:row>
    <x:row r="1301">
      <x:c r="B1301" s="63">
        <x:v>1399</x:v>
      </x:c>
      <x:c r="C1301" s="57">
        <x:f t="shared" si="72"/>
        <x:v>230900</x:v>
      </x:c>
      <x:c r="D1301" s="25">
        <x:f t="shared" si="73"/>
        <x:v>255300</x:v>
      </x:c>
      <x:c r="E1301" s="25">
        <x:f t="shared" si="74"/>
        <x:v>273600</x:v>
      </x:c>
      <x:c r="F1301" s="58">
        <x:f t="shared" si="75"/>
        <x:v>291400</x:v>
      </x:c>
    </x:row>
    <x:row r="1302">
      <x:c r="B1302" s="63">
        <x:v>1400</x:v>
      </x:c>
      <x:c r="C1302" s="57">
        <x:f t="shared" si="72"/>
        <x:v>230900</x:v>
      </x:c>
      <x:c r="D1302" s="25">
        <x:f t="shared" si="73"/>
        <x:v>255300</x:v>
      </x:c>
      <x:c r="E1302" s="25">
        <x:f t="shared" si="74"/>
        <x:v>273600</x:v>
      </x:c>
      <x:c r="F1302" s="58">
        <x:f t="shared" si="75"/>
        <x:v>291400</x:v>
      </x:c>
    </x:row>
    <x:row r="1303">
      <x:c r="B1303" s="63">
        <x:v>1401</x:v>
      </x:c>
      <x:c r="C1303" s="57" t="n">
        <x:f>$C$402+$J$21</x:f>
        <x:v>238200</x:v>
      </x:c>
      <x:c r="D1303" s="25" t="n">
        <x:f>$D$402+$K$21</x:f>
        <x:v>263400</x:v>
      </x:c>
      <x:c r="E1303" s="25" t="n">
        <x:f>$E$402+$L$21</x:f>
        <x:v>282300</x:v>
      </x:c>
      <x:c r="F1303" s="58" t="n">
        <x:f>$F$402+$M$21</x:f>
        <x:v>300700</x:v>
      </x:c>
    </x:row>
    <x:row r="1304">
      <x:c r="B1304" s="63">
        <x:v>1402</x:v>
      </x:c>
      <x:c r="C1304" s="57" t="n">
        <x:f t="shared" ref="C1304:C1352" si="76">$C$402+$J$21</x:f>
        <x:v>238200</x:v>
      </x:c>
      <x:c r="D1304" s="25" t="n">
        <x:f t="shared" ref="D1304:D1352" si="77">$D$402+$K$21</x:f>
        <x:v>263400</x:v>
      </x:c>
      <x:c r="E1304" s="25" t="n">
        <x:f t="shared" ref="E1304:E1352" si="78">$E$402+$L$21</x:f>
        <x:v>282300</x:v>
      </x:c>
      <x:c r="F1304" s="58" t="n">
        <x:f t="shared" ref="F1304:F1352" si="79">$F$402+$M$21</x:f>
        <x:v>300700</x:v>
      </x:c>
    </x:row>
    <x:row r="1305">
      <x:c r="B1305" s="63">
        <x:v>1403</x:v>
      </x:c>
      <x:c r="C1305" s="57">
        <x:f t="shared" si="76"/>
        <x:v>238200</x:v>
      </x:c>
      <x:c r="D1305" s="25">
        <x:f t="shared" si="77"/>
        <x:v>263400</x:v>
      </x:c>
      <x:c r="E1305" s="25">
        <x:f t="shared" si="78"/>
        <x:v>282300</x:v>
      </x:c>
      <x:c r="F1305" s="58">
        <x:f t="shared" si="79"/>
        <x:v>300700</x:v>
      </x:c>
    </x:row>
    <x:row r="1306">
      <x:c r="B1306" s="63">
        <x:v>1404</x:v>
      </x:c>
      <x:c r="C1306" s="57">
        <x:f t="shared" si="76"/>
        <x:v>238200</x:v>
      </x:c>
      <x:c r="D1306" s="25">
        <x:f t="shared" si="77"/>
        <x:v>263400</x:v>
      </x:c>
      <x:c r="E1306" s="25">
        <x:f t="shared" si="78"/>
        <x:v>282300</x:v>
      </x:c>
      <x:c r="F1306" s="58">
        <x:f t="shared" si="79"/>
        <x:v>300700</x:v>
      </x:c>
    </x:row>
    <x:row r="1307">
      <x:c r="B1307" s="63">
        <x:v>1405</x:v>
      </x:c>
      <x:c r="C1307" s="57">
        <x:f t="shared" si="76"/>
        <x:v>238200</x:v>
      </x:c>
      <x:c r="D1307" s="25">
        <x:f t="shared" si="77"/>
        <x:v>263400</x:v>
      </x:c>
      <x:c r="E1307" s="25">
        <x:f t="shared" si="78"/>
        <x:v>282300</x:v>
      </x:c>
      <x:c r="F1307" s="58">
        <x:f t="shared" si="79"/>
        <x:v>300700</x:v>
      </x:c>
    </x:row>
    <x:row r="1308">
      <x:c r="B1308" s="63">
        <x:v>1406</x:v>
      </x:c>
      <x:c r="C1308" s="57">
        <x:f t="shared" si="76"/>
        <x:v>238200</x:v>
      </x:c>
      <x:c r="D1308" s="25">
        <x:f t="shared" si="77"/>
        <x:v>263400</x:v>
      </x:c>
      <x:c r="E1308" s="25">
        <x:f t="shared" si="78"/>
        <x:v>282300</x:v>
      </x:c>
      <x:c r="F1308" s="58">
        <x:f t="shared" si="79"/>
        <x:v>300700</x:v>
      </x:c>
    </x:row>
    <x:row r="1309">
      <x:c r="B1309" s="63">
        <x:v>1407</x:v>
      </x:c>
      <x:c r="C1309" s="57">
        <x:f t="shared" si="76"/>
        <x:v>238200</x:v>
      </x:c>
      <x:c r="D1309" s="25">
        <x:f t="shared" si="77"/>
        <x:v>263400</x:v>
      </x:c>
      <x:c r="E1309" s="25">
        <x:f t="shared" si="78"/>
        <x:v>282300</x:v>
      </x:c>
      <x:c r="F1309" s="58">
        <x:f t="shared" si="79"/>
        <x:v>300700</x:v>
      </x:c>
    </x:row>
    <x:row r="1310">
      <x:c r="B1310" s="63">
        <x:v>1408</x:v>
      </x:c>
      <x:c r="C1310" s="57">
        <x:f t="shared" si="76"/>
        <x:v>238200</x:v>
      </x:c>
      <x:c r="D1310" s="25">
        <x:f t="shared" si="77"/>
        <x:v>263400</x:v>
      </x:c>
      <x:c r="E1310" s="25">
        <x:f t="shared" si="78"/>
        <x:v>282300</x:v>
      </x:c>
      <x:c r="F1310" s="58">
        <x:f t="shared" si="79"/>
        <x:v>300700</x:v>
      </x:c>
    </x:row>
    <x:row r="1311">
      <x:c r="B1311" s="63">
        <x:v>1409</x:v>
      </x:c>
      <x:c r="C1311" s="57">
        <x:f t="shared" si="76"/>
        <x:v>238200</x:v>
      </x:c>
      <x:c r="D1311" s="25">
        <x:f t="shared" si="77"/>
        <x:v>263400</x:v>
      </x:c>
      <x:c r="E1311" s="25">
        <x:f t="shared" si="78"/>
        <x:v>282300</x:v>
      </x:c>
      <x:c r="F1311" s="58">
        <x:f t="shared" si="79"/>
        <x:v>300700</x:v>
      </x:c>
    </x:row>
    <x:row r="1312">
      <x:c r="B1312" s="63">
        <x:v>1410</x:v>
      </x:c>
      <x:c r="C1312" s="57">
        <x:f t="shared" si="76"/>
        <x:v>238200</x:v>
      </x:c>
      <x:c r="D1312" s="25">
        <x:f t="shared" si="77"/>
        <x:v>263400</x:v>
      </x:c>
      <x:c r="E1312" s="25">
        <x:f t="shared" si="78"/>
        <x:v>282300</x:v>
      </x:c>
      <x:c r="F1312" s="58">
        <x:f t="shared" si="79"/>
        <x:v>300700</x:v>
      </x:c>
    </x:row>
    <x:row r="1313">
      <x:c r="B1313" s="63">
        <x:v>1411</x:v>
      </x:c>
      <x:c r="C1313" s="57">
        <x:f t="shared" si="76"/>
        <x:v>238200</x:v>
      </x:c>
      <x:c r="D1313" s="25">
        <x:f t="shared" si="77"/>
        <x:v>263400</x:v>
      </x:c>
      <x:c r="E1313" s="25">
        <x:f t="shared" si="78"/>
        <x:v>282300</x:v>
      </x:c>
      <x:c r="F1313" s="58">
        <x:f t="shared" si="79"/>
        <x:v>300700</x:v>
      </x:c>
    </x:row>
    <x:row r="1314">
      <x:c r="B1314" s="63">
        <x:v>1412</x:v>
      </x:c>
      <x:c r="C1314" s="57">
        <x:f t="shared" si="76"/>
        <x:v>238200</x:v>
      </x:c>
      <x:c r="D1314" s="25">
        <x:f t="shared" si="77"/>
        <x:v>263400</x:v>
      </x:c>
      <x:c r="E1314" s="25">
        <x:f t="shared" si="78"/>
        <x:v>282300</x:v>
      </x:c>
      <x:c r="F1314" s="58">
        <x:f t="shared" si="79"/>
        <x:v>300700</x:v>
      </x:c>
    </x:row>
    <x:row r="1315">
      <x:c r="B1315" s="63">
        <x:v>1413</x:v>
      </x:c>
      <x:c r="C1315" s="57">
        <x:f t="shared" si="76"/>
        <x:v>238200</x:v>
      </x:c>
      <x:c r="D1315" s="25">
        <x:f t="shared" si="77"/>
        <x:v>263400</x:v>
      </x:c>
      <x:c r="E1315" s="25">
        <x:f t="shared" si="78"/>
        <x:v>282300</x:v>
      </x:c>
      <x:c r="F1315" s="58">
        <x:f t="shared" si="79"/>
        <x:v>300700</x:v>
      </x:c>
    </x:row>
    <x:row r="1316">
      <x:c r="B1316" s="63">
        <x:v>1414</x:v>
      </x:c>
      <x:c r="C1316" s="57">
        <x:f t="shared" si="76"/>
        <x:v>238200</x:v>
      </x:c>
      <x:c r="D1316" s="25">
        <x:f t="shared" si="77"/>
        <x:v>263400</x:v>
      </x:c>
      <x:c r="E1316" s="25">
        <x:f t="shared" si="78"/>
        <x:v>282300</x:v>
      </x:c>
      <x:c r="F1316" s="58">
        <x:f t="shared" si="79"/>
        <x:v>300700</x:v>
      </x:c>
    </x:row>
    <x:row r="1317">
      <x:c r="B1317" s="63">
        <x:v>1415</x:v>
      </x:c>
      <x:c r="C1317" s="57">
        <x:f t="shared" si="76"/>
        <x:v>238200</x:v>
      </x:c>
      <x:c r="D1317" s="25">
        <x:f t="shared" si="77"/>
        <x:v>263400</x:v>
      </x:c>
      <x:c r="E1317" s="25">
        <x:f t="shared" si="78"/>
        <x:v>282300</x:v>
      </x:c>
      <x:c r="F1317" s="58">
        <x:f t="shared" si="79"/>
        <x:v>300700</x:v>
      </x:c>
    </x:row>
    <x:row r="1318">
      <x:c r="B1318" s="63">
        <x:v>1416</x:v>
      </x:c>
      <x:c r="C1318" s="57">
        <x:f t="shared" si="76"/>
        <x:v>238200</x:v>
      </x:c>
      <x:c r="D1318" s="25">
        <x:f t="shared" si="77"/>
        <x:v>263400</x:v>
      </x:c>
      <x:c r="E1318" s="25">
        <x:f t="shared" si="78"/>
        <x:v>282300</x:v>
      </x:c>
      <x:c r="F1318" s="58">
        <x:f t="shared" si="79"/>
        <x:v>300700</x:v>
      </x:c>
    </x:row>
    <x:row r="1319">
      <x:c r="B1319" s="63">
        <x:v>1417</x:v>
      </x:c>
      <x:c r="C1319" s="57">
        <x:f t="shared" si="76"/>
        <x:v>238200</x:v>
      </x:c>
      <x:c r="D1319" s="25">
        <x:f t="shared" si="77"/>
        <x:v>263400</x:v>
      </x:c>
      <x:c r="E1319" s="25">
        <x:f t="shared" si="78"/>
        <x:v>282300</x:v>
      </x:c>
      <x:c r="F1319" s="58">
        <x:f t="shared" si="79"/>
        <x:v>300700</x:v>
      </x:c>
    </x:row>
    <x:row r="1320">
      <x:c r="B1320" s="63">
        <x:v>1418</x:v>
      </x:c>
      <x:c r="C1320" s="57">
        <x:f t="shared" si="76"/>
        <x:v>238200</x:v>
      </x:c>
      <x:c r="D1320" s="25">
        <x:f t="shared" si="77"/>
        <x:v>263400</x:v>
      </x:c>
      <x:c r="E1320" s="25">
        <x:f t="shared" si="78"/>
        <x:v>282300</x:v>
      </x:c>
      <x:c r="F1320" s="58">
        <x:f t="shared" si="79"/>
        <x:v>300700</x:v>
      </x:c>
    </x:row>
    <x:row r="1321">
      <x:c r="B1321" s="63">
        <x:v>1419</x:v>
      </x:c>
      <x:c r="C1321" s="57">
        <x:f t="shared" si="76"/>
        <x:v>238200</x:v>
      </x:c>
      <x:c r="D1321" s="25">
        <x:f t="shared" si="77"/>
        <x:v>263400</x:v>
      </x:c>
      <x:c r="E1321" s="25">
        <x:f t="shared" si="78"/>
        <x:v>282300</x:v>
      </x:c>
      <x:c r="F1321" s="58">
        <x:f t="shared" si="79"/>
        <x:v>300700</x:v>
      </x:c>
    </x:row>
    <x:row r="1322">
      <x:c r="B1322" s="63">
        <x:v>1420</x:v>
      </x:c>
      <x:c r="C1322" s="57">
        <x:f t="shared" si="76"/>
        <x:v>238200</x:v>
      </x:c>
      <x:c r="D1322" s="25">
        <x:f t="shared" si="77"/>
        <x:v>263400</x:v>
      </x:c>
      <x:c r="E1322" s="25">
        <x:f t="shared" si="78"/>
        <x:v>282300</x:v>
      </x:c>
      <x:c r="F1322" s="58">
        <x:f t="shared" si="79"/>
        <x:v>300700</x:v>
      </x:c>
    </x:row>
    <x:row r="1323">
      <x:c r="B1323" s="63">
        <x:v>1421</x:v>
      </x:c>
      <x:c r="C1323" s="57">
        <x:f t="shared" si="76"/>
        <x:v>238200</x:v>
      </x:c>
      <x:c r="D1323" s="25">
        <x:f t="shared" si="77"/>
        <x:v>263400</x:v>
      </x:c>
      <x:c r="E1323" s="25">
        <x:f t="shared" si="78"/>
        <x:v>282300</x:v>
      </x:c>
      <x:c r="F1323" s="58">
        <x:f t="shared" si="79"/>
        <x:v>300700</x:v>
      </x:c>
    </x:row>
    <x:row r="1324">
      <x:c r="B1324" s="63">
        <x:v>1422</x:v>
      </x:c>
      <x:c r="C1324" s="57">
        <x:f t="shared" si="76"/>
        <x:v>238200</x:v>
      </x:c>
      <x:c r="D1324" s="25">
        <x:f t="shared" si="77"/>
        <x:v>263400</x:v>
      </x:c>
      <x:c r="E1324" s="25">
        <x:f t="shared" si="78"/>
        <x:v>282300</x:v>
      </x:c>
      <x:c r="F1324" s="58">
        <x:f t="shared" si="79"/>
        <x:v>300700</x:v>
      </x:c>
    </x:row>
    <x:row r="1325">
      <x:c r="B1325" s="63">
        <x:v>1423</x:v>
      </x:c>
      <x:c r="C1325" s="57">
        <x:f t="shared" si="76"/>
        <x:v>238200</x:v>
      </x:c>
      <x:c r="D1325" s="25">
        <x:f t="shared" si="77"/>
        <x:v>263400</x:v>
      </x:c>
      <x:c r="E1325" s="25">
        <x:f t="shared" si="78"/>
        <x:v>282300</x:v>
      </x:c>
      <x:c r="F1325" s="58">
        <x:f t="shared" si="79"/>
        <x:v>300700</x:v>
      </x:c>
    </x:row>
    <x:row r="1326">
      <x:c r="B1326" s="63">
        <x:v>1424</x:v>
      </x:c>
      <x:c r="C1326" s="57">
        <x:f t="shared" si="76"/>
        <x:v>238200</x:v>
      </x:c>
      <x:c r="D1326" s="25">
        <x:f t="shared" si="77"/>
        <x:v>263400</x:v>
      </x:c>
      <x:c r="E1326" s="25">
        <x:f t="shared" si="78"/>
        <x:v>282300</x:v>
      </x:c>
      <x:c r="F1326" s="58">
        <x:f t="shared" si="79"/>
        <x:v>300700</x:v>
      </x:c>
    </x:row>
    <x:row r="1327">
      <x:c r="B1327" s="63">
        <x:v>1425</x:v>
      </x:c>
      <x:c r="C1327" s="57">
        <x:f t="shared" si="76"/>
        <x:v>238200</x:v>
      </x:c>
      <x:c r="D1327" s="25">
        <x:f t="shared" si="77"/>
        <x:v>263400</x:v>
      </x:c>
      <x:c r="E1327" s="25">
        <x:f t="shared" si="78"/>
        <x:v>282300</x:v>
      </x:c>
      <x:c r="F1327" s="58">
        <x:f t="shared" si="79"/>
        <x:v>300700</x:v>
      </x:c>
    </x:row>
    <x:row r="1328">
      <x:c r="B1328" s="63">
        <x:v>1426</x:v>
      </x:c>
      <x:c r="C1328" s="57">
        <x:f t="shared" si="76"/>
        <x:v>238200</x:v>
      </x:c>
      <x:c r="D1328" s="25">
        <x:f t="shared" si="77"/>
        <x:v>263400</x:v>
      </x:c>
      <x:c r="E1328" s="25">
        <x:f t="shared" si="78"/>
        <x:v>282300</x:v>
      </x:c>
      <x:c r="F1328" s="58">
        <x:f t="shared" si="79"/>
        <x:v>300700</x:v>
      </x:c>
    </x:row>
    <x:row r="1329">
      <x:c r="B1329" s="63">
        <x:v>1427</x:v>
      </x:c>
      <x:c r="C1329" s="57">
        <x:f t="shared" si="76"/>
        <x:v>238200</x:v>
      </x:c>
      <x:c r="D1329" s="25">
        <x:f t="shared" si="77"/>
        <x:v>263400</x:v>
      </x:c>
      <x:c r="E1329" s="25">
        <x:f t="shared" si="78"/>
        <x:v>282300</x:v>
      </x:c>
      <x:c r="F1329" s="58">
        <x:f t="shared" si="79"/>
        <x:v>300700</x:v>
      </x:c>
    </x:row>
    <x:row r="1330">
      <x:c r="B1330" s="63">
        <x:v>1428</x:v>
      </x:c>
      <x:c r="C1330" s="57">
        <x:f t="shared" si="76"/>
        <x:v>238200</x:v>
      </x:c>
      <x:c r="D1330" s="25">
        <x:f t="shared" si="77"/>
        <x:v>263400</x:v>
      </x:c>
      <x:c r="E1330" s="25">
        <x:f t="shared" si="78"/>
        <x:v>282300</x:v>
      </x:c>
      <x:c r="F1330" s="58">
        <x:f t="shared" si="79"/>
        <x:v>300700</x:v>
      </x:c>
    </x:row>
    <x:row r="1331">
      <x:c r="B1331" s="63">
        <x:v>1429</x:v>
      </x:c>
      <x:c r="C1331" s="57">
        <x:f t="shared" si="76"/>
        <x:v>238200</x:v>
      </x:c>
      <x:c r="D1331" s="25">
        <x:f t="shared" si="77"/>
        <x:v>263400</x:v>
      </x:c>
      <x:c r="E1331" s="25">
        <x:f t="shared" si="78"/>
        <x:v>282300</x:v>
      </x:c>
      <x:c r="F1331" s="58">
        <x:f t="shared" si="79"/>
        <x:v>300700</x:v>
      </x:c>
    </x:row>
    <x:row r="1332">
      <x:c r="B1332" s="63">
        <x:v>1430</x:v>
      </x:c>
      <x:c r="C1332" s="57">
        <x:f t="shared" si="76"/>
        <x:v>238200</x:v>
      </x:c>
      <x:c r="D1332" s="25">
        <x:f t="shared" si="77"/>
        <x:v>263400</x:v>
      </x:c>
      <x:c r="E1332" s="25">
        <x:f t="shared" si="78"/>
        <x:v>282300</x:v>
      </x:c>
      <x:c r="F1332" s="58">
        <x:f t="shared" si="79"/>
        <x:v>300700</x:v>
      </x:c>
    </x:row>
    <x:row r="1333">
      <x:c r="B1333" s="63">
        <x:v>1431</x:v>
      </x:c>
      <x:c r="C1333" s="57">
        <x:f t="shared" si="76"/>
        <x:v>238200</x:v>
      </x:c>
      <x:c r="D1333" s="25">
        <x:f t="shared" si="77"/>
        <x:v>263400</x:v>
      </x:c>
      <x:c r="E1333" s="25">
        <x:f t="shared" si="78"/>
        <x:v>282300</x:v>
      </x:c>
      <x:c r="F1333" s="58">
        <x:f t="shared" si="79"/>
        <x:v>300700</x:v>
      </x:c>
    </x:row>
    <x:row r="1334">
      <x:c r="B1334" s="63">
        <x:v>1432</x:v>
      </x:c>
      <x:c r="C1334" s="57">
        <x:f t="shared" si="76"/>
        <x:v>238200</x:v>
      </x:c>
      <x:c r="D1334" s="25">
        <x:f t="shared" si="77"/>
        <x:v>263400</x:v>
      </x:c>
      <x:c r="E1334" s="25">
        <x:f t="shared" si="78"/>
        <x:v>282300</x:v>
      </x:c>
      <x:c r="F1334" s="58">
        <x:f t="shared" si="79"/>
        <x:v>300700</x:v>
      </x:c>
    </x:row>
    <x:row r="1335">
      <x:c r="B1335" s="63">
        <x:v>1433</x:v>
      </x:c>
      <x:c r="C1335" s="57">
        <x:f t="shared" si="76"/>
        <x:v>238200</x:v>
      </x:c>
      <x:c r="D1335" s="25">
        <x:f t="shared" si="77"/>
        <x:v>263400</x:v>
      </x:c>
      <x:c r="E1335" s="25">
        <x:f t="shared" si="78"/>
        <x:v>282300</x:v>
      </x:c>
      <x:c r="F1335" s="58">
        <x:f t="shared" si="79"/>
        <x:v>300700</x:v>
      </x:c>
    </x:row>
    <x:row r="1336">
      <x:c r="B1336" s="63">
        <x:v>1434</x:v>
      </x:c>
      <x:c r="C1336" s="57">
        <x:f t="shared" si="76"/>
        <x:v>238200</x:v>
      </x:c>
      <x:c r="D1336" s="25">
        <x:f t="shared" si="77"/>
        <x:v>263400</x:v>
      </x:c>
      <x:c r="E1336" s="25">
        <x:f t="shared" si="78"/>
        <x:v>282300</x:v>
      </x:c>
      <x:c r="F1336" s="58">
        <x:f t="shared" si="79"/>
        <x:v>300700</x:v>
      </x:c>
    </x:row>
    <x:row r="1337">
      <x:c r="B1337" s="63">
        <x:v>1435</x:v>
      </x:c>
      <x:c r="C1337" s="57">
        <x:f t="shared" si="76"/>
        <x:v>238200</x:v>
      </x:c>
      <x:c r="D1337" s="25">
        <x:f t="shared" si="77"/>
        <x:v>263400</x:v>
      </x:c>
      <x:c r="E1337" s="25">
        <x:f t="shared" si="78"/>
        <x:v>282300</x:v>
      </x:c>
      <x:c r="F1337" s="58">
        <x:f t="shared" si="79"/>
        <x:v>300700</x:v>
      </x:c>
    </x:row>
    <x:row r="1338">
      <x:c r="B1338" s="63">
        <x:v>1436</x:v>
      </x:c>
      <x:c r="C1338" s="57">
        <x:f t="shared" si="76"/>
        <x:v>238200</x:v>
      </x:c>
      <x:c r="D1338" s="25">
        <x:f t="shared" si="77"/>
        <x:v>263400</x:v>
      </x:c>
      <x:c r="E1338" s="25">
        <x:f t="shared" si="78"/>
        <x:v>282300</x:v>
      </x:c>
      <x:c r="F1338" s="58">
        <x:f t="shared" si="79"/>
        <x:v>300700</x:v>
      </x:c>
    </x:row>
    <x:row r="1339">
      <x:c r="B1339" s="63">
        <x:v>1437</x:v>
      </x:c>
      <x:c r="C1339" s="57">
        <x:f t="shared" si="76"/>
        <x:v>238200</x:v>
      </x:c>
      <x:c r="D1339" s="25">
        <x:f t="shared" si="77"/>
        <x:v>263400</x:v>
      </x:c>
      <x:c r="E1339" s="25">
        <x:f t="shared" si="78"/>
        <x:v>282300</x:v>
      </x:c>
      <x:c r="F1339" s="58">
        <x:f t="shared" si="79"/>
        <x:v>300700</x:v>
      </x:c>
    </x:row>
    <x:row r="1340">
      <x:c r="B1340" s="63">
        <x:v>1438</x:v>
      </x:c>
      <x:c r="C1340" s="57">
        <x:f t="shared" si="76"/>
        <x:v>238200</x:v>
      </x:c>
      <x:c r="D1340" s="25">
        <x:f t="shared" si="77"/>
        <x:v>263400</x:v>
      </x:c>
      <x:c r="E1340" s="25">
        <x:f t="shared" si="78"/>
        <x:v>282300</x:v>
      </x:c>
      <x:c r="F1340" s="58">
        <x:f t="shared" si="79"/>
        <x:v>300700</x:v>
      </x:c>
    </x:row>
    <x:row r="1341">
      <x:c r="B1341" s="63">
        <x:v>1439</x:v>
      </x:c>
      <x:c r="C1341" s="57">
        <x:f t="shared" si="76"/>
        <x:v>238200</x:v>
      </x:c>
      <x:c r="D1341" s="25">
        <x:f t="shared" si="77"/>
        <x:v>263400</x:v>
      </x:c>
      <x:c r="E1341" s="25">
        <x:f t="shared" si="78"/>
        <x:v>282300</x:v>
      </x:c>
      <x:c r="F1341" s="58">
        <x:f t="shared" si="79"/>
        <x:v>300700</x:v>
      </x:c>
    </x:row>
    <x:row r="1342">
      <x:c r="B1342" s="63">
        <x:v>1440</x:v>
      </x:c>
      <x:c r="C1342" s="57">
        <x:f t="shared" si="76"/>
        <x:v>238200</x:v>
      </x:c>
      <x:c r="D1342" s="25">
        <x:f t="shared" si="77"/>
        <x:v>263400</x:v>
      </x:c>
      <x:c r="E1342" s="25">
        <x:f t="shared" si="78"/>
        <x:v>282300</x:v>
      </x:c>
      <x:c r="F1342" s="58">
        <x:f t="shared" si="79"/>
        <x:v>300700</x:v>
      </x:c>
    </x:row>
    <x:row r="1343">
      <x:c r="B1343" s="63">
        <x:v>1441</x:v>
      </x:c>
      <x:c r="C1343" s="57">
        <x:f t="shared" si="76"/>
        <x:v>238200</x:v>
      </x:c>
      <x:c r="D1343" s="25">
        <x:f t="shared" si="77"/>
        <x:v>263400</x:v>
      </x:c>
      <x:c r="E1343" s="25">
        <x:f t="shared" si="78"/>
        <x:v>282300</x:v>
      </x:c>
      <x:c r="F1343" s="58">
        <x:f t="shared" si="79"/>
        <x:v>300700</x:v>
      </x:c>
    </x:row>
    <x:row r="1344">
      <x:c r="B1344" s="63">
        <x:v>1442</x:v>
      </x:c>
      <x:c r="C1344" s="57">
        <x:f t="shared" si="76"/>
        <x:v>238200</x:v>
      </x:c>
      <x:c r="D1344" s="25">
        <x:f t="shared" si="77"/>
        <x:v>263400</x:v>
      </x:c>
      <x:c r="E1344" s="25">
        <x:f t="shared" si="78"/>
        <x:v>282300</x:v>
      </x:c>
      <x:c r="F1344" s="58">
        <x:f t="shared" si="79"/>
        <x:v>300700</x:v>
      </x:c>
    </x:row>
    <x:row r="1345">
      <x:c r="B1345" s="63">
        <x:v>1443</x:v>
      </x:c>
      <x:c r="C1345" s="57">
        <x:f t="shared" si="76"/>
        <x:v>238200</x:v>
      </x:c>
      <x:c r="D1345" s="25">
        <x:f t="shared" si="77"/>
        <x:v>263400</x:v>
      </x:c>
      <x:c r="E1345" s="25">
        <x:f t="shared" si="78"/>
        <x:v>282300</x:v>
      </x:c>
      <x:c r="F1345" s="58">
        <x:f t="shared" si="79"/>
        <x:v>300700</x:v>
      </x:c>
    </x:row>
    <x:row r="1346">
      <x:c r="B1346" s="63">
        <x:v>1444</x:v>
      </x:c>
      <x:c r="C1346" s="57">
        <x:f t="shared" si="76"/>
        <x:v>238200</x:v>
      </x:c>
      <x:c r="D1346" s="25">
        <x:f t="shared" si="77"/>
        <x:v>263400</x:v>
      </x:c>
      <x:c r="E1346" s="25">
        <x:f t="shared" si="78"/>
        <x:v>282300</x:v>
      </x:c>
      <x:c r="F1346" s="58">
        <x:f t="shared" si="79"/>
        <x:v>300700</x:v>
      </x:c>
    </x:row>
    <x:row r="1347">
      <x:c r="B1347" s="63">
        <x:v>1445</x:v>
      </x:c>
      <x:c r="C1347" s="57">
        <x:f t="shared" si="76"/>
        <x:v>238200</x:v>
      </x:c>
      <x:c r="D1347" s="25">
        <x:f t="shared" si="77"/>
        <x:v>263400</x:v>
      </x:c>
      <x:c r="E1347" s="25">
        <x:f t="shared" si="78"/>
        <x:v>282300</x:v>
      </x:c>
      <x:c r="F1347" s="58">
        <x:f t="shared" si="79"/>
        <x:v>300700</x:v>
      </x:c>
    </x:row>
    <x:row r="1348">
      <x:c r="B1348" s="63">
        <x:v>1446</x:v>
      </x:c>
      <x:c r="C1348" s="57">
        <x:f t="shared" si="76"/>
        <x:v>238200</x:v>
      </x:c>
      <x:c r="D1348" s="25">
        <x:f t="shared" si="77"/>
        <x:v>263400</x:v>
      </x:c>
      <x:c r="E1348" s="25">
        <x:f t="shared" si="78"/>
        <x:v>282300</x:v>
      </x:c>
      <x:c r="F1348" s="58">
        <x:f t="shared" si="79"/>
        <x:v>300700</x:v>
      </x:c>
    </x:row>
    <x:row r="1349">
      <x:c r="B1349" s="63">
        <x:v>1447</x:v>
      </x:c>
      <x:c r="C1349" s="57">
        <x:f t="shared" si="76"/>
        <x:v>238200</x:v>
      </x:c>
      <x:c r="D1349" s="25">
        <x:f t="shared" si="77"/>
        <x:v>263400</x:v>
      </x:c>
      <x:c r="E1349" s="25">
        <x:f t="shared" si="78"/>
        <x:v>282300</x:v>
      </x:c>
      <x:c r="F1349" s="58">
        <x:f t="shared" si="79"/>
        <x:v>300700</x:v>
      </x:c>
    </x:row>
    <x:row r="1350">
      <x:c r="B1350" s="63">
        <x:v>1448</x:v>
      </x:c>
      <x:c r="C1350" s="57">
        <x:f t="shared" si="76"/>
        <x:v>238200</x:v>
      </x:c>
      <x:c r="D1350" s="25">
        <x:f t="shared" si="77"/>
        <x:v>263400</x:v>
      </x:c>
      <x:c r="E1350" s="25">
        <x:f t="shared" si="78"/>
        <x:v>282300</x:v>
      </x:c>
      <x:c r="F1350" s="58">
        <x:f t="shared" si="79"/>
        <x:v>300700</x:v>
      </x:c>
    </x:row>
    <x:row r="1351">
      <x:c r="B1351" s="63">
        <x:v>1449</x:v>
      </x:c>
      <x:c r="C1351" s="57">
        <x:f t="shared" si="76"/>
        <x:v>238200</x:v>
      </x:c>
      <x:c r="D1351" s="25">
        <x:f t="shared" si="77"/>
        <x:v>263400</x:v>
      </x:c>
      <x:c r="E1351" s="25">
        <x:f t="shared" si="78"/>
        <x:v>282300</x:v>
      </x:c>
      <x:c r="F1351" s="58">
        <x:f t="shared" si="79"/>
        <x:v>300700</x:v>
      </x:c>
    </x:row>
    <x:row r="1352">
      <x:c r="B1352" s="63">
        <x:v>1450</x:v>
      </x:c>
      <x:c r="C1352" s="57">
        <x:f t="shared" si="76"/>
        <x:v>238200</x:v>
      </x:c>
      <x:c r="D1352" s="25">
        <x:f t="shared" si="77"/>
        <x:v>263400</x:v>
      </x:c>
      <x:c r="E1352" s="25">
        <x:f t="shared" si="78"/>
        <x:v>282300</x:v>
      </x:c>
      <x:c r="F1352" s="58">
        <x:f t="shared" si="79"/>
        <x:v>300700</x:v>
      </x:c>
    </x:row>
    <x:row r="1353">
      <x:c r="B1353" s="63">
        <x:v>1451</x:v>
      </x:c>
      <x:c r="C1353" s="57" t="n">
        <x:f>$C$402+$J$22</x:f>
        <x:v>245500</x:v>
      </x:c>
      <x:c r="D1353" s="25" t="n">
        <x:f>$D$402+$K$22</x:f>
        <x:v>271500</x:v>
      </x:c>
      <x:c r="E1353" s="25" t="n">
        <x:f>$E$402+$L$22</x:f>
        <x:v>291000</x:v>
      </x:c>
      <x:c r="F1353" s="58" t="n">
        <x:f>$F$402+$M$22</x:f>
        <x:v>310000</x:v>
      </x:c>
    </x:row>
    <x:row r="1354">
      <x:c r="B1354" s="63">
        <x:v>1452</x:v>
      </x:c>
      <x:c r="C1354" s="57" t="n">
        <x:f t="shared" ref="C1354:C1402" si="80">$C$402+$J$22</x:f>
        <x:v>245500</x:v>
      </x:c>
      <x:c r="D1354" s="25" t="n">
        <x:f t="shared" ref="D1354:D1402" si="81">$D$402+$K$22</x:f>
        <x:v>271500</x:v>
      </x:c>
      <x:c r="E1354" s="25" t="n">
        <x:f t="shared" ref="E1354:E1402" si="82">$E$402+$L$22</x:f>
        <x:v>291000</x:v>
      </x:c>
      <x:c r="F1354" s="58" t="n">
        <x:f t="shared" ref="F1354:F1402" si="83">$F$402+$M$22</x:f>
        <x:v>310000</x:v>
      </x:c>
    </x:row>
    <x:row r="1355">
      <x:c r="B1355" s="63">
        <x:v>1453</x:v>
      </x:c>
      <x:c r="C1355" s="57">
        <x:f t="shared" si="80"/>
        <x:v>245500</x:v>
      </x:c>
      <x:c r="D1355" s="25">
        <x:f t="shared" si="81"/>
        <x:v>271500</x:v>
      </x:c>
      <x:c r="E1355" s="25">
        <x:f t="shared" si="82"/>
        <x:v>291000</x:v>
      </x:c>
      <x:c r="F1355" s="58">
        <x:f t="shared" si="83"/>
        <x:v>310000</x:v>
      </x:c>
    </x:row>
    <x:row r="1356">
      <x:c r="B1356" s="63">
        <x:v>1454</x:v>
      </x:c>
      <x:c r="C1356" s="57">
        <x:f t="shared" si="80"/>
        <x:v>245500</x:v>
      </x:c>
      <x:c r="D1356" s="25">
        <x:f t="shared" si="81"/>
        <x:v>271500</x:v>
      </x:c>
      <x:c r="E1356" s="25">
        <x:f t="shared" si="82"/>
        <x:v>291000</x:v>
      </x:c>
      <x:c r="F1356" s="58">
        <x:f t="shared" si="83"/>
        <x:v>310000</x:v>
      </x:c>
    </x:row>
    <x:row r="1357">
      <x:c r="B1357" s="63">
        <x:v>1455</x:v>
      </x:c>
      <x:c r="C1357" s="57">
        <x:f t="shared" si="80"/>
        <x:v>245500</x:v>
      </x:c>
      <x:c r="D1357" s="25">
        <x:f t="shared" si="81"/>
        <x:v>271500</x:v>
      </x:c>
      <x:c r="E1357" s="25">
        <x:f t="shared" si="82"/>
        <x:v>291000</x:v>
      </x:c>
      <x:c r="F1357" s="58">
        <x:f t="shared" si="83"/>
        <x:v>310000</x:v>
      </x:c>
    </x:row>
    <x:row r="1358">
      <x:c r="B1358" s="63">
        <x:v>1456</x:v>
      </x:c>
      <x:c r="C1358" s="57">
        <x:f t="shared" si="80"/>
        <x:v>245500</x:v>
      </x:c>
      <x:c r="D1358" s="25">
        <x:f t="shared" si="81"/>
        <x:v>271500</x:v>
      </x:c>
      <x:c r="E1358" s="25">
        <x:f t="shared" si="82"/>
        <x:v>291000</x:v>
      </x:c>
      <x:c r="F1358" s="58">
        <x:f t="shared" si="83"/>
        <x:v>310000</x:v>
      </x:c>
    </x:row>
    <x:row r="1359">
      <x:c r="B1359" s="63">
        <x:v>1457</x:v>
      </x:c>
      <x:c r="C1359" s="57">
        <x:f t="shared" si="80"/>
        <x:v>245500</x:v>
      </x:c>
      <x:c r="D1359" s="25">
        <x:f t="shared" si="81"/>
        <x:v>271500</x:v>
      </x:c>
      <x:c r="E1359" s="25">
        <x:f t="shared" si="82"/>
        <x:v>291000</x:v>
      </x:c>
      <x:c r="F1359" s="58">
        <x:f t="shared" si="83"/>
        <x:v>310000</x:v>
      </x:c>
    </x:row>
    <x:row r="1360">
      <x:c r="B1360" s="63">
        <x:v>1458</x:v>
      </x:c>
      <x:c r="C1360" s="57">
        <x:f t="shared" si="80"/>
        <x:v>245500</x:v>
      </x:c>
      <x:c r="D1360" s="25">
        <x:f t="shared" si="81"/>
        <x:v>271500</x:v>
      </x:c>
      <x:c r="E1360" s="25">
        <x:f t="shared" si="82"/>
        <x:v>291000</x:v>
      </x:c>
      <x:c r="F1360" s="58">
        <x:f t="shared" si="83"/>
        <x:v>310000</x:v>
      </x:c>
    </x:row>
    <x:row r="1361">
      <x:c r="B1361" s="63">
        <x:v>1459</x:v>
      </x:c>
      <x:c r="C1361" s="57">
        <x:f t="shared" si="80"/>
        <x:v>245500</x:v>
      </x:c>
      <x:c r="D1361" s="25">
        <x:f t="shared" si="81"/>
        <x:v>271500</x:v>
      </x:c>
      <x:c r="E1361" s="25">
        <x:f t="shared" si="82"/>
        <x:v>291000</x:v>
      </x:c>
      <x:c r="F1361" s="58">
        <x:f t="shared" si="83"/>
        <x:v>310000</x:v>
      </x:c>
    </x:row>
    <x:row r="1362">
      <x:c r="B1362" s="63">
        <x:v>1460</x:v>
      </x:c>
      <x:c r="C1362" s="57">
        <x:f t="shared" si="80"/>
        <x:v>245500</x:v>
      </x:c>
      <x:c r="D1362" s="25">
        <x:f t="shared" si="81"/>
        <x:v>271500</x:v>
      </x:c>
      <x:c r="E1362" s="25">
        <x:f t="shared" si="82"/>
        <x:v>291000</x:v>
      </x:c>
      <x:c r="F1362" s="58">
        <x:f t="shared" si="83"/>
        <x:v>310000</x:v>
      </x:c>
    </x:row>
    <x:row r="1363">
      <x:c r="B1363" s="63">
        <x:v>1461</x:v>
      </x:c>
      <x:c r="C1363" s="57">
        <x:f t="shared" si="80"/>
        <x:v>245500</x:v>
      </x:c>
      <x:c r="D1363" s="25">
        <x:f t="shared" si="81"/>
        <x:v>271500</x:v>
      </x:c>
      <x:c r="E1363" s="25">
        <x:f t="shared" si="82"/>
        <x:v>291000</x:v>
      </x:c>
      <x:c r="F1363" s="58">
        <x:f t="shared" si="83"/>
        <x:v>310000</x:v>
      </x:c>
    </x:row>
    <x:row r="1364">
      <x:c r="B1364" s="63">
        <x:v>1462</x:v>
      </x:c>
      <x:c r="C1364" s="57">
        <x:f t="shared" si="80"/>
        <x:v>245500</x:v>
      </x:c>
      <x:c r="D1364" s="25">
        <x:f t="shared" si="81"/>
        <x:v>271500</x:v>
      </x:c>
      <x:c r="E1364" s="25">
        <x:f t="shared" si="82"/>
        <x:v>291000</x:v>
      </x:c>
      <x:c r="F1364" s="58">
        <x:f t="shared" si="83"/>
        <x:v>310000</x:v>
      </x:c>
    </x:row>
    <x:row r="1365">
      <x:c r="B1365" s="63">
        <x:v>1463</x:v>
      </x:c>
      <x:c r="C1365" s="57">
        <x:f t="shared" si="80"/>
        <x:v>245500</x:v>
      </x:c>
      <x:c r="D1365" s="25">
        <x:f t="shared" si="81"/>
        <x:v>271500</x:v>
      </x:c>
      <x:c r="E1365" s="25">
        <x:f t="shared" si="82"/>
        <x:v>291000</x:v>
      </x:c>
      <x:c r="F1365" s="58">
        <x:f t="shared" si="83"/>
        <x:v>310000</x:v>
      </x:c>
    </x:row>
    <x:row r="1366">
      <x:c r="B1366" s="63">
        <x:v>1464</x:v>
      </x:c>
      <x:c r="C1366" s="57">
        <x:f t="shared" si="80"/>
        <x:v>245500</x:v>
      </x:c>
      <x:c r="D1366" s="25">
        <x:f t="shared" si="81"/>
        <x:v>271500</x:v>
      </x:c>
      <x:c r="E1366" s="25">
        <x:f t="shared" si="82"/>
        <x:v>291000</x:v>
      </x:c>
      <x:c r="F1366" s="58">
        <x:f t="shared" si="83"/>
        <x:v>310000</x:v>
      </x:c>
    </x:row>
    <x:row r="1367">
      <x:c r="B1367" s="63">
        <x:v>1465</x:v>
      </x:c>
      <x:c r="C1367" s="57">
        <x:f t="shared" si="80"/>
        <x:v>245500</x:v>
      </x:c>
      <x:c r="D1367" s="25">
        <x:f t="shared" si="81"/>
        <x:v>271500</x:v>
      </x:c>
      <x:c r="E1367" s="25">
        <x:f t="shared" si="82"/>
        <x:v>291000</x:v>
      </x:c>
      <x:c r="F1367" s="58">
        <x:f t="shared" si="83"/>
        <x:v>310000</x:v>
      </x:c>
    </x:row>
    <x:row r="1368">
      <x:c r="B1368" s="63">
        <x:v>1466</x:v>
      </x:c>
      <x:c r="C1368" s="57">
        <x:f t="shared" si="80"/>
        <x:v>245500</x:v>
      </x:c>
      <x:c r="D1368" s="25">
        <x:f t="shared" si="81"/>
        <x:v>271500</x:v>
      </x:c>
      <x:c r="E1368" s="25">
        <x:f t="shared" si="82"/>
        <x:v>291000</x:v>
      </x:c>
      <x:c r="F1368" s="58">
        <x:f t="shared" si="83"/>
        <x:v>310000</x:v>
      </x:c>
    </x:row>
    <x:row r="1369">
      <x:c r="B1369" s="63">
        <x:v>1467</x:v>
      </x:c>
      <x:c r="C1369" s="57">
        <x:f t="shared" si="80"/>
        <x:v>245500</x:v>
      </x:c>
      <x:c r="D1369" s="25">
        <x:f t="shared" si="81"/>
        <x:v>271500</x:v>
      </x:c>
      <x:c r="E1369" s="25">
        <x:f t="shared" si="82"/>
        <x:v>291000</x:v>
      </x:c>
      <x:c r="F1369" s="58">
        <x:f t="shared" si="83"/>
        <x:v>310000</x:v>
      </x:c>
    </x:row>
    <x:row r="1370">
      <x:c r="B1370" s="63">
        <x:v>1468</x:v>
      </x:c>
      <x:c r="C1370" s="57">
        <x:f t="shared" si="80"/>
        <x:v>245500</x:v>
      </x:c>
      <x:c r="D1370" s="25">
        <x:f t="shared" si="81"/>
        <x:v>271500</x:v>
      </x:c>
      <x:c r="E1370" s="25">
        <x:f t="shared" si="82"/>
        <x:v>291000</x:v>
      </x:c>
      <x:c r="F1370" s="58">
        <x:f t="shared" si="83"/>
        <x:v>310000</x:v>
      </x:c>
    </x:row>
    <x:row r="1371">
      <x:c r="B1371" s="63">
        <x:v>1469</x:v>
      </x:c>
      <x:c r="C1371" s="57">
        <x:f t="shared" si="80"/>
        <x:v>245500</x:v>
      </x:c>
      <x:c r="D1371" s="25">
        <x:f t="shared" si="81"/>
        <x:v>271500</x:v>
      </x:c>
      <x:c r="E1371" s="25">
        <x:f t="shared" si="82"/>
        <x:v>291000</x:v>
      </x:c>
      <x:c r="F1371" s="58">
        <x:f t="shared" si="83"/>
        <x:v>310000</x:v>
      </x:c>
    </x:row>
    <x:row r="1372">
      <x:c r="B1372" s="63">
        <x:v>1470</x:v>
      </x:c>
      <x:c r="C1372" s="57">
        <x:f t="shared" si="80"/>
        <x:v>245500</x:v>
      </x:c>
      <x:c r="D1372" s="25">
        <x:f t="shared" si="81"/>
        <x:v>271500</x:v>
      </x:c>
      <x:c r="E1372" s="25">
        <x:f t="shared" si="82"/>
        <x:v>291000</x:v>
      </x:c>
      <x:c r="F1372" s="58">
        <x:f t="shared" si="83"/>
        <x:v>310000</x:v>
      </x:c>
    </x:row>
    <x:row r="1373">
      <x:c r="B1373" s="63">
        <x:v>1471</x:v>
      </x:c>
      <x:c r="C1373" s="57">
        <x:f t="shared" si="80"/>
        <x:v>245500</x:v>
      </x:c>
      <x:c r="D1373" s="25">
        <x:f t="shared" si="81"/>
        <x:v>271500</x:v>
      </x:c>
      <x:c r="E1373" s="25">
        <x:f t="shared" si="82"/>
        <x:v>291000</x:v>
      </x:c>
      <x:c r="F1373" s="58">
        <x:f t="shared" si="83"/>
        <x:v>310000</x:v>
      </x:c>
    </x:row>
    <x:row r="1374">
      <x:c r="B1374" s="63">
        <x:v>1472</x:v>
      </x:c>
      <x:c r="C1374" s="57">
        <x:f t="shared" si="80"/>
        <x:v>245500</x:v>
      </x:c>
      <x:c r="D1374" s="25">
        <x:f t="shared" si="81"/>
        <x:v>271500</x:v>
      </x:c>
      <x:c r="E1374" s="25">
        <x:f t="shared" si="82"/>
        <x:v>291000</x:v>
      </x:c>
      <x:c r="F1374" s="58">
        <x:f t="shared" si="83"/>
        <x:v>310000</x:v>
      </x:c>
    </x:row>
    <x:row r="1375">
      <x:c r="B1375" s="63">
        <x:v>1473</x:v>
      </x:c>
      <x:c r="C1375" s="57">
        <x:f t="shared" si="80"/>
        <x:v>245500</x:v>
      </x:c>
      <x:c r="D1375" s="25">
        <x:f t="shared" si="81"/>
        <x:v>271500</x:v>
      </x:c>
      <x:c r="E1375" s="25">
        <x:f t="shared" si="82"/>
        <x:v>291000</x:v>
      </x:c>
      <x:c r="F1375" s="58">
        <x:f t="shared" si="83"/>
        <x:v>310000</x:v>
      </x:c>
    </x:row>
    <x:row r="1376">
      <x:c r="B1376" s="63">
        <x:v>1474</x:v>
      </x:c>
      <x:c r="C1376" s="57">
        <x:f t="shared" si="80"/>
        <x:v>245500</x:v>
      </x:c>
      <x:c r="D1376" s="25">
        <x:f t="shared" si="81"/>
        <x:v>271500</x:v>
      </x:c>
      <x:c r="E1376" s="25">
        <x:f t="shared" si="82"/>
        <x:v>291000</x:v>
      </x:c>
      <x:c r="F1376" s="58">
        <x:f t="shared" si="83"/>
        <x:v>310000</x:v>
      </x:c>
    </x:row>
    <x:row r="1377">
      <x:c r="B1377" s="63">
        <x:v>1475</x:v>
      </x:c>
      <x:c r="C1377" s="57">
        <x:f t="shared" si="80"/>
        <x:v>245500</x:v>
      </x:c>
      <x:c r="D1377" s="25">
        <x:f t="shared" si="81"/>
        <x:v>271500</x:v>
      </x:c>
      <x:c r="E1377" s="25">
        <x:f t="shared" si="82"/>
        <x:v>291000</x:v>
      </x:c>
      <x:c r="F1377" s="58">
        <x:f t="shared" si="83"/>
        <x:v>310000</x:v>
      </x:c>
    </x:row>
    <x:row r="1378">
      <x:c r="B1378" s="63">
        <x:v>1476</x:v>
      </x:c>
      <x:c r="C1378" s="57">
        <x:f t="shared" si="80"/>
        <x:v>245500</x:v>
      </x:c>
      <x:c r="D1378" s="25">
        <x:f t="shared" si="81"/>
        <x:v>271500</x:v>
      </x:c>
      <x:c r="E1378" s="25">
        <x:f t="shared" si="82"/>
        <x:v>291000</x:v>
      </x:c>
      <x:c r="F1378" s="58">
        <x:f t="shared" si="83"/>
        <x:v>310000</x:v>
      </x:c>
    </x:row>
    <x:row r="1379">
      <x:c r="B1379" s="63">
        <x:v>1477</x:v>
      </x:c>
      <x:c r="C1379" s="57">
        <x:f t="shared" si="80"/>
        <x:v>245500</x:v>
      </x:c>
      <x:c r="D1379" s="25">
        <x:f t="shared" si="81"/>
        <x:v>271500</x:v>
      </x:c>
      <x:c r="E1379" s="25">
        <x:f t="shared" si="82"/>
        <x:v>291000</x:v>
      </x:c>
      <x:c r="F1379" s="58">
        <x:f t="shared" si="83"/>
        <x:v>310000</x:v>
      </x:c>
    </x:row>
    <x:row r="1380">
      <x:c r="B1380" s="63">
        <x:v>1478</x:v>
      </x:c>
      <x:c r="C1380" s="57">
        <x:f t="shared" si="80"/>
        <x:v>245500</x:v>
      </x:c>
      <x:c r="D1380" s="25">
        <x:f t="shared" si="81"/>
        <x:v>271500</x:v>
      </x:c>
      <x:c r="E1380" s="25">
        <x:f t="shared" si="82"/>
        <x:v>291000</x:v>
      </x:c>
      <x:c r="F1380" s="58">
        <x:f t="shared" si="83"/>
        <x:v>310000</x:v>
      </x:c>
    </x:row>
    <x:row r="1381">
      <x:c r="B1381" s="63">
        <x:v>1479</x:v>
      </x:c>
      <x:c r="C1381" s="57">
        <x:f t="shared" si="80"/>
        <x:v>245500</x:v>
      </x:c>
      <x:c r="D1381" s="25">
        <x:f t="shared" si="81"/>
        <x:v>271500</x:v>
      </x:c>
      <x:c r="E1381" s="25">
        <x:f t="shared" si="82"/>
        <x:v>291000</x:v>
      </x:c>
      <x:c r="F1381" s="58">
        <x:f t="shared" si="83"/>
        <x:v>310000</x:v>
      </x:c>
    </x:row>
    <x:row r="1382">
      <x:c r="B1382" s="63">
        <x:v>1480</x:v>
      </x:c>
      <x:c r="C1382" s="57">
        <x:f t="shared" si="80"/>
        <x:v>245500</x:v>
      </x:c>
      <x:c r="D1382" s="25">
        <x:f t="shared" si="81"/>
        <x:v>271500</x:v>
      </x:c>
      <x:c r="E1382" s="25">
        <x:f t="shared" si="82"/>
        <x:v>291000</x:v>
      </x:c>
      <x:c r="F1382" s="58">
        <x:f t="shared" si="83"/>
        <x:v>310000</x:v>
      </x:c>
    </x:row>
    <x:row r="1383">
      <x:c r="B1383" s="63">
        <x:v>1481</x:v>
      </x:c>
      <x:c r="C1383" s="57">
        <x:f t="shared" si="80"/>
        <x:v>245500</x:v>
      </x:c>
      <x:c r="D1383" s="25">
        <x:f t="shared" si="81"/>
        <x:v>271500</x:v>
      </x:c>
      <x:c r="E1383" s="25">
        <x:f t="shared" si="82"/>
        <x:v>291000</x:v>
      </x:c>
      <x:c r="F1383" s="58">
        <x:f t="shared" si="83"/>
        <x:v>310000</x:v>
      </x:c>
    </x:row>
    <x:row r="1384">
      <x:c r="B1384" s="63">
        <x:v>1482</x:v>
      </x:c>
      <x:c r="C1384" s="57">
        <x:f t="shared" si="80"/>
        <x:v>245500</x:v>
      </x:c>
      <x:c r="D1384" s="25">
        <x:f t="shared" si="81"/>
        <x:v>271500</x:v>
      </x:c>
      <x:c r="E1384" s="25">
        <x:f t="shared" si="82"/>
        <x:v>291000</x:v>
      </x:c>
      <x:c r="F1384" s="58">
        <x:f t="shared" si="83"/>
        <x:v>310000</x:v>
      </x:c>
    </x:row>
    <x:row r="1385">
      <x:c r="B1385" s="63">
        <x:v>1483</x:v>
      </x:c>
      <x:c r="C1385" s="57">
        <x:f t="shared" si="80"/>
        <x:v>245500</x:v>
      </x:c>
      <x:c r="D1385" s="25">
        <x:f t="shared" si="81"/>
        <x:v>271500</x:v>
      </x:c>
      <x:c r="E1385" s="25">
        <x:f t="shared" si="82"/>
        <x:v>291000</x:v>
      </x:c>
      <x:c r="F1385" s="58">
        <x:f t="shared" si="83"/>
        <x:v>310000</x:v>
      </x:c>
    </x:row>
    <x:row r="1386">
      <x:c r="B1386" s="63">
        <x:v>1484</x:v>
      </x:c>
      <x:c r="C1386" s="57">
        <x:f t="shared" si="80"/>
        <x:v>245500</x:v>
      </x:c>
      <x:c r="D1386" s="25">
        <x:f t="shared" si="81"/>
        <x:v>271500</x:v>
      </x:c>
      <x:c r="E1386" s="25">
        <x:f t="shared" si="82"/>
        <x:v>291000</x:v>
      </x:c>
      <x:c r="F1386" s="58">
        <x:f t="shared" si="83"/>
        <x:v>310000</x:v>
      </x:c>
    </x:row>
    <x:row r="1387">
      <x:c r="B1387" s="63">
        <x:v>1485</x:v>
      </x:c>
      <x:c r="C1387" s="57">
        <x:f t="shared" si="80"/>
        <x:v>245500</x:v>
      </x:c>
      <x:c r="D1387" s="25">
        <x:f t="shared" si="81"/>
        <x:v>271500</x:v>
      </x:c>
      <x:c r="E1387" s="25">
        <x:f t="shared" si="82"/>
        <x:v>291000</x:v>
      </x:c>
      <x:c r="F1387" s="58">
        <x:f t="shared" si="83"/>
        <x:v>310000</x:v>
      </x:c>
    </x:row>
    <x:row r="1388">
      <x:c r="B1388" s="63">
        <x:v>1486</x:v>
      </x:c>
      <x:c r="C1388" s="57">
        <x:f t="shared" si="80"/>
        <x:v>245500</x:v>
      </x:c>
      <x:c r="D1388" s="25">
        <x:f t="shared" si="81"/>
        <x:v>271500</x:v>
      </x:c>
      <x:c r="E1388" s="25">
        <x:f t="shared" si="82"/>
        <x:v>291000</x:v>
      </x:c>
      <x:c r="F1388" s="58">
        <x:f t="shared" si="83"/>
        <x:v>310000</x:v>
      </x:c>
    </x:row>
    <x:row r="1389">
      <x:c r="B1389" s="63">
        <x:v>1487</x:v>
      </x:c>
      <x:c r="C1389" s="57">
        <x:f t="shared" si="80"/>
        <x:v>245500</x:v>
      </x:c>
      <x:c r="D1389" s="25">
        <x:f t="shared" si="81"/>
        <x:v>271500</x:v>
      </x:c>
      <x:c r="E1389" s="25">
        <x:f t="shared" si="82"/>
        <x:v>291000</x:v>
      </x:c>
      <x:c r="F1389" s="58">
        <x:f t="shared" si="83"/>
        <x:v>310000</x:v>
      </x:c>
    </x:row>
    <x:row r="1390">
      <x:c r="B1390" s="63">
        <x:v>1488</x:v>
      </x:c>
      <x:c r="C1390" s="57">
        <x:f t="shared" si="80"/>
        <x:v>245500</x:v>
      </x:c>
      <x:c r="D1390" s="25">
        <x:f t="shared" si="81"/>
        <x:v>271500</x:v>
      </x:c>
      <x:c r="E1390" s="25">
        <x:f t="shared" si="82"/>
        <x:v>291000</x:v>
      </x:c>
      <x:c r="F1390" s="58">
        <x:f t="shared" si="83"/>
        <x:v>310000</x:v>
      </x:c>
    </x:row>
    <x:row r="1391">
      <x:c r="B1391" s="63">
        <x:v>1489</x:v>
      </x:c>
      <x:c r="C1391" s="57">
        <x:f t="shared" si="80"/>
        <x:v>245500</x:v>
      </x:c>
      <x:c r="D1391" s="25">
        <x:f t="shared" si="81"/>
        <x:v>271500</x:v>
      </x:c>
      <x:c r="E1391" s="25">
        <x:f t="shared" si="82"/>
        <x:v>291000</x:v>
      </x:c>
      <x:c r="F1391" s="58">
        <x:f t="shared" si="83"/>
        <x:v>310000</x:v>
      </x:c>
    </x:row>
    <x:row r="1392">
      <x:c r="B1392" s="63">
        <x:v>1490</x:v>
      </x:c>
      <x:c r="C1392" s="57">
        <x:f t="shared" si="80"/>
        <x:v>245500</x:v>
      </x:c>
      <x:c r="D1392" s="25">
        <x:f t="shared" si="81"/>
        <x:v>271500</x:v>
      </x:c>
      <x:c r="E1392" s="25">
        <x:f t="shared" si="82"/>
        <x:v>291000</x:v>
      </x:c>
      <x:c r="F1392" s="58">
        <x:f t="shared" si="83"/>
        <x:v>310000</x:v>
      </x:c>
    </x:row>
    <x:row r="1393">
      <x:c r="B1393" s="63">
        <x:v>1491</x:v>
      </x:c>
      <x:c r="C1393" s="57">
        <x:f t="shared" si="80"/>
        <x:v>245500</x:v>
      </x:c>
      <x:c r="D1393" s="25">
        <x:f t="shared" si="81"/>
        <x:v>271500</x:v>
      </x:c>
      <x:c r="E1393" s="25">
        <x:f t="shared" si="82"/>
        <x:v>291000</x:v>
      </x:c>
      <x:c r="F1393" s="58">
        <x:f t="shared" si="83"/>
        <x:v>310000</x:v>
      </x:c>
    </x:row>
    <x:row r="1394">
      <x:c r="B1394" s="63">
        <x:v>1492</x:v>
      </x:c>
      <x:c r="C1394" s="57">
        <x:f t="shared" si="80"/>
        <x:v>245500</x:v>
      </x:c>
      <x:c r="D1394" s="25">
        <x:f t="shared" si="81"/>
        <x:v>271500</x:v>
      </x:c>
      <x:c r="E1394" s="25">
        <x:f t="shared" si="82"/>
        <x:v>291000</x:v>
      </x:c>
      <x:c r="F1394" s="58">
        <x:f t="shared" si="83"/>
        <x:v>310000</x:v>
      </x:c>
    </x:row>
    <x:row r="1395">
      <x:c r="B1395" s="63">
        <x:v>1493</x:v>
      </x:c>
      <x:c r="C1395" s="57">
        <x:f t="shared" si="80"/>
        <x:v>245500</x:v>
      </x:c>
      <x:c r="D1395" s="25">
        <x:f t="shared" si="81"/>
        <x:v>271500</x:v>
      </x:c>
      <x:c r="E1395" s="25">
        <x:f t="shared" si="82"/>
        <x:v>291000</x:v>
      </x:c>
      <x:c r="F1395" s="58">
        <x:f t="shared" si="83"/>
        <x:v>310000</x:v>
      </x:c>
    </x:row>
    <x:row r="1396">
      <x:c r="B1396" s="63">
        <x:v>1494</x:v>
      </x:c>
      <x:c r="C1396" s="57">
        <x:f t="shared" si="80"/>
        <x:v>245500</x:v>
      </x:c>
      <x:c r="D1396" s="25">
        <x:f t="shared" si="81"/>
        <x:v>271500</x:v>
      </x:c>
      <x:c r="E1396" s="25">
        <x:f t="shared" si="82"/>
        <x:v>291000</x:v>
      </x:c>
      <x:c r="F1396" s="58">
        <x:f t="shared" si="83"/>
        <x:v>310000</x:v>
      </x:c>
    </x:row>
    <x:row r="1397">
      <x:c r="B1397" s="63">
        <x:v>1495</x:v>
      </x:c>
      <x:c r="C1397" s="57">
        <x:f t="shared" si="80"/>
        <x:v>245500</x:v>
      </x:c>
      <x:c r="D1397" s="25">
        <x:f t="shared" si="81"/>
        <x:v>271500</x:v>
      </x:c>
      <x:c r="E1397" s="25">
        <x:f t="shared" si="82"/>
        <x:v>291000</x:v>
      </x:c>
      <x:c r="F1397" s="58">
        <x:f t="shared" si="83"/>
        <x:v>310000</x:v>
      </x:c>
    </x:row>
    <x:row r="1398">
      <x:c r="B1398" s="63">
        <x:v>1496</x:v>
      </x:c>
      <x:c r="C1398" s="57">
        <x:f t="shared" si="80"/>
        <x:v>245500</x:v>
      </x:c>
      <x:c r="D1398" s="25">
        <x:f t="shared" si="81"/>
        <x:v>271500</x:v>
      </x:c>
      <x:c r="E1398" s="25">
        <x:f t="shared" si="82"/>
        <x:v>291000</x:v>
      </x:c>
      <x:c r="F1398" s="58">
        <x:f t="shared" si="83"/>
        <x:v>310000</x:v>
      </x:c>
    </x:row>
    <x:row r="1399">
      <x:c r="B1399" s="63">
        <x:v>1497</x:v>
      </x:c>
      <x:c r="C1399" s="57">
        <x:f t="shared" si="80"/>
        <x:v>245500</x:v>
      </x:c>
      <x:c r="D1399" s="25">
        <x:f t="shared" si="81"/>
        <x:v>271500</x:v>
      </x:c>
      <x:c r="E1399" s="25">
        <x:f t="shared" si="82"/>
        <x:v>291000</x:v>
      </x:c>
      <x:c r="F1399" s="58">
        <x:f t="shared" si="83"/>
        <x:v>310000</x:v>
      </x:c>
    </x:row>
    <x:row r="1400">
      <x:c r="B1400" s="63">
        <x:v>1498</x:v>
      </x:c>
      <x:c r="C1400" s="57">
        <x:f t="shared" si="80"/>
        <x:v>245500</x:v>
      </x:c>
      <x:c r="D1400" s="25">
        <x:f t="shared" si="81"/>
        <x:v>271500</x:v>
      </x:c>
      <x:c r="E1400" s="25">
        <x:f t="shared" si="82"/>
        <x:v>291000</x:v>
      </x:c>
      <x:c r="F1400" s="58">
        <x:f t="shared" si="83"/>
        <x:v>310000</x:v>
      </x:c>
    </x:row>
    <x:row r="1401">
      <x:c r="B1401" s="63">
        <x:v>1499</x:v>
      </x:c>
      <x:c r="C1401" s="57">
        <x:f t="shared" si="80"/>
        <x:v>245500</x:v>
      </x:c>
      <x:c r="D1401" s="25">
        <x:f t="shared" si="81"/>
        <x:v>271500</x:v>
      </x:c>
      <x:c r="E1401" s="25">
        <x:f t="shared" si="82"/>
        <x:v>291000</x:v>
      </x:c>
      <x:c r="F1401" s="58">
        <x:f t="shared" si="83"/>
        <x:v>310000</x:v>
      </x:c>
    </x:row>
    <x:row r="1402">
      <x:c r="B1402" s="63">
        <x:v>1500</x:v>
      </x:c>
      <x:c r="C1402" s="57">
        <x:f t="shared" si="80"/>
        <x:v>245500</x:v>
      </x:c>
      <x:c r="D1402" s="25">
        <x:f t="shared" si="81"/>
        <x:v>271500</x:v>
      </x:c>
      <x:c r="E1402" s="25">
        <x:f t="shared" si="82"/>
        <x:v>291000</x:v>
      </x:c>
      <x:c r="F1402" s="58">
        <x:f t="shared" si="83"/>
        <x:v>310000</x:v>
      </x:c>
    </x:row>
    <x:row r="1403">
      <x:c r="B1403" s="63">
        <x:v>1501</x:v>
      </x:c>
      <x:c r="C1403" s="57" t="n">
        <x:f>$C$402+$J$23</x:f>
        <x:v>252800</x:v>
      </x:c>
      <x:c r="D1403" s="25" t="n">
        <x:f>$D$402+$K$23</x:f>
        <x:v>279600</x:v>
      </x:c>
      <x:c r="E1403" s="25" t="n">
        <x:f>$E$402+$L$23</x:f>
        <x:v>299700</x:v>
      </x:c>
      <x:c r="F1403" s="58" t="n">
        <x:f>$F$402+$M$23</x:f>
        <x:v>319300</x:v>
      </x:c>
    </x:row>
    <x:row r="1404">
      <x:c r="B1404" s="63">
        <x:v>1502</x:v>
      </x:c>
      <x:c r="C1404" s="57" t="n">
        <x:f t="shared" ref="C1404:C1452" si="84">$C$402+$J$23</x:f>
        <x:v>252800</x:v>
      </x:c>
      <x:c r="D1404" s="25" t="n">
        <x:f t="shared" ref="D1404:D1452" si="85">$D$402+$K$23</x:f>
        <x:v>279600</x:v>
      </x:c>
      <x:c r="E1404" s="25" t="n">
        <x:f t="shared" ref="E1404:E1452" si="86">$E$402+$L$23</x:f>
        <x:v>299700</x:v>
      </x:c>
      <x:c r="F1404" s="58" t="n">
        <x:f t="shared" ref="F1404:F1452" si="87">$F$402+$M$23</x:f>
        <x:v>319300</x:v>
      </x:c>
    </x:row>
    <x:row r="1405">
      <x:c r="B1405" s="63">
        <x:v>1503</x:v>
      </x:c>
      <x:c r="C1405" s="57">
        <x:f t="shared" si="84"/>
        <x:v>252800</x:v>
      </x:c>
      <x:c r="D1405" s="25">
        <x:f t="shared" si="85"/>
        <x:v>279600</x:v>
      </x:c>
      <x:c r="E1405" s="25">
        <x:f t="shared" si="86"/>
        <x:v>299700</x:v>
      </x:c>
      <x:c r="F1405" s="58">
        <x:f t="shared" si="87"/>
        <x:v>319300</x:v>
      </x:c>
    </x:row>
    <x:row r="1406">
      <x:c r="B1406" s="63">
        <x:v>1504</x:v>
      </x:c>
      <x:c r="C1406" s="57">
        <x:f t="shared" si="84"/>
        <x:v>252800</x:v>
      </x:c>
      <x:c r="D1406" s="25">
        <x:f t="shared" si="85"/>
        <x:v>279600</x:v>
      </x:c>
      <x:c r="E1406" s="25">
        <x:f t="shared" si="86"/>
        <x:v>299700</x:v>
      </x:c>
      <x:c r="F1406" s="58">
        <x:f t="shared" si="87"/>
        <x:v>319300</x:v>
      </x:c>
    </x:row>
    <x:row r="1407">
      <x:c r="B1407" s="63">
        <x:v>1505</x:v>
      </x:c>
      <x:c r="C1407" s="57">
        <x:f t="shared" si="84"/>
        <x:v>252800</x:v>
      </x:c>
      <x:c r="D1407" s="25">
        <x:f t="shared" si="85"/>
        <x:v>279600</x:v>
      </x:c>
      <x:c r="E1407" s="25">
        <x:f t="shared" si="86"/>
        <x:v>299700</x:v>
      </x:c>
      <x:c r="F1407" s="58">
        <x:f t="shared" si="87"/>
        <x:v>319300</x:v>
      </x:c>
    </x:row>
    <x:row r="1408">
      <x:c r="B1408" s="63">
        <x:v>1506</x:v>
      </x:c>
      <x:c r="C1408" s="57">
        <x:f t="shared" si="84"/>
        <x:v>252800</x:v>
      </x:c>
      <x:c r="D1408" s="25">
        <x:f t="shared" si="85"/>
        <x:v>279600</x:v>
      </x:c>
      <x:c r="E1408" s="25">
        <x:f t="shared" si="86"/>
        <x:v>299700</x:v>
      </x:c>
      <x:c r="F1408" s="58">
        <x:f t="shared" si="87"/>
        <x:v>319300</x:v>
      </x:c>
    </x:row>
    <x:row r="1409">
      <x:c r="B1409" s="63">
        <x:v>1507</x:v>
      </x:c>
      <x:c r="C1409" s="57">
        <x:f t="shared" si="84"/>
        <x:v>252800</x:v>
      </x:c>
      <x:c r="D1409" s="25">
        <x:f t="shared" si="85"/>
        <x:v>279600</x:v>
      </x:c>
      <x:c r="E1409" s="25">
        <x:f t="shared" si="86"/>
        <x:v>299700</x:v>
      </x:c>
      <x:c r="F1409" s="58">
        <x:f t="shared" si="87"/>
        <x:v>319300</x:v>
      </x:c>
    </x:row>
    <x:row r="1410">
      <x:c r="B1410" s="63">
        <x:v>1508</x:v>
      </x:c>
      <x:c r="C1410" s="57">
        <x:f t="shared" si="84"/>
        <x:v>252800</x:v>
      </x:c>
      <x:c r="D1410" s="25">
        <x:f t="shared" si="85"/>
        <x:v>279600</x:v>
      </x:c>
      <x:c r="E1410" s="25">
        <x:f t="shared" si="86"/>
        <x:v>299700</x:v>
      </x:c>
      <x:c r="F1410" s="58">
        <x:f t="shared" si="87"/>
        <x:v>319300</x:v>
      </x:c>
    </x:row>
    <x:row r="1411">
      <x:c r="B1411" s="63">
        <x:v>1509</x:v>
      </x:c>
      <x:c r="C1411" s="57">
        <x:f t="shared" si="84"/>
        <x:v>252800</x:v>
      </x:c>
      <x:c r="D1411" s="25">
        <x:f t="shared" si="85"/>
        <x:v>279600</x:v>
      </x:c>
      <x:c r="E1411" s="25">
        <x:f t="shared" si="86"/>
        <x:v>299700</x:v>
      </x:c>
      <x:c r="F1411" s="58">
        <x:f t="shared" si="87"/>
        <x:v>319300</x:v>
      </x:c>
    </x:row>
    <x:row r="1412">
      <x:c r="B1412" s="63">
        <x:v>1510</x:v>
      </x:c>
      <x:c r="C1412" s="57">
        <x:f t="shared" si="84"/>
        <x:v>252800</x:v>
      </x:c>
      <x:c r="D1412" s="25">
        <x:f t="shared" si="85"/>
        <x:v>279600</x:v>
      </x:c>
      <x:c r="E1412" s="25">
        <x:f t="shared" si="86"/>
        <x:v>299700</x:v>
      </x:c>
      <x:c r="F1412" s="58">
        <x:f t="shared" si="87"/>
        <x:v>319300</x:v>
      </x:c>
    </x:row>
    <x:row r="1413">
      <x:c r="B1413" s="63">
        <x:v>1511</x:v>
      </x:c>
      <x:c r="C1413" s="57">
        <x:f t="shared" si="84"/>
        <x:v>252800</x:v>
      </x:c>
      <x:c r="D1413" s="25">
        <x:f t="shared" si="85"/>
        <x:v>279600</x:v>
      </x:c>
      <x:c r="E1413" s="25">
        <x:f t="shared" si="86"/>
        <x:v>299700</x:v>
      </x:c>
      <x:c r="F1413" s="58">
        <x:f t="shared" si="87"/>
        <x:v>319300</x:v>
      </x:c>
    </x:row>
    <x:row r="1414">
      <x:c r="B1414" s="63">
        <x:v>1512</x:v>
      </x:c>
      <x:c r="C1414" s="57">
        <x:f t="shared" si="84"/>
        <x:v>252800</x:v>
      </x:c>
      <x:c r="D1414" s="25">
        <x:f t="shared" si="85"/>
        <x:v>279600</x:v>
      </x:c>
      <x:c r="E1414" s="25">
        <x:f t="shared" si="86"/>
        <x:v>299700</x:v>
      </x:c>
      <x:c r="F1414" s="58">
        <x:f t="shared" si="87"/>
        <x:v>319300</x:v>
      </x:c>
    </x:row>
    <x:row r="1415">
      <x:c r="B1415" s="63">
        <x:v>1513</x:v>
      </x:c>
      <x:c r="C1415" s="57">
        <x:f t="shared" si="84"/>
        <x:v>252800</x:v>
      </x:c>
      <x:c r="D1415" s="25">
        <x:f t="shared" si="85"/>
        <x:v>279600</x:v>
      </x:c>
      <x:c r="E1415" s="25">
        <x:f t="shared" si="86"/>
        <x:v>299700</x:v>
      </x:c>
      <x:c r="F1415" s="58">
        <x:f t="shared" si="87"/>
        <x:v>319300</x:v>
      </x:c>
    </x:row>
    <x:row r="1416">
      <x:c r="B1416" s="63">
        <x:v>1514</x:v>
      </x:c>
      <x:c r="C1416" s="57">
        <x:f t="shared" si="84"/>
        <x:v>252800</x:v>
      </x:c>
      <x:c r="D1416" s="25">
        <x:f t="shared" si="85"/>
        <x:v>279600</x:v>
      </x:c>
      <x:c r="E1416" s="25">
        <x:f t="shared" si="86"/>
        <x:v>299700</x:v>
      </x:c>
      <x:c r="F1416" s="58">
        <x:f t="shared" si="87"/>
        <x:v>319300</x:v>
      </x:c>
    </x:row>
    <x:row r="1417">
      <x:c r="B1417" s="63">
        <x:v>1515</x:v>
      </x:c>
      <x:c r="C1417" s="57">
        <x:f t="shared" si="84"/>
        <x:v>252800</x:v>
      </x:c>
      <x:c r="D1417" s="25">
        <x:f t="shared" si="85"/>
        <x:v>279600</x:v>
      </x:c>
      <x:c r="E1417" s="25">
        <x:f t="shared" si="86"/>
        <x:v>299700</x:v>
      </x:c>
      <x:c r="F1417" s="58">
        <x:f t="shared" si="87"/>
        <x:v>319300</x:v>
      </x:c>
    </x:row>
    <x:row r="1418">
      <x:c r="B1418" s="63">
        <x:v>1516</x:v>
      </x:c>
      <x:c r="C1418" s="57">
        <x:f t="shared" si="84"/>
        <x:v>252800</x:v>
      </x:c>
      <x:c r="D1418" s="25">
        <x:f t="shared" si="85"/>
        <x:v>279600</x:v>
      </x:c>
      <x:c r="E1418" s="25">
        <x:f t="shared" si="86"/>
        <x:v>299700</x:v>
      </x:c>
      <x:c r="F1418" s="58">
        <x:f t="shared" si="87"/>
        <x:v>319300</x:v>
      </x:c>
    </x:row>
    <x:row r="1419">
      <x:c r="B1419" s="63">
        <x:v>1517</x:v>
      </x:c>
      <x:c r="C1419" s="57">
        <x:f t="shared" si="84"/>
        <x:v>252800</x:v>
      </x:c>
      <x:c r="D1419" s="25">
        <x:f t="shared" si="85"/>
        <x:v>279600</x:v>
      </x:c>
      <x:c r="E1419" s="25">
        <x:f t="shared" si="86"/>
        <x:v>299700</x:v>
      </x:c>
      <x:c r="F1419" s="58">
        <x:f t="shared" si="87"/>
        <x:v>319300</x:v>
      </x:c>
    </x:row>
    <x:row r="1420">
      <x:c r="B1420" s="63">
        <x:v>1518</x:v>
      </x:c>
      <x:c r="C1420" s="57">
        <x:f t="shared" si="84"/>
        <x:v>252800</x:v>
      </x:c>
      <x:c r="D1420" s="25">
        <x:f t="shared" si="85"/>
        <x:v>279600</x:v>
      </x:c>
      <x:c r="E1420" s="25">
        <x:f t="shared" si="86"/>
        <x:v>299700</x:v>
      </x:c>
      <x:c r="F1420" s="58">
        <x:f t="shared" si="87"/>
        <x:v>319300</x:v>
      </x:c>
    </x:row>
    <x:row r="1421">
      <x:c r="B1421" s="63">
        <x:v>1519</x:v>
      </x:c>
      <x:c r="C1421" s="57">
        <x:f t="shared" si="84"/>
        <x:v>252800</x:v>
      </x:c>
      <x:c r="D1421" s="25">
        <x:f t="shared" si="85"/>
        <x:v>279600</x:v>
      </x:c>
      <x:c r="E1421" s="25">
        <x:f t="shared" si="86"/>
        <x:v>299700</x:v>
      </x:c>
      <x:c r="F1421" s="58">
        <x:f t="shared" si="87"/>
        <x:v>319300</x:v>
      </x:c>
    </x:row>
    <x:row r="1422">
      <x:c r="B1422" s="63">
        <x:v>1520</x:v>
      </x:c>
      <x:c r="C1422" s="57">
        <x:f t="shared" si="84"/>
        <x:v>252800</x:v>
      </x:c>
      <x:c r="D1422" s="25">
        <x:f t="shared" si="85"/>
        <x:v>279600</x:v>
      </x:c>
      <x:c r="E1422" s="25">
        <x:f t="shared" si="86"/>
        <x:v>299700</x:v>
      </x:c>
      <x:c r="F1422" s="58">
        <x:f t="shared" si="87"/>
        <x:v>319300</x:v>
      </x:c>
    </x:row>
    <x:row r="1423">
      <x:c r="B1423" s="63">
        <x:v>1521</x:v>
      </x:c>
      <x:c r="C1423" s="57">
        <x:f t="shared" si="84"/>
        <x:v>252800</x:v>
      </x:c>
      <x:c r="D1423" s="25">
        <x:f t="shared" si="85"/>
        <x:v>279600</x:v>
      </x:c>
      <x:c r="E1423" s="25">
        <x:f t="shared" si="86"/>
        <x:v>299700</x:v>
      </x:c>
      <x:c r="F1423" s="58">
        <x:f t="shared" si="87"/>
        <x:v>319300</x:v>
      </x:c>
    </x:row>
    <x:row r="1424">
      <x:c r="B1424" s="63">
        <x:v>1522</x:v>
      </x:c>
      <x:c r="C1424" s="57">
        <x:f t="shared" si="84"/>
        <x:v>252800</x:v>
      </x:c>
      <x:c r="D1424" s="25">
        <x:f t="shared" si="85"/>
        <x:v>279600</x:v>
      </x:c>
      <x:c r="E1424" s="25">
        <x:f t="shared" si="86"/>
        <x:v>299700</x:v>
      </x:c>
      <x:c r="F1424" s="58">
        <x:f t="shared" si="87"/>
        <x:v>319300</x:v>
      </x:c>
    </x:row>
    <x:row r="1425">
      <x:c r="B1425" s="63">
        <x:v>1523</x:v>
      </x:c>
      <x:c r="C1425" s="57">
        <x:f t="shared" si="84"/>
        <x:v>252800</x:v>
      </x:c>
      <x:c r="D1425" s="25">
        <x:f t="shared" si="85"/>
        <x:v>279600</x:v>
      </x:c>
      <x:c r="E1425" s="25">
        <x:f t="shared" si="86"/>
        <x:v>299700</x:v>
      </x:c>
      <x:c r="F1425" s="58">
        <x:f t="shared" si="87"/>
        <x:v>319300</x:v>
      </x:c>
    </x:row>
    <x:row r="1426">
      <x:c r="B1426" s="63">
        <x:v>1524</x:v>
      </x:c>
      <x:c r="C1426" s="57">
        <x:f t="shared" si="84"/>
        <x:v>252800</x:v>
      </x:c>
      <x:c r="D1426" s="25">
        <x:f t="shared" si="85"/>
        <x:v>279600</x:v>
      </x:c>
      <x:c r="E1426" s="25">
        <x:f t="shared" si="86"/>
        <x:v>299700</x:v>
      </x:c>
      <x:c r="F1426" s="58">
        <x:f t="shared" si="87"/>
        <x:v>319300</x:v>
      </x:c>
    </x:row>
    <x:row r="1427">
      <x:c r="B1427" s="63">
        <x:v>1525</x:v>
      </x:c>
      <x:c r="C1427" s="57">
        <x:f t="shared" si="84"/>
        <x:v>252800</x:v>
      </x:c>
      <x:c r="D1427" s="25">
        <x:f t="shared" si="85"/>
        <x:v>279600</x:v>
      </x:c>
      <x:c r="E1427" s="25">
        <x:f t="shared" si="86"/>
        <x:v>299700</x:v>
      </x:c>
      <x:c r="F1427" s="58">
        <x:f t="shared" si="87"/>
        <x:v>319300</x:v>
      </x:c>
    </x:row>
    <x:row r="1428">
      <x:c r="B1428" s="63">
        <x:v>1526</x:v>
      </x:c>
      <x:c r="C1428" s="57">
        <x:f t="shared" si="84"/>
        <x:v>252800</x:v>
      </x:c>
      <x:c r="D1428" s="25">
        <x:f t="shared" si="85"/>
        <x:v>279600</x:v>
      </x:c>
      <x:c r="E1428" s="25">
        <x:f t="shared" si="86"/>
        <x:v>299700</x:v>
      </x:c>
      <x:c r="F1428" s="58">
        <x:f t="shared" si="87"/>
        <x:v>319300</x:v>
      </x:c>
    </x:row>
    <x:row r="1429">
      <x:c r="B1429" s="63">
        <x:v>1527</x:v>
      </x:c>
      <x:c r="C1429" s="57">
        <x:f t="shared" si="84"/>
        <x:v>252800</x:v>
      </x:c>
      <x:c r="D1429" s="25">
        <x:f t="shared" si="85"/>
        <x:v>279600</x:v>
      </x:c>
      <x:c r="E1429" s="25">
        <x:f t="shared" si="86"/>
        <x:v>299700</x:v>
      </x:c>
      <x:c r="F1429" s="58">
        <x:f t="shared" si="87"/>
        <x:v>319300</x:v>
      </x:c>
    </x:row>
    <x:row r="1430">
      <x:c r="B1430" s="63">
        <x:v>1528</x:v>
      </x:c>
      <x:c r="C1430" s="57">
        <x:f t="shared" si="84"/>
        <x:v>252800</x:v>
      </x:c>
      <x:c r="D1430" s="25">
        <x:f t="shared" si="85"/>
        <x:v>279600</x:v>
      </x:c>
      <x:c r="E1430" s="25">
        <x:f t="shared" si="86"/>
        <x:v>299700</x:v>
      </x:c>
      <x:c r="F1430" s="58">
        <x:f t="shared" si="87"/>
        <x:v>319300</x:v>
      </x:c>
    </x:row>
    <x:row r="1431">
      <x:c r="B1431" s="63">
        <x:v>1529</x:v>
      </x:c>
      <x:c r="C1431" s="57">
        <x:f t="shared" si="84"/>
        <x:v>252800</x:v>
      </x:c>
      <x:c r="D1431" s="25">
        <x:f t="shared" si="85"/>
        <x:v>279600</x:v>
      </x:c>
      <x:c r="E1431" s="25">
        <x:f t="shared" si="86"/>
        <x:v>299700</x:v>
      </x:c>
      <x:c r="F1431" s="58">
        <x:f t="shared" si="87"/>
        <x:v>319300</x:v>
      </x:c>
    </x:row>
    <x:row r="1432">
      <x:c r="B1432" s="63">
        <x:v>1530</x:v>
      </x:c>
      <x:c r="C1432" s="57">
        <x:f t="shared" si="84"/>
        <x:v>252800</x:v>
      </x:c>
      <x:c r="D1432" s="25">
        <x:f t="shared" si="85"/>
        <x:v>279600</x:v>
      </x:c>
      <x:c r="E1432" s="25">
        <x:f t="shared" si="86"/>
        <x:v>299700</x:v>
      </x:c>
      <x:c r="F1432" s="58">
        <x:f t="shared" si="87"/>
        <x:v>319300</x:v>
      </x:c>
    </x:row>
    <x:row r="1433">
      <x:c r="B1433" s="63">
        <x:v>1531</x:v>
      </x:c>
      <x:c r="C1433" s="57">
        <x:f t="shared" si="84"/>
        <x:v>252800</x:v>
      </x:c>
      <x:c r="D1433" s="25">
        <x:f t="shared" si="85"/>
        <x:v>279600</x:v>
      </x:c>
      <x:c r="E1433" s="25">
        <x:f t="shared" si="86"/>
        <x:v>299700</x:v>
      </x:c>
      <x:c r="F1433" s="58">
        <x:f t="shared" si="87"/>
        <x:v>319300</x:v>
      </x:c>
    </x:row>
    <x:row r="1434">
      <x:c r="B1434" s="63">
        <x:v>1532</x:v>
      </x:c>
      <x:c r="C1434" s="57">
        <x:f t="shared" si="84"/>
        <x:v>252800</x:v>
      </x:c>
      <x:c r="D1434" s="25">
        <x:f t="shared" si="85"/>
        <x:v>279600</x:v>
      </x:c>
      <x:c r="E1434" s="25">
        <x:f t="shared" si="86"/>
        <x:v>299700</x:v>
      </x:c>
      <x:c r="F1434" s="58">
        <x:f t="shared" si="87"/>
        <x:v>319300</x:v>
      </x:c>
    </x:row>
    <x:row r="1435">
      <x:c r="B1435" s="63">
        <x:v>1533</x:v>
      </x:c>
      <x:c r="C1435" s="57">
        <x:f t="shared" si="84"/>
        <x:v>252800</x:v>
      </x:c>
      <x:c r="D1435" s="25">
        <x:f t="shared" si="85"/>
        <x:v>279600</x:v>
      </x:c>
      <x:c r="E1435" s="25">
        <x:f t="shared" si="86"/>
        <x:v>299700</x:v>
      </x:c>
      <x:c r="F1435" s="58">
        <x:f t="shared" si="87"/>
        <x:v>319300</x:v>
      </x:c>
    </x:row>
    <x:row r="1436">
      <x:c r="B1436" s="63">
        <x:v>1534</x:v>
      </x:c>
      <x:c r="C1436" s="57">
        <x:f t="shared" si="84"/>
        <x:v>252800</x:v>
      </x:c>
      <x:c r="D1436" s="25">
        <x:f t="shared" si="85"/>
        <x:v>279600</x:v>
      </x:c>
      <x:c r="E1436" s="25">
        <x:f t="shared" si="86"/>
        <x:v>299700</x:v>
      </x:c>
      <x:c r="F1436" s="58">
        <x:f t="shared" si="87"/>
        <x:v>319300</x:v>
      </x:c>
    </x:row>
    <x:row r="1437">
      <x:c r="B1437" s="63">
        <x:v>1535</x:v>
      </x:c>
      <x:c r="C1437" s="57">
        <x:f t="shared" si="84"/>
        <x:v>252800</x:v>
      </x:c>
      <x:c r="D1437" s="25">
        <x:f t="shared" si="85"/>
        <x:v>279600</x:v>
      </x:c>
      <x:c r="E1437" s="25">
        <x:f t="shared" si="86"/>
        <x:v>299700</x:v>
      </x:c>
      <x:c r="F1437" s="58">
        <x:f t="shared" si="87"/>
        <x:v>319300</x:v>
      </x:c>
    </x:row>
    <x:row r="1438">
      <x:c r="B1438" s="63">
        <x:v>1536</x:v>
      </x:c>
      <x:c r="C1438" s="57">
        <x:f t="shared" si="84"/>
        <x:v>252800</x:v>
      </x:c>
      <x:c r="D1438" s="25">
        <x:f t="shared" si="85"/>
        <x:v>279600</x:v>
      </x:c>
      <x:c r="E1438" s="25">
        <x:f t="shared" si="86"/>
        <x:v>299700</x:v>
      </x:c>
      <x:c r="F1438" s="58">
        <x:f t="shared" si="87"/>
        <x:v>319300</x:v>
      </x:c>
    </x:row>
    <x:row r="1439">
      <x:c r="B1439" s="63">
        <x:v>1537</x:v>
      </x:c>
      <x:c r="C1439" s="57">
        <x:f t="shared" si="84"/>
        <x:v>252800</x:v>
      </x:c>
      <x:c r="D1439" s="25">
        <x:f t="shared" si="85"/>
        <x:v>279600</x:v>
      </x:c>
      <x:c r="E1439" s="25">
        <x:f t="shared" si="86"/>
        <x:v>299700</x:v>
      </x:c>
      <x:c r="F1439" s="58">
        <x:f t="shared" si="87"/>
        <x:v>319300</x:v>
      </x:c>
    </x:row>
    <x:row r="1440">
      <x:c r="B1440" s="63">
        <x:v>1538</x:v>
      </x:c>
      <x:c r="C1440" s="57">
        <x:f t="shared" si="84"/>
        <x:v>252800</x:v>
      </x:c>
      <x:c r="D1440" s="25">
        <x:f t="shared" si="85"/>
        <x:v>279600</x:v>
      </x:c>
      <x:c r="E1440" s="25">
        <x:f t="shared" si="86"/>
        <x:v>299700</x:v>
      </x:c>
      <x:c r="F1440" s="58">
        <x:f t="shared" si="87"/>
        <x:v>319300</x:v>
      </x:c>
    </x:row>
    <x:row r="1441">
      <x:c r="B1441" s="63">
        <x:v>1539</x:v>
      </x:c>
      <x:c r="C1441" s="57">
        <x:f t="shared" si="84"/>
        <x:v>252800</x:v>
      </x:c>
      <x:c r="D1441" s="25">
        <x:f t="shared" si="85"/>
        <x:v>279600</x:v>
      </x:c>
      <x:c r="E1441" s="25">
        <x:f t="shared" si="86"/>
        <x:v>299700</x:v>
      </x:c>
      <x:c r="F1441" s="58">
        <x:f t="shared" si="87"/>
        <x:v>319300</x:v>
      </x:c>
    </x:row>
    <x:row r="1442">
      <x:c r="B1442" s="63">
        <x:v>1540</x:v>
      </x:c>
      <x:c r="C1442" s="57">
        <x:f t="shared" si="84"/>
        <x:v>252800</x:v>
      </x:c>
      <x:c r="D1442" s="25">
        <x:f t="shared" si="85"/>
        <x:v>279600</x:v>
      </x:c>
      <x:c r="E1442" s="25">
        <x:f t="shared" si="86"/>
        <x:v>299700</x:v>
      </x:c>
      <x:c r="F1442" s="58">
        <x:f t="shared" si="87"/>
        <x:v>319300</x:v>
      </x:c>
    </x:row>
    <x:row r="1443">
      <x:c r="B1443" s="63">
        <x:v>1541</x:v>
      </x:c>
      <x:c r="C1443" s="57">
        <x:f t="shared" si="84"/>
        <x:v>252800</x:v>
      </x:c>
      <x:c r="D1443" s="25">
        <x:f t="shared" si="85"/>
        <x:v>279600</x:v>
      </x:c>
      <x:c r="E1443" s="25">
        <x:f t="shared" si="86"/>
        <x:v>299700</x:v>
      </x:c>
      <x:c r="F1443" s="58">
        <x:f t="shared" si="87"/>
        <x:v>319300</x:v>
      </x:c>
    </x:row>
    <x:row r="1444">
      <x:c r="B1444" s="63">
        <x:v>1542</x:v>
      </x:c>
      <x:c r="C1444" s="57">
        <x:f t="shared" si="84"/>
        <x:v>252800</x:v>
      </x:c>
      <x:c r="D1444" s="25">
        <x:f t="shared" si="85"/>
        <x:v>279600</x:v>
      </x:c>
      <x:c r="E1444" s="25">
        <x:f t="shared" si="86"/>
        <x:v>299700</x:v>
      </x:c>
      <x:c r="F1444" s="58">
        <x:f t="shared" si="87"/>
        <x:v>319300</x:v>
      </x:c>
    </x:row>
    <x:row r="1445">
      <x:c r="B1445" s="63">
        <x:v>1543</x:v>
      </x:c>
      <x:c r="C1445" s="57">
        <x:f t="shared" si="84"/>
        <x:v>252800</x:v>
      </x:c>
      <x:c r="D1445" s="25">
        <x:f t="shared" si="85"/>
        <x:v>279600</x:v>
      </x:c>
      <x:c r="E1445" s="25">
        <x:f t="shared" si="86"/>
        <x:v>299700</x:v>
      </x:c>
      <x:c r="F1445" s="58">
        <x:f t="shared" si="87"/>
        <x:v>319300</x:v>
      </x:c>
    </x:row>
    <x:row r="1446">
      <x:c r="B1446" s="63">
        <x:v>1544</x:v>
      </x:c>
      <x:c r="C1446" s="57">
        <x:f t="shared" si="84"/>
        <x:v>252800</x:v>
      </x:c>
      <x:c r="D1446" s="25">
        <x:f t="shared" si="85"/>
        <x:v>279600</x:v>
      </x:c>
      <x:c r="E1446" s="25">
        <x:f t="shared" si="86"/>
        <x:v>299700</x:v>
      </x:c>
      <x:c r="F1446" s="58">
        <x:f t="shared" si="87"/>
        <x:v>319300</x:v>
      </x:c>
    </x:row>
    <x:row r="1447">
      <x:c r="B1447" s="63">
        <x:v>1545</x:v>
      </x:c>
      <x:c r="C1447" s="57">
        <x:f t="shared" si="84"/>
        <x:v>252800</x:v>
      </x:c>
      <x:c r="D1447" s="25">
        <x:f t="shared" si="85"/>
        <x:v>279600</x:v>
      </x:c>
      <x:c r="E1447" s="25">
        <x:f t="shared" si="86"/>
        <x:v>299700</x:v>
      </x:c>
      <x:c r="F1447" s="58">
        <x:f t="shared" si="87"/>
        <x:v>319300</x:v>
      </x:c>
    </x:row>
    <x:row r="1448">
      <x:c r="B1448" s="63">
        <x:v>1546</x:v>
      </x:c>
      <x:c r="C1448" s="57">
        <x:f t="shared" si="84"/>
        <x:v>252800</x:v>
      </x:c>
      <x:c r="D1448" s="25">
        <x:f t="shared" si="85"/>
        <x:v>279600</x:v>
      </x:c>
      <x:c r="E1448" s="25">
        <x:f t="shared" si="86"/>
        <x:v>299700</x:v>
      </x:c>
      <x:c r="F1448" s="58">
        <x:f t="shared" si="87"/>
        <x:v>319300</x:v>
      </x:c>
    </x:row>
    <x:row r="1449">
      <x:c r="B1449" s="63">
        <x:v>1547</x:v>
      </x:c>
      <x:c r="C1449" s="57">
        <x:f t="shared" si="84"/>
        <x:v>252800</x:v>
      </x:c>
      <x:c r="D1449" s="25">
        <x:f t="shared" si="85"/>
        <x:v>279600</x:v>
      </x:c>
      <x:c r="E1449" s="25">
        <x:f t="shared" si="86"/>
        <x:v>299700</x:v>
      </x:c>
      <x:c r="F1449" s="58">
        <x:f t="shared" si="87"/>
        <x:v>319300</x:v>
      </x:c>
    </x:row>
    <x:row r="1450">
      <x:c r="B1450" s="63">
        <x:v>1548</x:v>
      </x:c>
      <x:c r="C1450" s="57">
        <x:f t="shared" si="84"/>
        <x:v>252800</x:v>
      </x:c>
      <x:c r="D1450" s="25">
        <x:f t="shared" si="85"/>
        <x:v>279600</x:v>
      </x:c>
      <x:c r="E1450" s="25">
        <x:f t="shared" si="86"/>
        <x:v>299700</x:v>
      </x:c>
      <x:c r="F1450" s="58">
        <x:f t="shared" si="87"/>
        <x:v>319300</x:v>
      </x:c>
    </x:row>
    <x:row r="1451">
      <x:c r="B1451" s="63">
        <x:v>1549</x:v>
      </x:c>
      <x:c r="C1451" s="57">
        <x:f t="shared" si="84"/>
        <x:v>252800</x:v>
      </x:c>
      <x:c r="D1451" s="25">
        <x:f t="shared" si="85"/>
        <x:v>279600</x:v>
      </x:c>
      <x:c r="E1451" s="25">
        <x:f t="shared" si="86"/>
        <x:v>299700</x:v>
      </x:c>
      <x:c r="F1451" s="58">
        <x:f t="shared" si="87"/>
        <x:v>319300</x:v>
      </x:c>
    </x:row>
    <x:row r="1452">
      <x:c r="B1452" s="63">
        <x:v>1550</x:v>
      </x:c>
      <x:c r="C1452" s="57">
        <x:f t="shared" si="84"/>
        <x:v>252800</x:v>
      </x:c>
      <x:c r="D1452" s="25">
        <x:f t="shared" si="85"/>
        <x:v>279600</x:v>
      </x:c>
      <x:c r="E1452" s="25">
        <x:f t="shared" si="86"/>
        <x:v>299700</x:v>
      </x:c>
      <x:c r="F1452" s="58">
        <x:f t="shared" si="87"/>
        <x:v>319300</x:v>
      </x:c>
    </x:row>
    <x:row r="1453">
      <x:c r="B1453" s="63">
        <x:v>1551</x:v>
      </x:c>
      <x:c r="C1453" s="57" t="n">
        <x:f>$C$402+$J$24</x:f>
        <x:v>260100</x:v>
      </x:c>
      <x:c r="D1453" s="25" t="n">
        <x:f>$D$402+$K$24</x:f>
        <x:v>287700</x:v>
      </x:c>
      <x:c r="E1453" s="25" t="n">
        <x:f>$E$402+$L$24</x:f>
        <x:v>308400</x:v>
      </x:c>
      <x:c r="F1453" s="58" t="n">
        <x:f>$F$402+$M$24</x:f>
        <x:v>328600</x:v>
      </x:c>
    </x:row>
    <x:row r="1454">
      <x:c r="B1454" s="63">
        <x:v>1552</x:v>
      </x:c>
      <x:c r="C1454" s="57" t="n">
        <x:f t="shared" ref="C1454:C1502" si="88">$C$402+$J$24</x:f>
        <x:v>260100</x:v>
      </x:c>
      <x:c r="D1454" s="25" t="n">
        <x:f t="shared" ref="D1454:D1502" si="89">$D$402+$K$24</x:f>
        <x:v>287700</x:v>
      </x:c>
      <x:c r="E1454" s="25" t="n">
        <x:f t="shared" ref="E1454:E1502" si="90">$E$402+$L$24</x:f>
        <x:v>308400</x:v>
      </x:c>
      <x:c r="F1454" s="58" t="n">
        <x:f t="shared" ref="F1454:F1502" si="91">$F$402+$M$24</x:f>
        <x:v>328600</x:v>
      </x:c>
    </x:row>
    <x:row r="1455">
      <x:c r="B1455" s="63">
        <x:v>1553</x:v>
      </x:c>
      <x:c r="C1455" s="57">
        <x:f t="shared" si="88"/>
        <x:v>260100</x:v>
      </x:c>
      <x:c r="D1455" s="25">
        <x:f t="shared" si="89"/>
        <x:v>287700</x:v>
      </x:c>
      <x:c r="E1455" s="25">
        <x:f t="shared" si="90"/>
        <x:v>308400</x:v>
      </x:c>
      <x:c r="F1455" s="58">
        <x:f t="shared" si="91"/>
        <x:v>328600</x:v>
      </x:c>
    </x:row>
    <x:row r="1456">
      <x:c r="B1456" s="63">
        <x:v>1554</x:v>
      </x:c>
      <x:c r="C1456" s="57">
        <x:f t="shared" si="88"/>
        <x:v>260100</x:v>
      </x:c>
      <x:c r="D1456" s="25">
        <x:f t="shared" si="89"/>
        <x:v>287700</x:v>
      </x:c>
      <x:c r="E1456" s="25">
        <x:f t="shared" si="90"/>
        <x:v>308400</x:v>
      </x:c>
      <x:c r="F1456" s="58">
        <x:f t="shared" si="91"/>
        <x:v>328600</x:v>
      </x:c>
    </x:row>
    <x:row r="1457">
      <x:c r="B1457" s="63">
        <x:v>1555</x:v>
      </x:c>
      <x:c r="C1457" s="57">
        <x:f t="shared" si="88"/>
        <x:v>260100</x:v>
      </x:c>
      <x:c r="D1457" s="25">
        <x:f t="shared" si="89"/>
        <x:v>287700</x:v>
      </x:c>
      <x:c r="E1457" s="25">
        <x:f t="shared" si="90"/>
        <x:v>308400</x:v>
      </x:c>
      <x:c r="F1457" s="58">
        <x:f t="shared" si="91"/>
        <x:v>328600</x:v>
      </x:c>
    </x:row>
    <x:row r="1458">
      <x:c r="B1458" s="63">
        <x:v>1556</x:v>
      </x:c>
      <x:c r="C1458" s="57">
        <x:f t="shared" si="88"/>
        <x:v>260100</x:v>
      </x:c>
      <x:c r="D1458" s="25">
        <x:f t="shared" si="89"/>
        <x:v>287700</x:v>
      </x:c>
      <x:c r="E1458" s="25">
        <x:f t="shared" si="90"/>
        <x:v>308400</x:v>
      </x:c>
      <x:c r="F1458" s="58">
        <x:f t="shared" si="91"/>
        <x:v>328600</x:v>
      </x:c>
    </x:row>
    <x:row r="1459">
      <x:c r="B1459" s="63">
        <x:v>1557</x:v>
      </x:c>
      <x:c r="C1459" s="57">
        <x:f t="shared" si="88"/>
        <x:v>260100</x:v>
      </x:c>
      <x:c r="D1459" s="25">
        <x:f t="shared" si="89"/>
        <x:v>287700</x:v>
      </x:c>
      <x:c r="E1459" s="25">
        <x:f t="shared" si="90"/>
        <x:v>308400</x:v>
      </x:c>
      <x:c r="F1459" s="58">
        <x:f t="shared" si="91"/>
        <x:v>328600</x:v>
      </x:c>
    </x:row>
    <x:row r="1460">
      <x:c r="B1460" s="63">
        <x:v>1558</x:v>
      </x:c>
      <x:c r="C1460" s="57">
        <x:f t="shared" si="88"/>
        <x:v>260100</x:v>
      </x:c>
      <x:c r="D1460" s="25">
        <x:f t="shared" si="89"/>
        <x:v>287700</x:v>
      </x:c>
      <x:c r="E1460" s="25">
        <x:f t="shared" si="90"/>
        <x:v>308400</x:v>
      </x:c>
      <x:c r="F1460" s="58">
        <x:f t="shared" si="91"/>
        <x:v>328600</x:v>
      </x:c>
    </x:row>
    <x:row r="1461">
      <x:c r="B1461" s="63">
        <x:v>1559</x:v>
      </x:c>
      <x:c r="C1461" s="57">
        <x:f t="shared" si="88"/>
        <x:v>260100</x:v>
      </x:c>
      <x:c r="D1461" s="25">
        <x:f t="shared" si="89"/>
        <x:v>287700</x:v>
      </x:c>
      <x:c r="E1461" s="25">
        <x:f t="shared" si="90"/>
        <x:v>308400</x:v>
      </x:c>
      <x:c r="F1461" s="58">
        <x:f t="shared" si="91"/>
        <x:v>328600</x:v>
      </x:c>
    </x:row>
    <x:row r="1462">
      <x:c r="B1462" s="63">
        <x:v>1560</x:v>
      </x:c>
      <x:c r="C1462" s="57">
        <x:f t="shared" si="88"/>
        <x:v>260100</x:v>
      </x:c>
      <x:c r="D1462" s="25">
        <x:f t="shared" si="89"/>
        <x:v>287700</x:v>
      </x:c>
      <x:c r="E1462" s="25">
        <x:f t="shared" si="90"/>
        <x:v>308400</x:v>
      </x:c>
      <x:c r="F1462" s="58">
        <x:f t="shared" si="91"/>
        <x:v>328600</x:v>
      </x:c>
    </x:row>
    <x:row r="1463">
      <x:c r="B1463" s="63">
        <x:v>1561</x:v>
      </x:c>
      <x:c r="C1463" s="57">
        <x:f t="shared" si="88"/>
        <x:v>260100</x:v>
      </x:c>
      <x:c r="D1463" s="25">
        <x:f t="shared" si="89"/>
        <x:v>287700</x:v>
      </x:c>
      <x:c r="E1463" s="25">
        <x:f t="shared" si="90"/>
        <x:v>308400</x:v>
      </x:c>
      <x:c r="F1463" s="58">
        <x:f t="shared" si="91"/>
        <x:v>328600</x:v>
      </x:c>
    </x:row>
    <x:row r="1464">
      <x:c r="B1464" s="63">
        <x:v>1562</x:v>
      </x:c>
      <x:c r="C1464" s="57">
        <x:f t="shared" si="88"/>
        <x:v>260100</x:v>
      </x:c>
      <x:c r="D1464" s="25">
        <x:f t="shared" si="89"/>
        <x:v>287700</x:v>
      </x:c>
      <x:c r="E1464" s="25">
        <x:f t="shared" si="90"/>
        <x:v>308400</x:v>
      </x:c>
      <x:c r="F1464" s="58">
        <x:f t="shared" si="91"/>
        <x:v>328600</x:v>
      </x:c>
    </x:row>
    <x:row r="1465">
      <x:c r="B1465" s="63">
        <x:v>1563</x:v>
      </x:c>
      <x:c r="C1465" s="57">
        <x:f t="shared" si="88"/>
        <x:v>260100</x:v>
      </x:c>
      <x:c r="D1465" s="25">
        <x:f t="shared" si="89"/>
        <x:v>287700</x:v>
      </x:c>
      <x:c r="E1465" s="25">
        <x:f t="shared" si="90"/>
        <x:v>308400</x:v>
      </x:c>
      <x:c r="F1465" s="58">
        <x:f t="shared" si="91"/>
        <x:v>328600</x:v>
      </x:c>
    </x:row>
    <x:row r="1466">
      <x:c r="B1466" s="63">
        <x:v>1564</x:v>
      </x:c>
      <x:c r="C1466" s="57">
        <x:f t="shared" si="88"/>
        <x:v>260100</x:v>
      </x:c>
      <x:c r="D1466" s="25">
        <x:f t="shared" si="89"/>
        <x:v>287700</x:v>
      </x:c>
      <x:c r="E1466" s="25">
        <x:f t="shared" si="90"/>
        <x:v>308400</x:v>
      </x:c>
      <x:c r="F1466" s="58">
        <x:f t="shared" si="91"/>
        <x:v>328600</x:v>
      </x:c>
    </x:row>
    <x:row r="1467">
      <x:c r="B1467" s="63">
        <x:v>1565</x:v>
      </x:c>
      <x:c r="C1467" s="57">
        <x:f t="shared" si="88"/>
        <x:v>260100</x:v>
      </x:c>
      <x:c r="D1467" s="25">
        <x:f t="shared" si="89"/>
        <x:v>287700</x:v>
      </x:c>
      <x:c r="E1467" s="25">
        <x:f t="shared" si="90"/>
        <x:v>308400</x:v>
      </x:c>
      <x:c r="F1467" s="58">
        <x:f t="shared" si="91"/>
        <x:v>328600</x:v>
      </x:c>
    </x:row>
    <x:row r="1468">
      <x:c r="B1468" s="63">
        <x:v>1566</x:v>
      </x:c>
      <x:c r="C1468" s="57">
        <x:f t="shared" si="88"/>
        <x:v>260100</x:v>
      </x:c>
      <x:c r="D1468" s="25">
        <x:f t="shared" si="89"/>
        <x:v>287700</x:v>
      </x:c>
      <x:c r="E1468" s="25">
        <x:f t="shared" si="90"/>
        <x:v>308400</x:v>
      </x:c>
      <x:c r="F1468" s="58">
        <x:f t="shared" si="91"/>
        <x:v>328600</x:v>
      </x:c>
    </x:row>
    <x:row r="1469">
      <x:c r="B1469" s="63">
        <x:v>1567</x:v>
      </x:c>
      <x:c r="C1469" s="57">
        <x:f t="shared" si="88"/>
        <x:v>260100</x:v>
      </x:c>
      <x:c r="D1469" s="25">
        <x:f t="shared" si="89"/>
        <x:v>287700</x:v>
      </x:c>
      <x:c r="E1469" s="25">
        <x:f t="shared" si="90"/>
        <x:v>308400</x:v>
      </x:c>
      <x:c r="F1469" s="58">
        <x:f t="shared" si="91"/>
        <x:v>328600</x:v>
      </x:c>
    </x:row>
    <x:row r="1470">
      <x:c r="B1470" s="63">
        <x:v>1568</x:v>
      </x:c>
      <x:c r="C1470" s="57">
        <x:f t="shared" si="88"/>
        <x:v>260100</x:v>
      </x:c>
      <x:c r="D1470" s="25">
        <x:f t="shared" si="89"/>
        <x:v>287700</x:v>
      </x:c>
      <x:c r="E1470" s="25">
        <x:f t="shared" si="90"/>
        <x:v>308400</x:v>
      </x:c>
      <x:c r="F1470" s="58">
        <x:f t="shared" si="91"/>
        <x:v>328600</x:v>
      </x:c>
    </x:row>
    <x:row r="1471">
      <x:c r="B1471" s="63">
        <x:v>1569</x:v>
      </x:c>
      <x:c r="C1471" s="57">
        <x:f t="shared" si="88"/>
        <x:v>260100</x:v>
      </x:c>
      <x:c r="D1471" s="25">
        <x:f t="shared" si="89"/>
        <x:v>287700</x:v>
      </x:c>
      <x:c r="E1471" s="25">
        <x:f t="shared" si="90"/>
        <x:v>308400</x:v>
      </x:c>
      <x:c r="F1471" s="58">
        <x:f t="shared" si="91"/>
        <x:v>328600</x:v>
      </x:c>
    </x:row>
    <x:row r="1472">
      <x:c r="B1472" s="63">
        <x:v>1570</x:v>
      </x:c>
      <x:c r="C1472" s="57">
        <x:f t="shared" si="88"/>
        <x:v>260100</x:v>
      </x:c>
      <x:c r="D1472" s="25">
        <x:f t="shared" si="89"/>
        <x:v>287700</x:v>
      </x:c>
      <x:c r="E1472" s="25">
        <x:f t="shared" si="90"/>
        <x:v>308400</x:v>
      </x:c>
      <x:c r="F1472" s="58">
        <x:f t="shared" si="91"/>
        <x:v>328600</x:v>
      </x:c>
    </x:row>
    <x:row r="1473">
      <x:c r="B1473" s="63">
        <x:v>1571</x:v>
      </x:c>
      <x:c r="C1473" s="57">
        <x:f t="shared" si="88"/>
        <x:v>260100</x:v>
      </x:c>
      <x:c r="D1473" s="25">
        <x:f t="shared" si="89"/>
        <x:v>287700</x:v>
      </x:c>
      <x:c r="E1473" s="25">
        <x:f t="shared" si="90"/>
        <x:v>308400</x:v>
      </x:c>
      <x:c r="F1473" s="58">
        <x:f t="shared" si="91"/>
        <x:v>328600</x:v>
      </x:c>
    </x:row>
    <x:row r="1474">
      <x:c r="B1474" s="63">
        <x:v>1572</x:v>
      </x:c>
      <x:c r="C1474" s="57">
        <x:f t="shared" si="88"/>
        <x:v>260100</x:v>
      </x:c>
      <x:c r="D1474" s="25">
        <x:f t="shared" si="89"/>
        <x:v>287700</x:v>
      </x:c>
      <x:c r="E1474" s="25">
        <x:f t="shared" si="90"/>
        <x:v>308400</x:v>
      </x:c>
      <x:c r="F1474" s="58">
        <x:f t="shared" si="91"/>
        <x:v>328600</x:v>
      </x:c>
    </x:row>
    <x:row r="1475">
      <x:c r="B1475" s="63">
        <x:v>1573</x:v>
      </x:c>
      <x:c r="C1475" s="57">
        <x:f t="shared" si="88"/>
        <x:v>260100</x:v>
      </x:c>
      <x:c r="D1475" s="25">
        <x:f t="shared" si="89"/>
        <x:v>287700</x:v>
      </x:c>
      <x:c r="E1475" s="25">
        <x:f t="shared" si="90"/>
        <x:v>308400</x:v>
      </x:c>
      <x:c r="F1475" s="58">
        <x:f t="shared" si="91"/>
        <x:v>328600</x:v>
      </x:c>
    </x:row>
    <x:row r="1476">
      <x:c r="B1476" s="63">
        <x:v>1574</x:v>
      </x:c>
      <x:c r="C1476" s="57">
        <x:f t="shared" si="88"/>
        <x:v>260100</x:v>
      </x:c>
      <x:c r="D1476" s="25">
        <x:f t="shared" si="89"/>
        <x:v>287700</x:v>
      </x:c>
      <x:c r="E1476" s="25">
        <x:f t="shared" si="90"/>
        <x:v>308400</x:v>
      </x:c>
      <x:c r="F1476" s="58">
        <x:f t="shared" si="91"/>
        <x:v>328600</x:v>
      </x:c>
    </x:row>
    <x:row r="1477">
      <x:c r="B1477" s="63">
        <x:v>1575</x:v>
      </x:c>
      <x:c r="C1477" s="57">
        <x:f t="shared" si="88"/>
        <x:v>260100</x:v>
      </x:c>
      <x:c r="D1477" s="25">
        <x:f t="shared" si="89"/>
        <x:v>287700</x:v>
      </x:c>
      <x:c r="E1477" s="25">
        <x:f t="shared" si="90"/>
        <x:v>308400</x:v>
      </x:c>
      <x:c r="F1477" s="58">
        <x:f t="shared" si="91"/>
        <x:v>328600</x:v>
      </x:c>
    </x:row>
    <x:row r="1478">
      <x:c r="B1478" s="63">
        <x:v>1576</x:v>
      </x:c>
      <x:c r="C1478" s="57">
        <x:f t="shared" si="88"/>
        <x:v>260100</x:v>
      </x:c>
      <x:c r="D1478" s="25">
        <x:f t="shared" si="89"/>
        <x:v>287700</x:v>
      </x:c>
      <x:c r="E1478" s="25">
        <x:f t="shared" si="90"/>
        <x:v>308400</x:v>
      </x:c>
      <x:c r="F1478" s="58">
        <x:f t="shared" si="91"/>
        <x:v>328600</x:v>
      </x:c>
    </x:row>
    <x:row r="1479">
      <x:c r="B1479" s="63">
        <x:v>1577</x:v>
      </x:c>
      <x:c r="C1479" s="57">
        <x:f t="shared" si="88"/>
        <x:v>260100</x:v>
      </x:c>
      <x:c r="D1479" s="25">
        <x:f t="shared" si="89"/>
        <x:v>287700</x:v>
      </x:c>
      <x:c r="E1479" s="25">
        <x:f t="shared" si="90"/>
        <x:v>308400</x:v>
      </x:c>
      <x:c r="F1479" s="58">
        <x:f t="shared" si="91"/>
        <x:v>328600</x:v>
      </x:c>
    </x:row>
    <x:row r="1480">
      <x:c r="B1480" s="63">
        <x:v>1578</x:v>
      </x:c>
      <x:c r="C1480" s="57">
        <x:f t="shared" si="88"/>
        <x:v>260100</x:v>
      </x:c>
      <x:c r="D1480" s="25">
        <x:f t="shared" si="89"/>
        <x:v>287700</x:v>
      </x:c>
      <x:c r="E1480" s="25">
        <x:f t="shared" si="90"/>
        <x:v>308400</x:v>
      </x:c>
      <x:c r="F1480" s="58">
        <x:f t="shared" si="91"/>
        <x:v>328600</x:v>
      </x:c>
    </x:row>
    <x:row r="1481">
      <x:c r="B1481" s="63">
        <x:v>1579</x:v>
      </x:c>
      <x:c r="C1481" s="57">
        <x:f t="shared" si="88"/>
        <x:v>260100</x:v>
      </x:c>
      <x:c r="D1481" s="25">
        <x:f t="shared" si="89"/>
        <x:v>287700</x:v>
      </x:c>
      <x:c r="E1481" s="25">
        <x:f t="shared" si="90"/>
        <x:v>308400</x:v>
      </x:c>
      <x:c r="F1481" s="58">
        <x:f t="shared" si="91"/>
        <x:v>328600</x:v>
      </x:c>
    </x:row>
    <x:row r="1482">
      <x:c r="B1482" s="63">
        <x:v>1580</x:v>
      </x:c>
      <x:c r="C1482" s="57">
        <x:f t="shared" si="88"/>
        <x:v>260100</x:v>
      </x:c>
      <x:c r="D1482" s="25">
        <x:f t="shared" si="89"/>
        <x:v>287700</x:v>
      </x:c>
      <x:c r="E1482" s="25">
        <x:f t="shared" si="90"/>
        <x:v>308400</x:v>
      </x:c>
      <x:c r="F1482" s="58">
        <x:f t="shared" si="91"/>
        <x:v>328600</x:v>
      </x:c>
    </x:row>
    <x:row r="1483">
      <x:c r="B1483" s="63">
        <x:v>1581</x:v>
      </x:c>
      <x:c r="C1483" s="57">
        <x:f t="shared" si="88"/>
        <x:v>260100</x:v>
      </x:c>
      <x:c r="D1483" s="25">
        <x:f t="shared" si="89"/>
        <x:v>287700</x:v>
      </x:c>
      <x:c r="E1483" s="25">
        <x:f t="shared" si="90"/>
        <x:v>308400</x:v>
      </x:c>
      <x:c r="F1483" s="58">
        <x:f t="shared" si="91"/>
        <x:v>328600</x:v>
      </x:c>
    </x:row>
    <x:row r="1484">
      <x:c r="B1484" s="63">
        <x:v>1582</x:v>
      </x:c>
      <x:c r="C1484" s="57">
        <x:f t="shared" si="88"/>
        <x:v>260100</x:v>
      </x:c>
      <x:c r="D1484" s="25">
        <x:f t="shared" si="89"/>
        <x:v>287700</x:v>
      </x:c>
      <x:c r="E1484" s="25">
        <x:f t="shared" si="90"/>
        <x:v>308400</x:v>
      </x:c>
      <x:c r="F1484" s="58">
        <x:f t="shared" si="91"/>
        <x:v>328600</x:v>
      </x:c>
    </x:row>
    <x:row r="1485">
      <x:c r="B1485" s="63">
        <x:v>1583</x:v>
      </x:c>
      <x:c r="C1485" s="57">
        <x:f t="shared" si="88"/>
        <x:v>260100</x:v>
      </x:c>
      <x:c r="D1485" s="25">
        <x:f t="shared" si="89"/>
        <x:v>287700</x:v>
      </x:c>
      <x:c r="E1485" s="25">
        <x:f t="shared" si="90"/>
        <x:v>308400</x:v>
      </x:c>
      <x:c r="F1485" s="58">
        <x:f t="shared" si="91"/>
        <x:v>328600</x:v>
      </x:c>
    </x:row>
    <x:row r="1486">
      <x:c r="B1486" s="63">
        <x:v>1584</x:v>
      </x:c>
      <x:c r="C1486" s="57">
        <x:f t="shared" si="88"/>
        <x:v>260100</x:v>
      </x:c>
      <x:c r="D1486" s="25">
        <x:f t="shared" si="89"/>
        <x:v>287700</x:v>
      </x:c>
      <x:c r="E1486" s="25">
        <x:f t="shared" si="90"/>
        <x:v>308400</x:v>
      </x:c>
      <x:c r="F1486" s="58">
        <x:f t="shared" si="91"/>
        <x:v>328600</x:v>
      </x:c>
    </x:row>
    <x:row r="1487">
      <x:c r="B1487" s="63">
        <x:v>1585</x:v>
      </x:c>
      <x:c r="C1487" s="57">
        <x:f t="shared" si="88"/>
        <x:v>260100</x:v>
      </x:c>
      <x:c r="D1487" s="25">
        <x:f t="shared" si="89"/>
        <x:v>287700</x:v>
      </x:c>
      <x:c r="E1487" s="25">
        <x:f t="shared" si="90"/>
        <x:v>308400</x:v>
      </x:c>
      <x:c r="F1487" s="58">
        <x:f t="shared" si="91"/>
        <x:v>328600</x:v>
      </x:c>
    </x:row>
    <x:row r="1488">
      <x:c r="B1488" s="63">
        <x:v>1586</x:v>
      </x:c>
      <x:c r="C1488" s="57">
        <x:f t="shared" si="88"/>
        <x:v>260100</x:v>
      </x:c>
      <x:c r="D1488" s="25">
        <x:f t="shared" si="89"/>
        <x:v>287700</x:v>
      </x:c>
      <x:c r="E1488" s="25">
        <x:f t="shared" si="90"/>
        <x:v>308400</x:v>
      </x:c>
      <x:c r="F1488" s="58">
        <x:f t="shared" si="91"/>
        <x:v>328600</x:v>
      </x:c>
    </x:row>
    <x:row r="1489">
      <x:c r="B1489" s="63">
        <x:v>1587</x:v>
      </x:c>
      <x:c r="C1489" s="57">
        <x:f t="shared" si="88"/>
        <x:v>260100</x:v>
      </x:c>
      <x:c r="D1489" s="25">
        <x:f t="shared" si="89"/>
        <x:v>287700</x:v>
      </x:c>
      <x:c r="E1489" s="25">
        <x:f t="shared" si="90"/>
        <x:v>308400</x:v>
      </x:c>
      <x:c r="F1489" s="58">
        <x:f t="shared" si="91"/>
        <x:v>328600</x:v>
      </x:c>
    </x:row>
    <x:row r="1490">
      <x:c r="B1490" s="63">
        <x:v>1588</x:v>
      </x:c>
      <x:c r="C1490" s="57">
        <x:f t="shared" si="88"/>
        <x:v>260100</x:v>
      </x:c>
      <x:c r="D1490" s="25">
        <x:f t="shared" si="89"/>
        <x:v>287700</x:v>
      </x:c>
      <x:c r="E1490" s="25">
        <x:f t="shared" si="90"/>
        <x:v>308400</x:v>
      </x:c>
      <x:c r="F1490" s="58">
        <x:f t="shared" si="91"/>
        <x:v>328600</x:v>
      </x:c>
    </x:row>
    <x:row r="1491">
      <x:c r="B1491" s="63">
        <x:v>1589</x:v>
      </x:c>
      <x:c r="C1491" s="57">
        <x:f t="shared" si="88"/>
        <x:v>260100</x:v>
      </x:c>
      <x:c r="D1491" s="25">
        <x:f t="shared" si="89"/>
        <x:v>287700</x:v>
      </x:c>
      <x:c r="E1491" s="25">
        <x:f t="shared" si="90"/>
        <x:v>308400</x:v>
      </x:c>
      <x:c r="F1491" s="58">
        <x:f t="shared" si="91"/>
        <x:v>328600</x:v>
      </x:c>
    </x:row>
    <x:row r="1492">
      <x:c r="B1492" s="63">
        <x:v>1590</x:v>
      </x:c>
      <x:c r="C1492" s="57">
        <x:f t="shared" si="88"/>
        <x:v>260100</x:v>
      </x:c>
      <x:c r="D1492" s="25">
        <x:f t="shared" si="89"/>
        <x:v>287700</x:v>
      </x:c>
      <x:c r="E1492" s="25">
        <x:f t="shared" si="90"/>
        <x:v>308400</x:v>
      </x:c>
      <x:c r="F1492" s="58">
        <x:f t="shared" si="91"/>
        <x:v>328600</x:v>
      </x:c>
    </x:row>
    <x:row r="1493">
      <x:c r="B1493" s="63">
        <x:v>1591</x:v>
      </x:c>
      <x:c r="C1493" s="57">
        <x:f t="shared" si="88"/>
        <x:v>260100</x:v>
      </x:c>
      <x:c r="D1493" s="25">
        <x:f t="shared" si="89"/>
        <x:v>287700</x:v>
      </x:c>
      <x:c r="E1493" s="25">
        <x:f t="shared" si="90"/>
        <x:v>308400</x:v>
      </x:c>
      <x:c r="F1493" s="58">
        <x:f t="shared" si="91"/>
        <x:v>328600</x:v>
      </x:c>
    </x:row>
    <x:row r="1494">
      <x:c r="B1494" s="63">
        <x:v>1592</x:v>
      </x:c>
      <x:c r="C1494" s="57">
        <x:f t="shared" si="88"/>
        <x:v>260100</x:v>
      </x:c>
      <x:c r="D1494" s="25">
        <x:f t="shared" si="89"/>
        <x:v>287700</x:v>
      </x:c>
      <x:c r="E1494" s="25">
        <x:f t="shared" si="90"/>
        <x:v>308400</x:v>
      </x:c>
      <x:c r="F1494" s="58">
        <x:f t="shared" si="91"/>
        <x:v>328600</x:v>
      </x:c>
    </x:row>
    <x:row r="1495">
      <x:c r="B1495" s="63">
        <x:v>1593</x:v>
      </x:c>
      <x:c r="C1495" s="57">
        <x:f t="shared" si="88"/>
        <x:v>260100</x:v>
      </x:c>
      <x:c r="D1495" s="25">
        <x:f t="shared" si="89"/>
        <x:v>287700</x:v>
      </x:c>
      <x:c r="E1495" s="25">
        <x:f t="shared" si="90"/>
        <x:v>308400</x:v>
      </x:c>
      <x:c r="F1495" s="58">
        <x:f t="shared" si="91"/>
        <x:v>328600</x:v>
      </x:c>
    </x:row>
    <x:row r="1496">
      <x:c r="B1496" s="63">
        <x:v>1594</x:v>
      </x:c>
      <x:c r="C1496" s="57">
        <x:f t="shared" si="88"/>
        <x:v>260100</x:v>
      </x:c>
      <x:c r="D1496" s="25">
        <x:f t="shared" si="89"/>
        <x:v>287700</x:v>
      </x:c>
      <x:c r="E1496" s="25">
        <x:f t="shared" si="90"/>
        <x:v>308400</x:v>
      </x:c>
      <x:c r="F1496" s="58">
        <x:f t="shared" si="91"/>
        <x:v>328600</x:v>
      </x:c>
    </x:row>
    <x:row r="1497">
      <x:c r="B1497" s="63">
        <x:v>1595</x:v>
      </x:c>
      <x:c r="C1497" s="57">
        <x:f t="shared" si="88"/>
        <x:v>260100</x:v>
      </x:c>
      <x:c r="D1497" s="25">
        <x:f t="shared" si="89"/>
        <x:v>287700</x:v>
      </x:c>
      <x:c r="E1497" s="25">
        <x:f t="shared" si="90"/>
        <x:v>308400</x:v>
      </x:c>
      <x:c r="F1497" s="58">
        <x:f t="shared" si="91"/>
        <x:v>328600</x:v>
      </x:c>
    </x:row>
    <x:row r="1498">
      <x:c r="B1498" s="63">
        <x:v>1596</x:v>
      </x:c>
      <x:c r="C1498" s="57">
        <x:f t="shared" si="88"/>
        <x:v>260100</x:v>
      </x:c>
      <x:c r="D1498" s="25">
        <x:f t="shared" si="89"/>
        <x:v>287700</x:v>
      </x:c>
      <x:c r="E1498" s="25">
        <x:f t="shared" si="90"/>
        <x:v>308400</x:v>
      </x:c>
      <x:c r="F1498" s="58">
        <x:f t="shared" si="91"/>
        <x:v>328600</x:v>
      </x:c>
    </x:row>
    <x:row r="1499">
      <x:c r="B1499" s="63">
        <x:v>1597</x:v>
      </x:c>
      <x:c r="C1499" s="57">
        <x:f t="shared" si="88"/>
        <x:v>260100</x:v>
      </x:c>
      <x:c r="D1499" s="25">
        <x:f t="shared" si="89"/>
        <x:v>287700</x:v>
      </x:c>
      <x:c r="E1499" s="25">
        <x:f t="shared" si="90"/>
        <x:v>308400</x:v>
      </x:c>
      <x:c r="F1499" s="58">
        <x:f t="shared" si="91"/>
        <x:v>328600</x:v>
      </x:c>
    </x:row>
    <x:row r="1500">
      <x:c r="B1500" s="63">
        <x:v>1598</x:v>
      </x:c>
      <x:c r="C1500" s="57">
        <x:f t="shared" si="88"/>
        <x:v>260100</x:v>
      </x:c>
      <x:c r="D1500" s="25">
        <x:f t="shared" si="89"/>
        <x:v>287700</x:v>
      </x:c>
      <x:c r="E1500" s="25">
        <x:f t="shared" si="90"/>
        <x:v>308400</x:v>
      </x:c>
      <x:c r="F1500" s="58">
        <x:f t="shared" si="91"/>
        <x:v>328600</x:v>
      </x:c>
    </x:row>
    <x:row r="1501">
      <x:c r="B1501" s="63">
        <x:v>1599</x:v>
      </x:c>
      <x:c r="C1501" s="57">
        <x:f t="shared" si="88"/>
        <x:v>260100</x:v>
      </x:c>
      <x:c r="D1501" s="25">
        <x:f t="shared" si="89"/>
        <x:v>287700</x:v>
      </x:c>
      <x:c r="E1501" s="25">
        <x:f t="shared" si="90"/>
        <x:v>308400</x:v>
      </x:c>
      <x:c r="F1501" s="58">
        <x:f t="shared" si="91"/>
        <x:v>328600</x:v>
      </x:c>
    </x:row>
    <x:row r="1502">
      <x:c r="B1502" s="63">
        <x:v>1600</x:v>
      </x:c>
      <x:c r="C1502" s="57">
        <x:f t="shared" si="88"/>
        <x:v>260100</x:v>
      </x:c>
      <x:c r="D1502" s="25">
        <x:f t="shared" si="89"/>
        <x:v>287700</x:v>
      </x:c>
      <x:c r="E1502" s="25">
        <x:f t="shared" si="90"/>
        <x:v>308400</x:v>
      </x:c>
      <x:c r="F1502" s="58">
        <x:f t="shared" si="91"/>
        <x:v>328600</x:v>
      </x:c>
    </x:row>
    <x:row r="1503">
      <x:c r="B1503" s="63">
        <x:v>1601</x:v>
      </x:c>
      <x:c r="C1503" s="57" t="n">
        <x:f>$C$402+$J$25</x:f>
        <x:v>267400</x:v>
      </x:c>
      <x:c r="D1503" s="25" t="n">
        <x:f>$D$402+$K$25</x:f>
        <x:v>295800</x:v>
      </x:c>
      <x:c r="E1503" s="25" t="n">
        <x:f>$E$402+$L$25</x:f>
        <x:v>317100</x:v>
      </x:c>
      <x:c r="F1503" s="58" t="n">
        <x:f>$F$402+$M$25</x:f>
        <x:v>337900</x:v>
      </x:c>
    </x:row>
    <x:row r="1504">
      <x:c r="B1504" s="63">
        <x:v>1602</x:v>
      </x:c>
      <x:c r="C1504" s="57" t="n">
        <x:f t="shared" ref="C1504:C1552" si="92">$C$402+$J$25</x:f>
        <x:v>267400</x:v>
      </x:c>
      <x:c r="D1504" s="25" t="n">
        <x:f t="shared" ref="D1504:D1552" si="93">$D$402+$K$25</x:f>
        <x:v>295800</x:v>
      </x:c>
      <x:c r="E1504" s="25" t="n">
        <x:f t="shared" ref="E1504:E1552" si="94">$E$402+$L$25</x:f>
        <x:v>317100</x:v>
      </x:c>
      <x:c r="F1504" s="58" t="n">
        <x:f t="shared" ref="F1504:F1552" si="95">$F$402+$M$25</x:f>
        <x:v>337900</x:v>
      </x:c>
    </x:row>
    <x:row r="1505">
      <x:c r="B1505" s="63">
        <x:v>1603</x:v>
      </x:c>
      <x:c r="C1505" s="57">
        <x:f t="shared" si="92"/>
        <x:v>267400</x:v>
      </x:c>
      <x:c r="D1505" s="25">
        <x:f t="shared" si="93"/>
        <x:v>295800</x:v>
      </x:c>
      <x:c r="E1505" s="25">
        <x:f t="shared" si="94"/>
        <x:v>317100</x:v>
      </x:c>
      <x:c r="F1505" s="58">
        <x:f t="shared" si="95"/>
        <x:v>337900</x:v>
      </x:c>
    </x:row>
    <x:row r="1506">
      <x:c r="B1506" s="63">
        <x:v>1604</x:v>
      </x:c>
      <x:c r="C1506" s="57">
        <x:f t="shared" si="92"/>
        <x:v>267400</x:v>
      </x:c>
      <x:c r="D1506" s="25">
        <x:f t="shared" si="93"/>
        <x:v>295800</x:v>
      </x:c>
      <x:c r="E1506" s="25">
        <x:f t="shared" si="94"/>
        <x:v>317100</x:v>
      </x:c>
      <x:c r="F1506" s="58">
        <x:f t="shared" si="95"/>
        <x:v>337900</x:v>
      </x:c>
    </x:row>
    <x:row r="1507">
      <x:c r="B1507" s="63">
        <x:v>1605</x:v>
      </x:c>
      <x:c r="C1507" s="57">
        <x:f t="shared" si="92"/>
        <x:v>267400</x:v>
      </x:c>
      <x:c r="D1507" s="25">
        <x:f t="shared" si="93"/>
        <x:v>295800</x:v>
      </x:c>
      <x:c r="E1507" s="25">
        <x:f t="shared" si="94"/>
        <x:v>317100</x:v>
      </x:c>
      <x:c r="F1507" s="58">
        <x:f t="shared" si="95"/>
        <x:v>337900</x:v>
      </x:c>
    </x:row>
    <x:row r="1508">
      <x:c r="B1508" s="63">
        <x:v>1606</x:v>
      </x:c>
      <x:c r="C1508" s="57">
        <x:f t="shared" si="92"/>
        <x:v>267400</x:v>
      </x:c>
      <x:c r="D1508" s="25">
        <x:f t="shared" si="93"/>
        <x:v>295800</x:v>
      </x:c>
      <x:c r="E1508" s="25">
        <x:f t="shared" si="94"/>
        <x:v>317100</x:v>
      </x:c>
      <x:c r="F1508" s="58">
        <x:f t="shared" si="95"/>
        <x:v>337900</x:v>
      </x:c>
    </x:row>
    <x:row r="1509">
      <x:c r="B1509" s="63">
        <x:v>1607</x:v>
      </x:c>
      <x:c r="C1509" s="57">
        <x:f t="shared" si="92"/>
        <x:v>267400</x:v>
      </x:c>
      <x:c r="D1509" s="25">
        <x:f t="shared" si="93"/>
        <x:v>295800</x:v>
      </x:c>
      <x:c r="E1509" s="25">
        <x:f t="shared" si="94"/>
        <x:v>317100</x:v>
      </x:c>
      <x:c r="F1509" s="58">
        <x:f t="shared" si="95"/>
        <x:v>337900</x:v>
      </x:c>
    </x:row>
    <x:row r="1510">
      <x:c r="B1510" s="63">
        <x:v>1608</x:v>
      </x:c>
      <x:c r="C1510" s="57">
        <x:f t="shared" si="92"/>
        <x:v>267400</x:v>
      </x:c>
      <x:c r="D1510" s="25">
        <x:f t="shared" si="93"/>
        <x:v>295800</x:v>
      </x:c>
      <x:c r="E1510" s="25">
        <x:f t="shared" si="94"/>
        <x:v>317100</x:v>
      </x:c>
      <x:c r="F1510" s="58">
        <x:f t="shared" si="95"/>
        <x:v>337900</x:v>
      </x:c>
    </x:row>
    <x:row r="1511">
      <x:c r="B1511" s="63">
        <x:v>1609</x:v>
      </x:c>
      <x:c r="C1511" s="57">
        <x:f t="shared" si="92"/>
        <x:v>267400</x:v>
      </x:c>
      <x:c r="D1511" s="25">
        <x:f t="shared" si="93"/>
        <x:v>295800</x:v>
      </x:c>
      <x:c r="E1511" s="25">
        <x:f t="shared" si="94"/>
        <x:v>317100</x:v>
      </x:c>
      <x:c r="F1511" s="58">
        <x:f t="shared" si="95"/>
        <x:v>337900</x:v>
      </x:c>
    </x:row>
    <x:row r="1512">
      <x:c r="B1512" s="63">
        <x:v>1610</x:v>
      </x:c>
      <x:c r="C1512" s="57">
        <x:f t="shared" si="92"/>
        <x:v>267400</x:v>
      </x:c>
      <x:c r="D1512" s="25">
        <x:f t="shared" si="93"/>
        <x:v>295800</x:v>
      </x:c>
      <x:c r="E1512" s="25">
        <x:f t="shared" si="94"/>
        <x:v>317100</x:v>
      </x:c>
      <x:c r="F1512" s="58">
        <x:f t="shared" si="95"/>
        <x:v>337900</x:v>
      </x:c>
    </x:row>
    <x:row r="1513">
      <x:c r="B1513" s="63">
        <x:v>1611</x:v>
      </x:c>
      <x:c r="C1513" s="57">
        <x:f t="shared" si="92"/>
        <x:v>267400</x:v>
      </x:c>
      <x:c r="D1513" s="25">
        <x:f t="shared" si="93"/>
        <x:v>295800</x:v>
      </x:c>
      <x:c r="E1513" s="25">
        <x:f t="shared" si="94"/>
        <x:v>317100</x:v>
      </x:c>
      <x:c r="F1513" s="58">
        <x:f t="shared" si="95"/>
        <x:v>337900</x:v>
      </x:c>
    </x:row>
    <x:row r="1514">
      <x:c r="B1514" s="63">
        <x:v>1612</x:v>
      </x:c>
      <x:c r="C1514" s="57">
        <x:f t="shared" si="92"/>
        <x:v>267400</x:v>
      </x:c>
      <x:c r="D1514" s="25">
        <x:f t="shared" si="93"/>
        <x:v>295800</x:v>
      </x:c>
      <x:c r="E1514" s="25">
        <x:f t="shared" si="94"/>
        <x:v>317100</x:v>
      </x:c>
      <x:c r="F1514" s="58">
        <x:f t="shared" si="95"/>
        <x:v>337900</x:v>
      </x:c>
    </x:row>
    <x:row r="1515">
      <x:c r="B1515" s="63">
        <x:v>1613</x:v>
      </x:c>
      <x:c r="C1515" s="57">
        <x:f t="shared" si="92"/>
        <x:v>267400</x:v>
      </x:c>
      <x:c r="D1515" s="25">
        <x:f t="shared" si="93"/>
        <x:v>295800</x:v>
      </x:c>
      <x:c r="E1515" s="25">
        <x:f t="shared" si="94"/>
        <x:v>317100</x:v>
      </x:c>
      <x:c r="F1515" s="58">
        <x:f t="shared" si="95"/>
        <x:v>337900</x:v>
      </x:c>
    </x:row>
    <x:row r="1516">
      <x:c r="B1516" s="63">
        <x:v>1614</x:v>
      </x:c>
      <x:c r="C1516" s="57">
        <x:f t="shared" si="92"/>
        <x:v>267400</x:v>
      </x:c>
      <x:c r="D1516" s="25">
        <x:f t="shared" si="93"/>
        <x:v>295800</x:v>
      </x:c>
      <x:c r="E1516" s="25">
        <x:f t="shared" si="94"/>
        <x:v>317100</x:v>
      </x:c>
      <x:c r="F1516" s="58">
        <x:f t="shared" si="95"/>
        <x:v>337900</x:v>
      </x:c>
    </x:row>
    <x:row r="1517">
      <x:c r="B1517" s="63">
        <x:v>1615</x:v>
      </x:c>
      <x:c r="C1517" s="57">
        <x:f t="shared" si="92"/>
        <x:v>267400</x:v>
      </x:c>
      <x:c r="D1517" s="25">
        <x:f t="shared" si="93"/>
        <x:v>295800</x:v>
      </x:c>
      <x:c r="E1517" s="25">
        <x:f t="shared" si="94"/>
        <x:v>317100</x:v>
      </x:c>
      <x:c r="F1517" s="58">
        <x:f t="shared" si="95"/>
        <x:v>337900</x:v>
      </x:c>
    </x:row>
    <x:row r="1518">
      <x:c r="B1518" s="63">
        <x:v>1616</x:v>
      </x:c>
      <x:c r="C1518" s="57">
        <x:f t="shared" si="92"/>
        <x:v>267400</x:v>
      </x:c>
      <x:c r="D1518" s="25">
        <x:f t="shared" si="93"/>
        <x:v>295800</x:v>
      </x:c>
      <x:c r="E1518" s="25">
        <x:f t="shared" si="94"/>
        <x:v>317100</x:v>
      </x:c>
      <x:c r="F1518" s="58">
        <x:f t="shared" si="95"/>
        <x:v>337900</x:v>
      </x:c>
    </x:row>
    <x:row r="1519">
      <x:c r="B1519" s="63">
        <x:v>1617</x:v>
      </x:c>
      <x:c r="C1519" s="57">
        <x:f t="shared" si="92"/>
        <x:v>267400</x:v>
      </x:c>
      <x:c r="D1519" s="25">
        <x:f t="shared" si="93"/>
        <x:v>295800</x:v>
      </x:c>
      <x:c r="E1519" s="25">
        <x:f t="shared" si="94"/>
        <x:v>317100</x:v>
      </x:c>
      <x:c r="F1519" s="58">
        <x:f t="shared" si="95"/>
        <x:v>337900</x:v>
      </x:c>
    </x:row>
    <x:row r="1520">
      <x:c r="B1520" s="63">
        <x:v>1618</x:v>
      </x:c>
      <x:c r="C1520" s="57">
        <x:f t="shared" si="92"/>
        <x:v>267400</x:v>
      </x:c>
      <x:c r="D1520" s="25">
        <x:f t="shared" si="93"/>
        <x:v>295800</x:v>
      </x:c>
      <x:c r="E1520" s="25">
        <x:f t="shared" si="94"/>
        <x:v>317100</x:v>
      </x:c>
      <x:c r="F1520" s="58">
        <x:f t="shared" si="95"/>
        <x:v>337900</x:v>
      </x:c>
    </x:row>
    <x:row r="1521">
      <x:c r="B1521" s="63">
        <x:v>1619</x:v>
      </x:c>
      <x:c r="C1521" s="57">
        <x:f t="shared" si="92"/>
        <x:v>267400</x:v>
      </x:c>
      <x:c r="D1521" s="25">
        <x:f t="shared" si="93"/>
        <x:v>295800</x:v>
      </x:c>
      <x:c r="E1521" s="25">
        <x:f t="shared" si="94"/>
        <x:v>317100</x:v>
      </x:c>
      <x:c r="F1521" s="58">
        <x:f t="shared" si="95"/>
        <x:v>337900</x:v>
      </x:c>
    </x:row>
    <x:row r="1522">
      <x:c r="B1522" s="63">
        <x:v>1620</x:v>
      </x:c>
      <x:c r="C1522" s="57">
        <x:f t="shared" si="92"/>
        <x:v>267400</x:v>
      </x:c>
      <x:c r="D1522" s="25">
        <x:f t="shared" si="93"/>
        <x:v>295800</x:v>
      </x:c>
      <x:c r="E1522" s="25">
        <x:f t="shared" si="94"/>
        <x:v>317100</x:v>
      </x:c>
      <x:c r="F1522" s="58">
        <x:f t="shared" si="95"/>
        <x:v>337900</x:v>
      </x:c>
    </x:row>
    <x:row r="1523">
      <x:c r="B1523" s="63">
        <x:v>1621</x:v>
      </x:c>
      <x:c r="C1523" s="57">
        <x:f t="shared" si="92"/>
        <x:v>267400</x:v>
      </x:c>
      <x:c r="D1523" s="25">
        <x:f t="shared" si="93"/>
        <x:v>295800</x:v>
      </x:c>
      <x:c r="E1523" s="25">
        <x:f t="shared" si="94"/>
        <x:v>317100</x:v>
      </x:c>
      <x:c r="F1523" s="58">
        <x:f t="shared" si="95"/>
        <x:v>337900</x:v>
      </x:c>
    </x:row>
    <x:row r="1524">
      <x:c r="B1524" s="63">
        <x:v>1622</x:v>
      </x:c>
      <x:c r="C1524" s="57">
        <x:f t="shared" si="92"/>
        <x:v>267400</x:v>
      </x:c>
      <x:c r="D1524" s="25">
        <x:f t="shared" si="93"/>
        <x:v>295800</x:v>
      </x:c>
      <x:c r="E1524" s="25">
        <x:f t="shared" si="94"/>
        <x:v>317100</x:v>
      </x:c>
      <x:c r="F1524" s="58">
        <x:f t="shared" si="95"/>
        <x:v>337900</x:v>
      </x:c>
    </x:row>
    <x:row r="1525">
      <x:c r="B1525" s="63">
        <x:v>1623</x:v>
      </x:c>
      <x:c r="C1525" s="57">
        <x:f t="shared" si="92"/>
        <x:v>267400</x:v>
      </x:c>
      <x:c r="D1525" s="25">
        <x:f t="shared" si="93"/>
        <x:v>295800</x:v>
      </x:c>
      <x:c r="E1525" s="25">
        <x:f t="shared" si="94"/>
        <x:v>317100</x:v>
      </x:c>
      <x:c r="F1525" s="58">
        <x:f t="shared" si="95"/>
        <x:v>337900</x:v>
      </x:c>
    </x:row>
    <x:row r="1526">
      <x:c r="B1526" s="63">
        <x:v>1624</x:v>
      </x:c>
      <x:c r="C1526" s="57">
        <x:f t="shared" si="92"/>
        <x:v>267400</x:v>
      </x:c>
      <x:c r="D1526" s="25">
        <x:f t="shared" si="93"/>
        <x:v>295800</x:v>
      </x:c>
      <x:c r="E1526" s="25">
        <x:f t="shared" si="94"/>
        <x:v>317100</x:v>
      </x:c>
      <x:c r="F1526" s="58">
        <x:f t="shared" si="95"/>
        <x:v>337900</x:v>
      </x:c>
    </x:row>
    <x:row r="1527">
      <x:c r="B1527" s="63">
        <x:v>1625</x:v>
      </x:c>
      <x:c r="C1527" s="57">
        <x:f t="shared" si="92"/>
        <x:v>267400</x:v>
      </x:c>
      <x:c r="D1527" s="25">
        <x:f t="shared" si="93"/>
        <x:v>295800</x:v>
      </x:c>
      <x:c r="E1527" s="25">
        <x:f t="shared" si="94"/>
        <x:v>317100</x:v>
      </x:c>
      <x:c r="F1527" s="58">
        <x:f t="shared" si="95"/>
        <x:v>337900</x:v>
      </x:c>
    </x:row>
    <x:row r="1528">
      <x:c r="B1528" s="63">
        <x:v>1626</x:v>
      </x:c>
      <x:c r="C1528" s="57">
        <x:f t="shared" si="92"/>
        <x:v>267400</x:v>
      </x:c>
      <x:c r="D1528" s="25">
        <x:f t="shared" si="93"/>
        <x:v>295800</x:v>
      </x:c>
      <x:c r="E1528" s="25">
        <x:f t="shared" si="94"/>
        <x:v>317100</x:v>
      </x:c>
      <x:c r="F1528" s="58">
        <x:f t="shared" si="95"/>
        <x:v>337900</x:v>
      </x:c>
    </x:row>
    <x:row r="1529">
      <x:c r="B1529" s="63">
        <x:v>1627</x:v>
      </x:c>
      <x:c r="C1529" s="57">
        <x:f t="shared" si="92"/>
        <x:v>267400</x:v>
      </x:c>
      <x:c r="D1529" s="25">
        <x:f t="shared" si="93"/>
        <x:v>295800</x:v>
      </x:c>
      <x:c r="E1529" s="25">
        <x:f t="shared" si="94"/>
        <x:v>317100</x:v>
      </x:c>
      <x:c r="F1529" s="58">
        <x:f t="shared" si="95"/>
        <x:v>337900</x:v>
      </x:c>
    </x:row>
    <x:row r="1530">
      <x:c r="B1530" s="63">
        <x:v>1628</x:v>
      </x:c>
      <x:c r="C1530" s="57">
        <x:f t="shared" si="92"/>
        <x:v>267400</x:v>
      </x:c>
      <x:c r="D1530" s="25">
        <x:f t="shared" si="93"/>
        <x:v>295800</x:v>
      </x:c>
      <x:c r="E1530" s="25">
        <x:f t="shared" si="94"/>
        <x:v>317100</x:v>
      </x:c>
      <x:c r="F1530" s="58">
        <x:f t="shared" si="95"/>
        <x:v>337900</x:v>
      </x:c>
    </x:row>
    <x:row r="1531">
      <x:c r="B1531" s="63">
        <x:v>1629</x:v>
      </x:c>
      <x:c r="C1531" s="57">
        <x:f t="shared" si="92"/>
        <x:v>267400</x:v>
      </x:c>
      <x:c r="D1531" s="25">
        <x:f t="shared" si="93"/>
        <x:v>295800</x:v>
      </x:c>
      <x:c r="E1531" s="25">
        <x:f t="shared" si="94"/>
        <x:v>317100</x:v>
      </x:c>
      <x:c r="F1531" s="58">
        <x:f t="shared" si="95"/>
        <x:v>337900</x:v>
      </x:c>
    </x:row>
    <x:row r="1532">
      <x:c r="B1532" s="63">
        <x:v>1630</x:v>
      </x:c>
      <x:c r="C1532" s="57">
        <x:f t="shared" si="92"/>
        <x:v>267400</x:v>
      </x:c>
      <x:c r="D1532" s="25">
        <x:f t="shared" si="93"/>
        <x:v>295800</x:v>
      </x:c>
      <x:c r="E1532" s="25">
        <x:f t="shared" si="94"/>
        <x:v>317100</x:v>
      </x:c>
      <x:c r="F1532" s="58">
        <x:f t="shared" si="95"/>
        <x:v>337900</x:v>
      </x:c>
    </x:row>
    <x:row r="1533">
      <x:c r="B1533" s="63">
        <x:v>1631</x:v>
      </x:c>
      <x:c r="C1533" s="57">
        <x:f t="shared" si="92"/>
        <x:v>267400</x:v>
      </x:c>
      <x:c r="D1533" s="25">
        <x:f t="shared" si="93"/>
        <x:v>295800</x:v>
      </x:c>
      <x:c r="E1533" s="25">
        <x:f t="shared" si="94"/>
        <x:v>317100</x:v>
      </x:c>
      <x:c r="F1533" s="58">
        <x:f t="shared" si="95"/>
        <x:v>337900</x:v>
      </x:c>
    </x:row>
    <x:row r="1534">
      <x:c r="B1534" s="63">
        <x:v>1632</x:v>
      </x:c>
      <x:c r="C1534" s="57">
        <x:f t="shared" si="92"/>
        <x:v>267400</x:v>
      </x:c>
      <x:c r="D1534" s="25">
        <x:f t="shared" si="93"/>
        <x:v>295800</x:v>
      </x:c>
      <x:c r="E1534" s="25">
        <x:f t="shared" si="94"/>
        <x:v>317100</x:v>
      </x:c>
      <x:c r="F1534" s="58">
        <x:f t="shared" si="95"/>
        <x:v>337900</x:v>
      </x:c>
    </x:row>
    <x:row r="1535">
      <x:c r="B1535" s="63">
        <x:v>1633</x:v>
      </x:c>
      <x:c r="C1535" s="57">
        <x:f t="shared" si="92"/>
        <x:v>267400</x:v>
      </x:c>
      <x:c r="D1535" s="25">
        <x:f t="shared" si="93"/>
        <x:v>295800</x:v>
      </x:c>
      <x:c r="E1535" s="25">
        <x:f t="shared" si="94"/>
        <x:v>317100</x:v>
      </x:c>
      <x:c r="F1535" s="58">
        <x:f t="shared" si="95"/>
        <x:v>337900</x:v>
      </x:c>
    </x:row>
    <x:row r="1536">
      <x:c r="B1536" s="63">
        <x:v>1634</x:v>
      </x:c>
      <x:c r="C1536" s="57">
        <x:f t="shared" si="92"/>
        <x:v>267400</x:v>
      </x:c>
      <x:c r="D1536" s="25">
        <x:f t="shared" si="93"/>
        <x:v>295800</x:v>
      </x:c>
      <x:c r="E1536" s="25">
        <x:f t="shared" si="94"/>
        <x:v>317100</x:v>
      </x:c>
      <x:c r="F1536" s="58">
        <x:f t="shared" si="95"/>
        <x:v>337900</x:v>
      </x:c>
    </x:row>
    <x:row r="1537">
      <x:c r="B1537" s="63">
        <x:v>1635</x:v>
      </x:c>
      <x:c r="C1537" s="57">
        <x:f t="shared" si="92"/>
        <x:v>267400</x:v>
      </x:c>
      <x:c r="D1537" s="25">
        <x:f t="shared" si="93"/>
        <x:v>295800</x:v>
      </x:c>
      <x:c r="E1537" s="25">
        <x:f t="shared" si="94"/>
        <x:v>317100</x:v>
      </x:c>
      <x:c r="F1537" s="58">
        <x:f t="shared" si="95"/>
        <x:v>337900</x:v>
      </x:c>
    </x:row>
    <x:row r="1538">
      <x:c r="B1538" s="63">
        <x:v>1636</x:v>
      </x:c>
      <x:c r="C1538" s="57">
        <x:f t="shared" si="92"/>
        <x:v>267400</x:v>
      </x:c>
      <x:c r="D1538" s="25">
        <x:f t="shared" si="93"/>
        <x:v>295800</x:v>
      </x:c>
      <x:c r="E1538" s="25">
        <x:f t="shared" si="94"/>
        <x:v>317100</x:v>
      </x:c>
      <x:c r="F1538" s="58">
        <x:f t="shared" si="95"/>
        <x:v>337900</x:v>
      </x:c>
    </x:row>
    <x:row r="1539">
      <x:c r="B1539" s="63">
        <x:v>1637</x:v>
      </x:c>
      <x:c r="C1539" s="57">
        <x:f t="shared" si="92"/>
        <x:v>267400</x:v>
      </x:c>
      <x:c r="D1539" s="25">
        <x:f t="shared" si="93"/>
        <x:v>295800</x:v>
      </x:c>
      <x:c r="E1539" s="25">
        <x:f t="shared" si="94"/>
        <x:v>317100</x:v>
      </x:c>
      <x:c r="F1539" s="58">
        <x:f t="shared" si="95"/>
        <x:v>337900</x:v>
      </x:c>
    </x:row>
    <x:row r="1540">
      <x:c r="B1540" s="63">
        <x:v>1638</x:v>
      </x:c>
      <x:c r="C1540" s="57">
        <x:f t="shared" si="92"/>
        <x:v>267400</x:v>
      </x:c>
      <x:c r="D1540" s="25">
        <x:f t="shared" si="93"/>
        <x:v>295800</x:v>
      </x:c>
      <x:c r="E1540" s="25">
        <x:f t="shared" si="94"/>
        <x:v>317100</x:v>
      </x:c>
      <x:c r="F1540" s="58">
        <x:f t="shared" si="95"/>
        <x:v>337900</x:v>
      </x:c>
    </x:row>
    <x:row r="1541">
      <x:c r="B1541" s="63">
        <x:v>1639</x:v>
      </x:c>
      <x:c r="C1541" s="57">
        <x:f t="shared" si="92"/>
        <x:v>267400</x:v>
      </x:c>
      <x:c r="D1541" s="25">
        <x:f t="shared" si="93"/>
        <x:v>295800</x:v>
      </x:c>
      <x:c r="E1541" s="25">
        <x:f t="shared" si="94"/>
        <x:v>317100</x:v>
      </x:c>
      <x:c r="F1541" s="58">
        <x:f t="shared" si="95"/>
        <x:v>337900</x:v>
      </x:c>
    </x:row>
    <x:row r="1542">
      <x:c r="B1542" s="63">
        <x:v>1640</x:v>
      </x:c>
      <x:c r="C1542" s="57">
        <x:f t="shared" si="92"/>
        <x:v>267400</x:v>
      </x:c>
      <x:c r="D1542" s="25">
        <x:f t="shared" si="93"/>
        <x:v>295800</x:v>
      </x:c>
      <x:c r="E1542" s="25">
        <x:f t="shared" si="94"/>
        <x:v>317100</x:v>
      </x:c>
      <x:c r="F1542" s="58">
        <x:f t="shared" si="95"/>
        <x:v>337900</x:v>
      </x:c>
    </x:row>
    <x:row r="1543">
      <x:c r="B1543" s="63">
        <x:v>1641</x:v>
      </x:c>
      <x:c r="C1543" s="57">
        <x:f t="shared" si="92"/>
        <x:v>267400</x:v>
      </x:c>
      <x:c r="D1543" s="25">
        <x:f t="shared" si="93"/>
        <x:v>295800</x:v>
      </x:c>
      <x:c r="E1543" s="25">
        <x:f t="shared" si="94"/>
        <x:v>317100</x:v>
      </x:c>
      <x:c r="F1543" s="58">
        <x:f t="shared" si="95"/>
        <x:v>337900</x:v>
      </x:c>
    </x:row>
    <x:row r="1544">
      <x:c r="B1544" s="63">
        <x:v>1642</x:v>
      </x:c>
      <x:c r="C1544" s="57">
        <x:f t="shared" si="92"/>
        <x:v>267400</x:v>
      </x:c>
      <x:c r="D1544" s="25">
        <x:f t="shared" si="93"/>
        <x:v>295800</x:v>
      </x:c>
      <x:c r="E1544" s="25">
        <x:f t="shared" si="94"/>
        <x:v>317100</x:v>
      </x:c>
      <x:c r="F1544" s="58">
        <x:f t="shared" si="95"/>
        <x:v>337900</x:v>
      </x:c>
    </x:row>
    <x:row r="1545">
      <x:c r="B1545" s="63">
        <x:v>1643</x:v>
      </x:c>
      <x:c r="C1545" s="57">
        <x:f t="shared" si="92"/>
        <x:v>267400</x:v>
      </x:c>
      <x:c r="D1545" s="25">
        <x:f t="shared" si="93"/>
        <x:v>295800</x:v>
      </x:c>
      <x:c r="E1545" s="25">
        <x:f t="shared" si="94"/>
        <x:v>317100</x:v>
      </x:c>
      <x:c r="F1545" s="58">
        <x:f t="shared" si="95"/>
        <x:v>337900</x:v>
      </x:c>
    </x:row>
    <x:row r="1546">
      <x:c r="B1546" s="63">
        <x:v>1644</x:v>
      </x:c>
      <x:c r="C1546" s="57">
        <x:f t="shared" si="92"/>
        <x:v>267400</x:v>
      </x:c>
      <x:c r="D1546" s="25">
        <x:f t="shared" si="93"/>
        <x:v>295800</x:v>
      </x:c>
      <x:c r="E1546" s="25">
        <x:f t="shared" si="94"/>
        <x:v>317100</x:v>
      </x:c>
      <x:c r="F1546" s="58">
        <x:f t="shared" si="95"/>
        <x:v>337900</x:v>
      </x:c>
    </x:row>
    <x:row r="1547">
      <x:c r="B1547" s="63">
        <x:v>1645</x:v>
      </x:c>
      <x:c r="C1547" s="57">
        <x:f t="shared" si="92"/>
        <x:v>267400</x:v>
      </x:c>
      <x:c r="D1547" s="25">
        <x:f t="shared" si="93"/>
        <x:v>295800</x:v>
      </x:c>
      <x:c r="E1547" s="25">
        <x:f t="shared" si="94"/>
        <x:v>317100</x:v>
      </x:c>
      <x:c r="F1547" s="58">
        <x:f t="shared" si="95"/>
        <x:v>337900</x:v>
      </x:c>
    </x:row>
    <x:row r="1548">
      <x:c r="B1548" s="63">
        <x:v>1646</x:v>
      </x:c>
      <x:c r="C1548" s="57">
        <x:f t="shared" si="92"/>
        <x:v>267400</x:v>
      </x:c>
      <x:c r="D1548" s="25">
        <x:f t="shared" si="93"/>
        <x:v>295800</x:v>
      </x:c>
      <x:c r="E1548" s="25">
        <x:f t="shared" si="94"/>
        <x:v>317100</x:v>
      </x:c>
      <x:c r="F1548" s="58">
        <x:f t="shared" si="95"/>
        <x:v>337900</x:v>
      </x:c>
    </x:row>
    <x:row r="1549">
      <x:c r="B1549" s="63">
        <x:v>1647</x:v>
      </x:c>
      <x:c r="C1549" s="57">
        <x:f t="shared" si="92"/>
        <x:v>267400</x:v>
      </x:c>
      <x:c r="D1549" s="25">
        <x:f t="shared" si="93"/>
        <x:v>295800</x:v>
      </x:c>
      <x:c r="E1549" s="25">
        <x:f t="shared" si="94"/>
        <x:v>317100</x:v>
      </x:c>
      <x:c r="F1549" s="58">
        <x:f t="shared" si="95"/>
        <x:v>337900</x:v>
      </x:c>
    </x:row>
    <x:row r="1550">
      <x:c r="B1550" s="63">
        <x:v>1648</x:v>
      </x:c>
      <x:c r="C1550" s="57">
        <x:f t="shared" si="92"/>
        <x:v>267400</x:v>
      </x:c>
      <x:c r="D1550" s="25">
        <x:f t="shared" si="93"/>
        <x:v>295800</x:v>
      </x:c>
      <x:c r="E1550" s="25">
        <x:f t="shared" si="94"/>
        <x:v>317100</x:v>
      </x:c>
      <x:c r="F1550" s="58">
        <x:f t="shared" si="95"/>
        <x:v>337900</x:v>
      </x:c>
    </x:row>
    <x:row r="1551">
      <x:c r="B1551" s="63">
        <x:v>1649</x:v>
      </x:c>
      <x:c r="C1551" s="57">
        <x:f t="shared" si="92"/>
        <x:v>267400</x:v>
      </x:c>
      <x:c r="D1551" s="25">
        <x:f t="shared" si="93"/>
        <x:v>295800</x:v>
      </x:c>
      <x:c r="E1551" s="25">
        <x:f t="shared" si="94"/>
        <x:v>317100</x:v>
      </x:c>
      <x:c r="F1551" s="58">
        <x:f t="shared" si="95"/>
        <x:v>337900</x:v>
      </x:c>
    </x:row>
    <x:row r="1552">
      <x:c r="B1552" s="63">
        <x:v>1650</x:v>
      </x:c>
      <x:c r="C1552" s="57">
        <x:f t="shared" si="92"/>
        <x:v>267400</x:v>
      </x:c>
      <x:c r="D1552" s="25">
        <x:f t="shared" si="93"/>
        <x:v>295800</x:v>
      </x:c>
      <x:c r="E1552" s="25">
        <x:f t="shared" si="94"/>
        <x:v>317100</x:v>
      </x:c>
      <x:c r="F1552" s="58">
        <x:f t="shared" si="95"/>
        <x:v>337900</x:v>
      </x:c>
    </x:row>
    <x:row r="1553">
      <x:c r="B1553" s="63">
        <x:v>1651</x:v>
      </x:c>
      <x:c r="C1553" s="57" t="n">
        <x:f>$C$402+$J$26</x:f>
        <x:v>274700</x:v>
      </x:c>
      <x:c r="D1553" s="25" t="n">
        <x:f>$D$402+$K$26</x:f>
        <x:v>303900</x:v>
      </x:c>
      <x:c r="E1553" s="25" t="n">
        <x:f>$E$402+$L$26</x:f>
        <x:v>325800</x:v>
      </x:c>
      <x:c r="F1553" s="58" t="n">
        <x:f>$F$402+$M$26</x:f>
        <x:v>347200</x:v>
      </x:c>
    </x:row>
    <x:row r="1554">
      <x:c r="B1554" s="63">
        <x:v>1652</x:v>
      </x:c>
      <x:c r="C1554" s="57" t="n">
        <x:f t="shared" ref="C1554:C1602" si="96">$C$402+$J$26</x:f>
        <x:v>274700</x:v>
      </x:c>
      <x:c r="D1554" s="25" t="n">
        <x:f t="shared" ref="D1554:D1602" si="97">$D$402+$K$26</x:f>
        <x:v>303900</x:v>
      </x:c>
      <x:c r="E1554" s="25" t="n">
        <x:f t="shared" ref="E1554:E1602" si="98">$E$402+$L$26</x:f>
        <x:v>325800</x:v>
      </x:c>
      <x:c r="F1554" s="58" t="n">
        <x:f t="shared" ref="F1554:F1602" si="99">$F$402+$M$26</x:f>
        <x:v>347200</x:v>
      </x:c>
    </x:row>
    <x:row r="1555">
      <x:c r="B1555" s="63">
        <x:v>1653</x:v>
      </x:c>
      <x:c r="C1555" s="57">
        <x:f t="shared" si="96"/>
        <x:v>274700</x:v>
      </x:c>
      <x:c r="D1555" s="25">
        <x:f t="shared" si="97"/>
        <x:v>303900</x:v>
      </x:c>
      <x:c r="E1555" s="25">
        <x:f t="shared" si="98"/>
        <x:v>325800</x:v>
      </x:c>
      <x:c r="F1555" s="58">
        <x:f t="shared" si="99"/>
        <x:v>347200</x:v>
      </x:c>
    </x:row>
    <x:row r="1556">
      <x:c r="B1556" s="63">
        <x:v>1654</x:v>
      </x:c>
      <x:c r="C1556" s="57">
        <x:f t="shared" si="96"/>
        <x:v>274700</x:v>
      </x:c>
      <x:c r="D1556" s="25">
        <x:f t="shared" si="97"/>
        <x:v>303900</x:v>
      </x:c>
      <x:c r="E1556" s="25">
        <x:f t="shared" si="98"/>
        <x:v>325800</x:v>
      </x:c>
      <x:c r="F1556" s="58">
        <x:f t="shared" si="99"/>
        <x:v>347200</x:v>
      </x:c>
    </x:row>
    <x:row r="1557">
      <x:c r="B1557" s="63">
        <x:v>1655</x:v>
      </x:c>
      <x:c r="C1557" s="57">
        <x:f t="shared" si="96"/>
        <x:v>274700</x:v>
      </x:c>
      <x:c r="D1557" s="25">
        <x:f t="shared" si="97"/>
        <x:v>303900</x:v>
      </x:c>
      <x:c r="E1557" s="25">
        <x:f t="shared" si="98"/>
        <x:v>325800</x:v>
      </x:c>
      <x:c r="F1557" s="58">
        <x:f t="shared" si="99"/>
        <x:v>347200</x:v>
      </x:c>
    </x:row>
    <x:row r="1558">
      <x:c r="B1558" s="63">
        <x:v>1656</x:v>
      </x:c>
      <x:c r="C1558" s="57">
        <x:f t="shared" si="96"/>
        <x:v>274700</x:v>
      </x:c>
      <x:c r="D1558" s="25">
        <x:f t="shared" si="97"/>
        <x:v>303900</x:v>
      </x:c>
      <x:c r="E1558" s="25">
        <x:f t="shared" si="98"/>
        <x:v>325800</x:v>
      </x:c>
      <x:c r="F1558" s="58">
        <x:f t="shared" si="99"/>
        <x:v>347200</x:v>
      </x:c>
    </x:row>
    <x:row r="1559">
      <x:c r="B1559" s="63">
        <x:v>1657</x:v>
      </x:c>
      <x:c r="C1559" s="57">
        <x:f t="shared" si="96"/>
        <x:v>274700</x:v>
      </x:c>
      <x:c r="D1559" s="25">
        <x:f t="shared" si="97"/>
        <x:v>303900</x:v>
      </x:c>
      <x:c r="E1559" s="25">
        <x:f t="shared" si="98"/>
        <x:v>325800</x:v>
      </x:c>
      <x:c r="F1559" s="58">
        <x:f t="shared" si="99"/>
        <x:v>347200</x:v>
      </x:c>
    </x:row>
    <x:row r="1560">
      <x:c r="B1560" s="63">
        <x:v>1658</x:v>
      </x:c>
      <x:c r="C1560" s="57">
        <x:f t="shared" si="96"/>
        <x:v>274700</x:v>
      </x:c>
      <x:c r="D1560" s="25">
        <x:f t="shared" si="97"/>
        <x:v>303900</x:v>
      </x:c>
      <x:c r="E1560" s="25">
        <x:f t="shared" si="98"/>
        <x:v>325800</x:v>
      </x:c>
      <x:c r="F1560" s="58">
        <x:f t="shared" si="99"/>
        <x:v>347200</x:v>
      </x:c>
    </x:row>
    <x:row r="1561">
      <x:c r="B1561" s="63">
        <x:v>1659</x:v>
      </x:c>
      <x:c r="C1561" s="57">
        <x:f t="shared" si="96"/>
        <x:v>274700</x:v>
      </x:c>
      <x:c r="D1561" s="25">
        <x:f t="shared" si="97"/>
        <x:v>303900</x:v>
      </x:c>
      <x:c r="E1561" s="25">
        <x:f t="shared" si="98"/>
        <x:v>325800</x:v>
      </x:c>
      <x:c r="F1561" s="58">
        <x:f t="shared" si="99"/>
        <x:v>347200</x:v>
      </x:c>
    </x:row>
    <x:row r="1562">
      <x:c r="B1562" s="63">
        <x:v>1660</x:v>
      </x:c>
      <x:c r="C1562" s="57">
        <x:f t="shared" si="96"/>
        <x:v>274700</x:v>
      </x:c>
      <x:c r="D1562" s="25">
        <x:f t="shared" si="97"/>
        <x:v>303900</x:v>
      </x:c>
      <x:c r="E1562" s="25">
        <x:f t="shared" si="98"/>
        <x:v>325800</x:v>
      </x:c>
      <x:c r="F1562" s="58">
        <x:f t="shared" si="99"/>
        <x:v>347200</x:v>
      </x:c>
    </x:row>
    <x:row r="1563">
      <x:c r="B1563" s="63">
        <x:v>1661</x:v>
      </x:c>
      <x:c r="C1563" s="57">
        <x:f t="shared" si="96"/>
        <x:v>274700</x:v>
      </x:c>
      <x:c r="D1563" s="25">
        <x:f t="shared" si="97"/>
        <x:v>303900</x:v>
      </x:c>
      <x:c r="E1563" s="25">
        <x:f t="shared" si="98"/>
        <x:v>325800</x:v>
      </x:c>
      <x:c r="F1563" s="58">
        <x:f t="shared" si="99"/>
        <x:v>347200</x:v>
      </x:c>
    </x:row>
    <x:row r="1564">
      <x:c r="B1564" s="63">
        <x:v>1662</x:v>
      </x:c>
      <x:c r="C1564" s="57">
        <x:f t="shared" si="96"/>
        <x:v>274700</x:v>
      </x:c>
      <x:c r="D1564" s="25">
        <x:f t="shared" si="97"/>
        <x:v>303900</x:v>
      </x:c>
      <x:c r="E1564" s="25">
        <x:f t="shared" si="98"/>
        <x:v>325800</x:v>
      </x:c>
      <x:c r="F1564" s="58">
        <x:f t="shared" si="99"/>
        <x:v>347200</x:v>
      </x:c>
    </x:row>
    <x:row r="1565">
      <x:c r="B1565" s="63">
        <x:v>1663</x:v>
      </x:c>
      <x:c r="C1565" s="57">
        <x:f t="shared" si="96"/>
        <x:v>274700</x:v>
      </x:c>
      <x:c r="D1565" s="25">
        <x:f t="shared" si="97"/>
        <x:v>303900</x:v>
      </x:c>
      <x:c r="E1565" s="25">
        <x:f t="shared" si="98"/>
        <x:v>325800</x:v>
      </x:c>
      <x:c r="F1565" s="58">
        <x:f t="shared" si="99"/>
        <x:v>347200</x:v>
      </x:c>
    </x:row>
    <x:row r="1566">
      <x:c r="B1566" s="63">
        <x:v>1664</x:v>
      </x:c>
      <x:c r="C1566" s="57">
        <x:f t="shared" si="96"/>
        <x:v>274700</x:v>
      </x:c>
      <x:c r="D1566" s="25">
        <x:f t="shared" si="97"/>
        <x:v>303900</x:v>
      </x:c>
      <x:c r="E1566" s="25">
        <x:f t="shared" si="98"/>
        <x:v>325800</x:v>
      </x:c>
      <x:c r="F1566" s="58">
        <x:f t="shared" si="99"/>
        <x:v>347200</x:v>
      </x:c>
    </x:row>
    <x:row r="1567">
      <x:c r="B1567" s="63">
        <x:v>1665</x:v>
      </x:c>
      <x:c r="C1567" s="57">
        <x:f t="shared" si="96"/>
        <x:v>274700</x:v>
      </x:c>
      <x:c r="D1567" s="25">
        <x:f t="shared" si="97"/>
        <x:v>303900</x:v>
      </x:c>
      <x:c r="E1567" s="25">
        <x:f t="shared" si="98"/>
        <x:v>325800</x:v>
      </x:c>
      <x:c r="F1567" s="58">
        <x:f t="shared" si="99"/>
        <x:v>347200</x:v>
      </x:c>
    </x:row>
    <x:row r="1568">
      <x:c r="B1568" s="63">
        <x:v>1666</x:v>
      </x:c>
      <x:c r="C1568" s="57">
        <x:f t="shared" si="96"/>
        <x:v>274700</x:v>
      </x:c>
      <x:c r="D1568" s="25">
        <x:f t="shared" si="97"/>
        <x:v>303900</x:v>
      </x:c>
      <x:c r="E1568" s="25">
        <x:f t="shared" si="98"/>
        <x:v>325800</x:v>
      </x:c>
      <x:c r="F1568" s="58">
        <x:f t="shared" si="99"/>
        <x:v>347200</x:v>
      </x:c>
    </x:row>
    <x:row r="1569">
      <x:c r="B1569" s="63">
        <x:v>1667</x:v>
      </x:c>
      <x:c r="C1569" s="57">
        <x:f t="shared" si="96"/>
        <x:v>274700</x:v>
      </x:c>
      <x:c r="D1569" s="25">
        <x:f t="shared" si="97"/>
        <x:v>303900</x:v>
      </x:c>
      <x:c r="E1569" s="25">
        <x:f t="shared" si="98"/>
        <x:v>325800</x:v>
      </x:c>
      <x:c r="F1569" s="58">
        <x:f t="shared" si="99"/>
        <x:v>347200</x:v>
      </x:c>
    </x:row>
    <x:row r="1570">
      <x:c r="B1570" s="63">
        <x:v>1668</x:v>
      </x:c>
      <x:c r="C1570" s="57">
        <x:f t="shared" si="96"/>
        <x:v>274700</x:v>
      </x:c>
      <x:c r="D1570" s="25">
        <x:f t="shared" si="97"/>
        <x:v>303900</x:v>
      </x:c>
      <x:c r="E1570" s="25">
        <x:f t="shared" si="98"/>
        <x:v>325800</x:v>
      </x:c>
      <x:c r="F1570" s="58">
        <x:f t="shared" si="99"/>
        <x:v>347200</x:v>
      </x:c>
    </x:row>
    <x:row r="1571">
      <x:c r="B1571" s="63">
        <x:v>1669</x:v>
      </x:c>
      <x:c r="C1571" s="57">
        <x:f t="shared" si="96"/>
        <x:v>274700</x:v>
      </x:c>
      <x:c r="D1571" s="25">
        <x:f t="shared" si="97"/>
        <x:v>303900</x:v>
      </x:c>
      <x:c r="E1571" s="25">
        <x:f t="shared" si="98"/>
        <x:v>325800</x:v>
      </x:c>
      <x:c r="F1571" s="58">
        <x:f t="shared" si="99"/>
        <x:v>347200</x:v>
      </x:c>
    </x:row>
    <x:row r="1572">
      <x:c r="B1572" s="63">
        <x:v>1670</x:v>
      </x:c>
      <x:c r="C1572" s="57">
        <x:f t="shared" si="96"/>
        <x:v>274700</x:v>
      </x:c>
      <x:c r="D1572" s="25">
        <x:f t="shared" si="97"/>
        <x:v>303900</x:v>
      </x:c>
      <x:c r="E1572" s="25">
        <x:f t="shared" si="98"/>
        <x:v>325800</x:v>
      </x:c>
      <x:c r="F1572" s="58">
        <x:f t="shared" si="99"/>
        <x:v>347200</x:v>
      </x:c>
    </x:row>
    <x:row r="1573">
      <x:c r="B1573" s="63">
        <x:v>1671</x:v>
      </x:c>
      <x:c r="C1573" s="57">
        <x:f t="shared" si="96"/>
        <x:v>274700</x:v>
      </x:c>
      <x:c r="D1573" s="25">
        <x:f t="shared" si="97"/>
        <x:v>303900</x:v>
      </x:c>
      <x:c r="E1573" s="25">
        <x:f t="shared" si="98"/>
        <x:v>325800</x:v>
      </x:c>
      <x:c r="F1573" s="58">
        <x:f t="shared" si="99"/>
        <x:v>347200</x:v>
      </x:c>
    </x:row>
    <x:row r="1574">
      <x:c r="B1574" s="63">
        <x:v>1672</x:v>
      </x:c>
      <x:c r="C1574" s="57">
        <x:f t="shared" si="96"/>
        <x:v>274700</x:v>
      </x:c>
      <x:c r="D1574" s="25">
        <x:f t="shared" si="97"/>
        <x:v>303900</x:v>
      </x:c>
      <x:c r="E1574" s="25">
        <x:f t="shared" si="98"/>
        <x:v>325800</x:v>
      </x:c>
      <x:c r="F1574" s="58">
        <x:f t="shared" si="99"/>
        <x:v>347200</x:v>
      </x:c>
    </x:row>
    <x:row r="1575">
      <x:c r="B1575" s="63">
        <x:v>1673</x:v>
      </x:c>
      <x:c r="C1575" s="57">
        <x:f t="shared" si="96"/>
        <x:v>274700</x:v>
      </x:c>
      <x:c r="D1575" s="25">
        <x:f t="shared" si="97"/>
        <x:v>303900</x:v>
      </x:c>
      <x:c r="E1575" s="25">
        <x:f t="shared" si="98"/>
        <x:v>325800</x:v>
      </x:c>
      <x:c r="F1575" s="58">
        <x:f t="shared" si="99"/>
        <x:v>347200</x:v>
      </x:c>
    </x:row>
    <x:row r="1576">
      <x:c r="B1576" s="63">
        <x:v>1674</x:v>
      </x:c>
      <x:c r="C1576" s="57">
        <x:f t="shared" si="96"/>
        <x:v>274700</x:v>
      </x:c>
      <x:c r="D1576" s="25">
        <x:f t="shared" si="97"/>
        <x:v>303900</x:v>
      </x:c>
      <x:c r="E1576" s="25">
        <x:f t="shared" si="98"/>
        <x:v>325800</x:v>
      </x:c>
      <x:c r="F1576" s="58">
        <x:f t="shared" si="99"/>
        <x:v>347200</x:v>
      </x:c>
    </x:row>
    <x:row r="1577">
      <x:c r="B1577" s="63">
        <x:v>1675</x:v>
      </x:c>
      <x:c r="C1577" s="57">
        <x:f t="shared" si="96"/>
        <x:v>274700</x:v>
      </x:c>
      <x:c r="D1577" s="25">
        <x:f t="shared" si="97"/>
        <x:v>303900</x:v>
      </x:c>
      <x:c r="E1577" s="25">
        <x:f t="shared" si="98"/>
        <x:v>325800</x:v>
      </x:c>
      <x:c r="F1577" s="58">
        <x:f t="shared" si="99"/>
        <x:v>347200</x:v>
      </x:c>
    </x:row>
    <x:row r="1578">
      <x:c r="B1578" s="63">
        <x:v>1676</x:v>
      </x:c>
      <x:c r="C1578" s="57">
        <x:f t="shared" si="96"/>
        <x:v>274700</x:v>
      </x:c>
      <x:c r="D1578" s="25">
        <x:f t="shared" si="97"/>
        <x:v>303900</x:v>
      </x:c>
      <x:c r="E1578" s="25">
        <x:f t="shared" si="98"/>
        <x:v>325800</x:v>
      </x:c>
      <x:c r="F1578" s="58">
        <x:f t="shared" si="99"/>
        <x:v>347200</x:v>
      </x:c>
    </x:row>
    <x:row r="1579">
      <x:c r="B1579" s="63">
        <x:v>1677</x:v>
      </x:c>
      <x:c r="C1579" s="57">
        <x:f t="shared" si="96"/>
        <x:v>274700</x:v>
      </x:c>
      <x:c r="D1579" s="25">
        <x:f t="shared" si="97"/>
        <x:v>303900</x:v>
      </x:c>
      <x:c r="E1579" s="25">
        <x:f t="shared" si="98"/>
        <x:v>325800</x:v>
      </x:c>
      <x:c r="F1579" s="58">
        <x:f t="shared" si="99"/>
        <x:v>347200</x:v>
      </x:c>
    </x:row>
    <x:row r="1580">
      <x:c r="B1580" s="63">
        <x:v>1678</x:v>
      </x:c>
      <x:c r="C1580" s="57">
        <x:f t="shared" si="96"/>
        <x:v>274700</x:v>
      </x:c>
      <x:c r="D1580" s="25">
        <x:f t="shared" si="97"/>
        <x:v>303900</x:v>
      </x:c>
      <x:c r="E1580" s="25">
        <x:f t="shared" si="98"/>
        <x:v>325800</x:v>
      </x:c>
      <x:c r="F1580" s="58">
        <x:f t="shared" si="99"/>
        <x:v>347200</x:v>
      </x:c>
    </x:row>
    <x:row r="1581">
      <x:c r="B1581" s="63">
        <x:v>1679</x:v>
      </x:c>
      <x:c r="C1581" s="57">
        <x:f t="shared" si="96"/>
        <x:v>274700</x:v>
      </x:c>
      <x:c r="D1581" s="25">
        <x:f t="shared" si="97"/>
        <x:v>303900</x:v>
      </x:c>
      <x:c r="E1581" s="25">
        <x:f t="shared" si="98"/>
        <x:v>325800</x:v>
      </x:c>
      <x:c r="F1581" s="58">
        <x:f t="shared" si="99"/>
        <x:v>347200</x:v>
      </x:c>
    </x:row>
    <x:row r="1582">
      <x:c r="B1582" s="63">
        <x:v>1680</x:v>
      </x:c>
      <x:c r="C1582" s="57">
        <x:f t="shared" si="96"/>
        <x:v>274700</x:v>
      </x:c>
      <x:c r="D1582" s="25">
        <x:f t="shared" si="97"/>
        <x:v>303900</x:v>
      </x:c>
      <x:c r="E1582" s="25">
        <x:f t="shared" si="98"/>
        <x:v>325800</x:v>
      </x:c>
      <x:c r="F1582" s="58">
        <x:f t="shared" si="99"/>
        <x:v>347200</x:v>
      </x:c>
    </x:row>
    <x:row r="1583">
      <x:c r="B1583" s="63">
        <x:v>1681</x:v>
      </x:c>
      <x:c r="C1583" s="57">
        <x:f t="shared" si="96"/>
        <x:v>274700</x:v>
      </x:c>
      <x:c r="D1583" s="25">
        <x:f t="shared" si="97"/>
        <x:v>303900</x:v>
      </x:c>
      <x:c r="E1583" s="25">
        <x:f t="shared" si="98"/>
        <x:v>325800</x:v>
      </x:c>
      <x:c r="F1583" s="58">
        <x:f t="shared" si="99"/>
        <x:v>347200</x:v>
      </x:c>
    </x:row>
    <x:row r="1584">
      <x:c r="B1584" s="63">
        <x:v>1682</x:v>
      </x:c>
      <x:c r="C1584" s="57">
        <x:f t="shared" si="96"/>
        <x:v>274700</x:v>
      </x:c>
      <x:c r="D1584" s="25">
        <x:f t="shared" si="97"/>
        <x:v>303900</x:v>
      </x:c>
      <x:c r="E1584" s="25">
        <x:f t="shared" si="98"/>
        <x:v>325800</x:v>
      </x:c>
      <x:c r="F1584" s="58">
        <x:f t="shared" si="99"/>
        <x:v>347200</x:v>
      </x:c>
    </x:row>
    <x:row r="1585">
      <x:c r="B1585" s="63">
        <x:v>1683</x:v>
      </x:c>
      <x:c r="C1585" s="57">
        <x:f t="shared" si="96"/>
        <x:v>274700</x:v>
      </x:c>
      <x:c r="D1585" s="25">
        <x:f t="shared" si="97"/>
        <x:v>303900</x:v>
      </x:c>
      <x:c r="E1585" s="25">
        <x:f t="shared" si="98"/>
        <x:v>325800</x:v>
      </x:c>
      <x:c r="F1585" s="58">
        <x:f t="shared" si="99"/>
        <x:v>347200</x:v>
      </x:c>
    </x:row>
    <x:row r="1586">
      <x:c r="B1586" s="63">
        <x:v>1684</x:v>
      </x:c>
      <x:c r="C1586" s="57">
        <x:f t="shared" si="96"/>
        <x:v>274700</x:v>
      </x:c>
      <x:c r="D1586" s="25">
        <x:f t="shared" si="97"/>
        <x:v>303900</x:v>
      </x:c>
      <x:c r="E1586" s="25">
        <x:f t="shared" si="98"/>
        <x:v>325800</x:v>
      </x:c>
      <x:c r="F1586" s="58">
        <x:f t="shared" si="99"/>
        <x:v>347200</x:v>
      </x:c>
    </x:row>
    <x:row r="1587">
      <x:c r="B1587" s="63">
        <x:v>1685</x:v>
      </x:c>
      <x:c r="C1587" s="57">
        <x:f t="shared" si="96"/>
        <x:v>274700</x:v>
      </x:c>
      <x:c r="D1587" s="25">
        <x:f t="shared" si="97"/>
        <x:v>303900</x:v>
      </x:c>
      <x:c r="E1587" s="25">
        <x:f t="shared" si="98"/>
        <x:v>325800</x:v>
      </x:c>
      <x:c r="F1587" s="58">
        <x:f t="shared" si="99"/>
        <x:v>347200</x:v>
      </x:c>
    </x:row>
    <x:row r="1588">
      <x:c r="B1588" s="63">
        <x:v>1686</x:v>
      </x:c>
      <x:c r="C1588" s="57">
        <x:f t="shared" si="96"/>
        <x:v>274700</x:v>
      </x:c>
      <x:c r="D1588" s="25">
        <x:f t="shared" si="97"/>
        <x:v>303900</x:v>
      </x:c>
      <x:c r="E1588" s="25">
        <x:f t="shared" si="98"/>
        <x:v>325800</x:v>
      </x:c>
      <x:c r="F1588" s="58">
        <x:f t="shared" si="99"/>
        <x:v>347200</x:v>
      </x:c>
    </x:row>
    <x:row r="1589">
      <x:c r="B1589" s="63">
        <x:v>1687</x:v>
      </x:c>
      <x:c r="C1589" s="57">
        <x:f t="shared" si="96"/>
        <x:v>274700</x:v>
      </x:c>
      <x:c r="D1589" s="25">
        <x:f t="shared" si="97"/>
        <x:v>303900</x:v>
      </x:c>
      <x:c r="E1589" s="25">
        <x:f t="shared" si="98"/>
        <x:v>325800</x:v>
      </x:c>
      <x:c r="F1589" s="58">
        <x:f t="shared" si="99"/>
        <x:v>347200</x:v>
      </x:c>
    </x:row>
    <x:row r="1590">
      <x:c r="B1590" s="63">
        <x:v>1688</x:v>
      </x:c>
      <x:c r="C1590" s="57">
        <x:f t="shared" si="96"/>
        <x:v>274700</x:v>
      </x:c>
      <x:c r="D1590" s="25">
        <x:f t="shared" si="97"/>
        <x:v>303900</x:v>
      </x:c>
      <x:c r="E1590" s="25">
        <x:f t="shared" si="98"/>
        <x:v>325800</x:v>
      </x:c>
      <x:c r="F1590" s="58">
        <x:f t="shared" si="99"/>
        <x:v>347200</x:v>
      </x:c>
    </x:row>
    <x:row r="1591">
      <x:c r="B1591" s="63">
        <x:v>1689</x:v>
      </x:c>
      <x:c r="C1591" s="57">
        <x:f t="shared" si="96"/>
        <x:v>274700</x:v>
      </x:c>
      <x:c r="D1591" s="25">
        <x:f t="shared" si="97"/>
        <x:v>303900</x:v>
      </x:c>
      <x:c r="E1591" s="25">
        <x:f t="shared" si="98"/>
        <x:v>325800</x:v>
      </x:c>
      <x:c r="F1591" s="58">
        <x:f t="shared" si="99"/>
        <x:v>347200</x:v>
      </x:c>
    </x:row>
    <x:row r="1592">
      <x:c r="B1592" s="63">
        <x:v>1690</x:v>
      </x:c>
      <x:c r="C1592" s="57">
        <x:f t="shared" si="96"/>
        <x:v>274700</x:v>
      </x:c>
      <x:c r="D1592" s="25">
        <x:f t="shared" si="97"/>
        <x:v>303900</x:v>
      </x:c>
      <x:c r="E1592" s="25">
        <x:f t="shared" si="98"/>
        <x:v>325800</x:v>
      </x:c>
      <x:c r="F1592" s="58">
        <x:f t="shared" si="99"/>
        <x:v>347200</x:v>
      </x:c>
    </x:row>
    <x:row r="1593">
      <x:c r="B1593" s="63">
        <x:v>1691</x:v>
      </x:c>
      <x:c r="C1593" s="57">
        <x:f t="shared" si="96"/>
        <x:v>274700</x:v>
      </x:c>
      <x:c r="D1593" s="25">
        <x:f t="shared" si="97"/>
        <x:v>303900</x:v>
      </x:c>
      <x:c r="E1593" s="25">
        <x:f t="shared" si="98"/>
        <x:v>325800</x:v>
      </x:c>
      <x:c r="F1593" s="58">
        <x:f t="shared" si="99"/>
        <x:v>347200</x:v>
      </x:c>
    </x:row>
    <x:row r="1594">
      <x:c r="B1594" s="63">
        <x:v>1692</x:v>
      </x:c>
      <x:c r="C1594" s="57">
        <x:f t="shared" si="96"/>
        <x:v>274700</x:v>
      </x:c>
      <x:c r="D1594" s="25">
        <x:f t="shared" si="97"/>
        <x:v>303900</x:v>
      </x:c>
      <x:c r="E1594" s="25">
        <x:f t="shared" si="98"/>
        <x:v>325800</x:v>
      </x:c>
      <x:c r="F1594" s="58">
        <x:f t="shared" si="99"/>
        <x:v>347200</x:v>
      </x:c>
    </x:row>
    <x:row r="1595">
      <x:c r="B1595" s="63">
        <x:v>1693</x:v>
      </x:c>
      <x:c r="C1595" s="57">
        <x:f t="shared" si="96"/>
        <x:v>274700</x:v>
      </x:c>
      <x:c r="D1595" s="25">
        <x:f t="shared" si="97"/>
        <x:v>303900</x:v>
      </x:c>
      <x:c r="E1595" s="25">
        <x:f t="shared" si="98"/>
        <x:v>325800</x:v>
      </x:c>
      <x:c r="F1595" s="58">
        <x:f t="shared" si="99"/>
        <x:v>347200</x:v>
      </x:c>
    </x:row>
    <x:row r="1596">
      <x:c r="B1596" s="63">
        <x:v>1694</x:v>
      </x:c>
      <x:c r="C1596" s="57">
        <x:f t="shared" si="96"/>
        <x:v>274700</x:v>
      </x:c>
      <x:c r="D1596" s="25">
        <x:f t="shared" si="97"/>
        <x:v>303900</x:v>
      </x:c>
      <x:c r="E1596" s="25">
        <x:f t="shared" si="98"/>
        <x:v>325800</x:v>
      </x:c>
      <x:c r="F1596" s="58">
        <x:f t="shared" si="99"/>
        <x:v>347200</x:v>
      </x:c>
    </x:row>
    <x:row r="1597">
      <x:c r="B1597" s="63">
        <x:v>1695</x:v>
      </x:c>
      <x:c r="C1597" s="57">
        <x:f t="shared" si="96"/>
        <x:v>274700</x:v>
      </x:c>
      <x:c r="D1597" s="25">
        <x:f t="shared" si="97"/>
        <x:v>303900</x:v>
      </x:c>
      <x:c r="E1597" s="25">
        <x:f t="shared" si="98"/>
        <x:v>325800</x:v>
      </x:c>
      <x:c r="F1597" s="58">
        <x:f t="shared" si="99"/>
        <x:v>347200</x:v>
      </x:c>
    </x:row>
    <x:row r="1598">
      <x:c r="B1598" s="63">
        <x:v>1696</x:v>
      </x:c>
      <x:c r="C1598" s="57">
        <x:f t="shared" si="96"/>
        <x:v>274700</x:v>
      </x:c>
      <x:c r="D1598" s="25">
        <x:f t="shared" si="97"/>
        <x:v>303900</x:v>
      </x:c>
      <x:c r="E1598" s="25">
        <x:f t="shared" si="98"/>
        <x:v>325800</x:v>
      </x:c>
      <x:c r="F1598" s="58">
        <x:f t="shared" si="99"/>
        <x:v>347200</x:v>
      </x:c>
    </x:row>
    <x:row r="1599">
      <x:c r="B1599" s="63">
        <x:v>1697</x:v>
      </x:c>
      <x:c r="C1599" s="57">
        <x:f t="shared" si="96"/>
        <x:v>274700</x:v>
      </x:c>
      <x:c r="D1599" s="25">
        <x:f t="shared" si="97"/>
        <x:v>303900</x:v>
      </x:c>
      <x:c r="E1599" s="25">
        <x:f t="shared" si="98"/>
        <x:v>325800</x:v>
      </x:c>
      <x:c r="F1599" s="58">
        <x:f t="shared" si="99"/>
        <x:v>347200</x:v>
      </x:c>
    </x:row>
    <x:row r="1600">
      <x:c r="B1600" s="63">
        <x:v>1698</x:v>
      </x:c>
      <x:c r="C1600" s="57">
        <x:f t="shared" si="96"/>
        <x:v>274700</x:v>
      </x:c>
      <x:c r="D1600" s="25">
        <x:f t="shared" si="97"/>
        <x:v>303900</x:v>
      </x:c>
      <x:c r="E1600" s="25">
        <x:f t="shared" si="98"/>
        <x:v>325800</x:v>
      </x:c>
      <x:c r="F1600" s="58">
        <x:f t="shared" si="99"/>
        <x:v>347200</x:v>
      </x:c>
    </x:row>
    <x:row r="1601">
      <x:c r="B1601" s="63">
        <x:v>1699</x:v>
      </x:c>
      <x:c r="C1601" s="57">
        <x:f t="shared" si="96"/>
        <x:v>274700</x:v>
      </x:c>
      <x:c r="D1601" s="25">
        <x:f t="shared" si="97"/>
        <x:v>303900</x:v>
      </x:c>
      <x:c r="E1601" s="25">
        <x:f t="shared" si="98"/>
        <x:v>325800</x:v>
      </x:c>
      <x:c r="F1601" s="58">
        <x:f t="shared" si="99"/>
        <x:v>347200</x:v>
      </x:c>
    </x:row>
    <x:row r="1602">
      <x:c r="B1602" s="63">
        <x:v>1700</x:v>
      </x:c>
      <x:c r="C1602" s="57">
        <x:f t="shared" si="96"/>
        <x:v>274700</x:v>
      </x:c>
      <x:c r="D1602" s="25">
        <x:f t="shared" si="97"/>
        <x:v>303900</x:v>
      </x:c>
      <x:c r="E1602" s="25">
        <x:f t="shared" si="98"/>
        <x:v>325800</x:v>
      </x:c>
      <x:c r="F1602" s="58">
        <x:f t="shared" si="99"/>
        <x:v>347200</x:v>
      </x:c>
    </x:row>
    <x:row r="1603">
      <x:c r="B1603" s="63">
        <x:v>1701</x:v>
      </x:c>
      <x:c r="C1603" s="57" t="n">
        <x:f>$C$402+$J$27</x:f>
        <x:v>282000</x:v>
      </x:c>
      <x:c r="D1603" s="25" t="n">
        <x:f>$D$402+$K$27</x:f>
        <x:v>312000</x:v>
      </x:c>
      <x:c r="E1603" s="25" t="n">
        <x:f>$E$402+$L$27</x:f>
        <x:v>334500</x:v>
      </x:c>
      <x:c r="F1603" s="58" t="n">
        <x:f>$F$402+$M$27</x:f>
        <x:v>356500</x:v>
      </x:c>
    </x:row>
    <x:row r="1604">
      <x:c r="B1604" s="63">
        <x:v>1702</x:v>
      </x:c>
      <x:c r="C1604" s="57" t="n">
        <x:f t="shared" ref="C1604:C1652" si="100">$C$402+$J$27</x:f>
        <x:v>282000</x:v>
      </x:c>
      <x:c r="D1604" s="25" t="n">
        <x:f t="shared" ref="D1604:D1652" si="101">$D$402+$K$27</x:f>
        <x:v>312000</x:v>
      </x:c>
      <x:c r="E1604" s="25" t="n">
        <x:f t="shared" ref="E1604:E1652" si="102">$E$402+$L$27</x:f>
        <x:v>334500</x:v>
      </x:c>
      <x:c r="F1604" s="58" t="n">
        <x:f t="shared" ref="F1604:F1652" si="103">$F$402+$M$27</x:f>
        <x:v>356500</x:v>
      </x:c>
    </x:row>
    <x:row r="1605">
      <x:c r="B1605" s="63">
        <x:v>1703</x:v>
      </x:c>
      <x:c r="C1605" s="57">
        <x:f t="shared" si="100"/>
        <x:v>282000</x:v>
      </x:c>
      <x:c r="D1605" s="25">
        <x:f t="shared" si="101"/>
        <x:v>312000</x:v>
      </x:c>
      <x:c r="E1605" s="25">
        <x:f t="shared" si="102"/>
        <x:v>334500</x:v>
      </x:c>
      <x:c r="F1605" s="58">
        <x:f t="shared" si="103"/>
        <x:v>356500</x:v>
      </x:c>
    </x:row>
    <x:row r="1606">
      <x:c r="B1606" s="63">
        <x:v>1704</x:v>
      </x:c>
      <x:c r="C1606" s="57">
        <x:f t="shared" si="100"/>
        <x:v>282000</x:v>
      </x:c>
      <x:c r="D1606" s="25">
        <x:f t="shared" si="101"/>
        <x:v>312000</x:v>
      </x:c>
      <x:c r="E1606" s="25">
        <x:f t="shared" si="102"/>
        <x:v>334500</x:v>
      </x:c>
      <x:c r="F1606" s="58">
        <x:f t="shared" si="103"/>
        <x:v>356500</x:v>
      </x:c>
    </x:row>
    <x:row r="1607">
      <x:c r="B1607" s="63">
        <x:v>1705</x:v>
      </x:c>
      <x:c r="C1607" s="57">
        <x:f t="shared" si="100"/>
        <x:v>282000</x:v>
      </x:c>
      <x:c r="D1607" s="25">
        <x:f t="shared" si="101"/>
        <x:v>312000</x:v>
      </x:c>
      <x:c r="E1607" s="25">
        <x:f t="shared" si="102"/>
        <x:v>334500</x:v>
      </x:c>
      <x:c r="F1607" s="58">
        <x:f t="shared" si="103"/>
        <x:v>356500</x:v>
      </x:c>
    </x:row>
    <x:row r="1608">
      <x:c r="B1608" s="63">
        <x:v>1706</x:v>
      </x:c>
      <x:c r="C1608" s="57">
        <x:f t="shared" si="100"/>
        <x:v>282000</x:v>
      </x:c>
      <x:c r="D1608" s="25">
        <x:f t="shared" si="101"/>
        <x:v>312000</x:v>
      </x:c>
      <x:c r="E1608" s="25">
        <x:f t="shared" si="102"/>
        <x:v>334500</x:v>
      </x:c>
      <x:c r="F1608" s="58">
        <x:f t="shared" si="103"/>
        <x:v>356500</x:v>
      </x:c>
    </x:row>
    <x:row r="1609">
      <x:c r="B1609" s="63">
        <x:v>1707</x:v>
      </x:c>
      <x:c r="C1609" s="57">
        <x:f t="shared" si="100"/>
        <x:v>282000</x:v>
      </x:c>
      <x:c r="D1609" s="25">
        <x:f t="shared" si="101"/>
        <x:v>312000</x:v>
      </x:c>
      <x:c r="E1609" s="25">
        <x:f t="shared" si="102"/>
        <x:v>334500</x:v>
      </x:c>
      <x:c r="F1609" s="58">
        <x:f t="shared" si="103"/>
        <x:v>356500</x:v>
      </x:c>
    </x:row>
    <x:row r="1610">
      <x:c r="B1610" s="63">
        <x:v>1708</x:v>
      </x:c>
      <x:c r="C1610" s="57">
        <x:f t="shared" si="100"/>
        <x:v>282000</x:v>
      </x:c>
      <x:c r="D1610" s="25">
        <x:f t="shared" si="101"/>
        <x:v>312000</x:v>
      </x:c>
      <x:c r="E1610" s="25">
        <x:f t="shared" si="102"/>
        <x:v>334500</x:v>
      </x:c>
      <x:c r="F1610" s="58">
        <x:f t="shared" si="103"/>
        <x:v>356500</x:v>
      </x:c>
    </x:row>
    <x:row r="1611">
      <x:c r="B1611" s="63">
        <x:v>1709</x:v>
      </x:c>
      <x:c r="C1611" s="57">
        <x:f t="shared" si="100"/>
        <x:v>282000</x:v>
      </x:c>
      <x:c r="D1611" s="25">
        <x:f t="shared" si="101"/>
        <x:v>312000</x:v>
      </x:c>
      <x:c r="E1611" s="25">
        <x:f t="shared" si="102"/>
        <x:v>334500</x:v>
      </x:c>
      <x:c r="F1611" s="58">
        <x:f t="shared" si="103"/>
        <x:v>356500</x:v>
      </x:c>
    </x:row>
    <x:row r="1612">
      <x:c r="B1612" s="63">
        <x:v>1710</x:v>
      </x:c>
      <x:c r="C1612" s="57">
        <x:f t="shared" si="100"/>
        <x:v>282000</x:v>
      </x:c>
      <x:c r="D1612" s="25">
        <x:f t="shared" si="101"/>
        <x:v>312000</x:v>
      </x:c>
      <x:c r="E1612" s="25">
        <x:f t="shared" si="102"/>
        <x:v>334500</x:v>
      </x:c>
      <x:c r="F1612" s="58">
        <x:f t="shared" si="103"/>
        <x:v>356500</x:v>
      </x:c>
    </x:row>
    <x:row r="1613">
      <x:c r="B1613" s="63">
        <x:v>1711</x:v>
      </x:c>
      <x:c r="C1613" s="57">
        <x:f t="shared" si="100"/>
        <x:v>282000</x:v>
      </x:c>
      <x:c r="D1613" s="25">
        <x:f t="shared" si="101"/>
        <x:v>312000</x:v>
      </x:c>
      <x:c r="E1613" s="25">
        <x:f t="shared" si="102"/>
        <x:v>334500</x:v>
      </x:c>
      <x:c r="F1613" s="58">
        <x:f t="shared" si="103"/>
        <x:v>356500</x:v>
      </x:c>
    </x:row>
    <x:row r="1614">
      <x:c r="B1614" s="63">
        <x:v>1712</x:v>
      </x:c>
      <x:c r="C1614" s="57">
        <x:f t="shared" si="100"/>
        <x:v>282000</x:v>
      </x:c>
      <x:c r="D1614" s="25">
        <x:f t="shared" si="101"/>
        <x:v>312000</x:v>
      </x:c>
      <x:c r="E1614" s="25">
        <x:f t="shared" si="102"/>
        <x:v>334500</x:v>
      </x:c>
      <x:c r="F1614" s="58">
        <x:f t="shared" si="103"/>
        <x:v>356500</x:v>
      </x:c>
    </x:row>
    <x:row r="1615">
      <x:c r="B1615" s="63">
        <x:v>1713</x:v>
      </x:c>
      <x:c r="C1615" s="57">
        <x:f t="shared" si="100"/>
        <x:v>282000</x:v>
      </x:c>
      <x:c r="D1615" s="25">
        <x:f t="shared" si="101"/>
        <x:v>312000</x:v>
      </x:c>
      <x:c r="E1615" s="25">
        <x:f t="shared" si="102"/>
        <x:v>334500</x:v>
      </x:c>
      <x:c r="F1615" s="58">
        <x:f t="shared" si="103"/>
        <x:v>356500</x:v>
      </x:c>
    </x:row>
    <x:row r="1616">
      <x:c r="B1616" s="63">
        <x:v>1714</x:v>
      </x:c>
      <x:c r="C1616" s="57">
        <x:f t="shared" si="100"/>
        <x:v>282000</x:v>
      </x:c>
      <x:c r="D1616" s="25">
        <x:f t="shared" si="101"/>
        <x:v>312000</x:v>
      </x:c>
      <x:c r="E1616" s="25">
        <x:f t="shared" si="102"/>
        <x:v>334500</x:v>
      </x:c>
      <x:c r="F1616" s="58">
        <x:f t="shared" si="103"/>
        <x:v>356500</x:v>
      </x:c>
    </x:row>
    <x:row r="1617">
      <x:c r="B1617" s="63">
        <x:v>1715</x:v>
      </x:c>
      <x:c r="C1617" s="57">
        <x:f t="shared" si="100"/>
        <x:v>282000</x:v>
      </x:c>
      <x:c r="D1617" s="25">
        <x:f t="shared" si="101"/>
        <x:v>312000</x:v>
      </x:c>
      <x:c r="E1617" s="25">
        <x:f t="shared" si="102"/>
        <x:v>334500</x:v>
      </x:c>
      <x:c r="F1617" s="58">
        <x:f t="shared" si="103"/>
        <x:v>356500</x:v>
      </x:c>
    </x:row>
    <x:row r="1618">
      <x:c r="B1618" s="63">
        <x:v>1716</x:v>
      </x:c>
      <x:c r="C1618" s="57">
        <x:f t="shared" si="100"/>
        <x:v>282000</x:v>
      </x:c>
      <x:c r="D1618" s="25">
        <x:f t="shared" si="101"/>
        <x:v>312000</x:v>
      </x:c>
      <x:c r="E1618" s="25">
        <x:f t="shared" si="102"/>
        <x:v>334500</x:v>
      </x:c>
      <x:c r="F1618" s="58">
        <x:f t="shared" si="103"/>
        <x:v>356500</x:v>
      </x:c>
    </x:row>
    <x:row r="1619">
      <x:c r="B1619" s="63">
        <x:v>1717</x:v>
      </x:c>
      <x:c r="C1619" s="57">
        <x:f t="shared" si="100"/>
        <x:v>282000</x:v>
      </x:c>
      <x:c r="D1619" s="25">
        <x:f t="shared" si="101"/>
        <x:v>312000</x:v>
      </x:c>
      <x:c r="E1619" s="25">
        <x:f t="shared" si="102"/>
        <x:v>334500</x:v>
      </x:c>
      <x:c r="F1619" s="58">
        <x:f t="shared" si="103"/>
        <x:v>356500</x:v>
      </x:c>
    </x:row>
    <x:row r="1620">
      <x:c r="B1620" s="63">
        <x:v>1718</x:v>
      </x:c>
      <x:c r="C1620" s="57">
        <x:f t="shared" si="100"/>
        <x:v>282000</x:v>
      </x:c>
      <x:c r="D1620" s="25">
        <x:f t="shared" si="101"/>
        <x:v>312000</x:v>
      </x:c>
      <x:c r="E1620" s="25">
        <x:f t="shared" si="102"/>
        <x:v>334500</x:v>
      </x:c>
      <x:c r="F1620" s="58">
        <x:f t="shared" si="103"/>
        <x:v>356500</x:v>
      </x:c>
    </x:row>
    <x:row r="1621">
      <x:c r="B1621" s="63">
        <x:v>1719</x:v>
      </x:c>
      <x:c r="C1621" s="57">
        <x:f t="shared" si="100"/>
        <x:v>282000</x:v>
      </x:c>
      <x:c r="D1621" s="25">
        <x:f t="shared" si="101"/>
        <x:v>312000</x:v>
      </x:c>
      <x:c r="E1621" s="25">
        <x:f t="shared" si="102"/>
        <x:v>334500</x:v>
      </x:c>
      <x:c r="F1621" s="58">
        <x:f t="shared" si="103"/>
        <x:v>356500</x:v>
      </x:c>
    </x:row>
    <x:row r="1622">
      <x:c r="B1622" s="63">
        <x:v>1720</x:v>
      </x:c>
      <x:c r="C1622" s="57">
        <x:f t="shared" si="100"/>
        <x:v>282000</x:v>
      </x:c>
      <x:c r="D1622" s="25">
        <x:f t="shared" si="101"/>
        <x:v>312000</x:v>
      </x:c>
      <x:c r="E1622" s="25">
        <x:f t="shared" si="102"/>
        <x:v>334500</x:v>
      </x:c>
      <x:c r="F1622" s="58">
        <x:f t="shared" si="103"/>
        <x:v>356500</x:v>
      </x:c>
    </x:row>
    <x:row r="1623">
      <x:c r="B1623" s="63">
        <x:v>1721</x:v>
      </x:c>
      <x:c r="C1623" s="57">
        <x:f t="shared" si="100"/>
        <x:v>282000</x:v>
      </x:c>
      <x:c r="D1623" s="25">
        <x:f t="shared" si="101"/>
        <x:v>312000</x:v>
      </x:c>
      <x:c r="E1623" s="25">
        <x:f t="shared" si="102"/>
        <x:v>334500</x:v>
      </x:c>
      <x:c r="F1623" s="58">
        <x:f t="shared" si="103"/>
        <x:v>356500</x:v>
      </x:c>
    </x:row>
    <x:row r="1624">
      <x:c r="B1624" s="63">
        <x:v>1722</x:v>
      </x:c>
      <x:c r="C1624" s="57">
        <x:f t="shared" si="100"/>
        <x:v>282000</x:v>
      </x:c>
      <x:c r="D1624" s="25">
        <x:f t="shared" si="101"/>
        <x:v>312000</x:v>
      </x:c>
      <x:c r="E1624" s="25">
        <x:f t="shared" si="102"/>
        <x:v>334500</x:v>
      </x:c>
      <x:c r="F1624" s="58">
        <x:f t="shared" si="103"/>
        <x:v>356500</x:v>
      </x:c>
    </x:row>
    <x:row r="1625">
      <x:c r="B1625" s="63">
        <x:v>1723</x:v>
      </x:c>
      <x:c r="C1625" s="57">
        <x:f t="shared" si="100"/>
        <x:v>282000</x:v>
      </x:c>
      <x:c r="D1625" s="25">
        <x:f t="shared" si="101"/>
        <x:v>312000</x:v>
      </x:c>
      <x:c r="E1625" s="25">
        <x:f t="shared" si="102"/>
        <x:v>334500</x:v>
      </x:c>
      <x:c r="F1625" s="58">
        <x:f t="shared" si="103"/>
        <x:v>356500</x:v>
      </x:c>
    </x:row>
    <x:row r="1626">
      <x:c r="B1626" s="63">
        <x:v>1724</x:v>
      </x:c>
      <x:c r="C1626" s="57">
        <x:f t="shared" si="100"/>
        <x:v>282000</x:v>
      </x:c>
      <x:c r="D1626" s="25">
        <x:f t="shared" si="101"/>
        <x:v>312000</x:v>
      </x:c>
      <x:c r="E1626" s="25">
        <x:f t="shared" si="102"/>
        <x:v>334500</x:v>
      </x:c>
      <x:c r="F1626" s="58">
        <x:f t="shared" si="103"/>
        <x:v>356500</x:v>
      </x:c>
    </x:row>
    <x:row r="1627">
      <x:c r="B1627" s="63">
        <x:v>1725</x:v>
      </x:c>
      <x:c r="C1627" s="57">
        <x:f t="shared" si="100"/>
        <x:v>282000</x:v>
      </x:c>
      <x:c r="D1627" s="25">
        <x:f t="shared" si="101"/>
        <x:v>312000</x:v>
      </x:c>
      <x:c r="E1627" s="25">
        <x:f t="shared" si="102"/>
        <x:v>334500</x:v>
      </x:c>
      <x:c r="F1627" s="58">
        <x:f t="shared" si="103"/>
        <x:v>356500</x:v>
      </x:c>
    </x:row>
    <x:row r="1628">
      <x:c r="B1628" s="63">
        <x:v>1726</x:v>
      </x:c>
      <x:c r="C1628" s="57">
        <x:f t="shared" si="100"/>
        <x:v>282000</x:v>
      </x:c>
      <x:c r="D1628" s="25">
        <x:f t="shared" si="101"/>
        <x:v>312000</x:v>
      </x:c>
      <x:c r="E1628" s="25">
        <x:f t="shared" si="102"/>
        <x:v>334500</x:v>
      </x:c>
      <x:c r="F1628" s="58">
        <x:f t="shared" si="103"/>
        <x:v>356500</x:v>
      </x:c>
    </x:row>
    <x:row r="1629">
      <x:c r="B1629" s="63">
        <x:v>1727</x:v>
      </x:c>
      <x:c r="C1629" s="57">
        <x:f t="shared" si="100"/>
        <x:v>282000</x:v>
      </x:c>
      <x:c r="D1629" s="25">
        <x:f t="shared" si="101"/>
        <x:v>312000</x:v>
      </x:c>
      <x:c r="E1629" s="25">
        <x:f t="shared" si="102"/>
        <x:v>334500</x:v>
      </x:c>
      <x:c r="F1629" s="58">
        <x:f t="shared" si="103"/>
        <x:v>356500</x:v>
      </x:c>
    </x:row>
    <x:row r="1630">
      <x:c r="B1630" s="63">
        <x:v>1728</x:v>
      </x:c>
      <x:c r="C1630" s="57">
        <x:f t="shared" si="100"/>
        <x:v>282000</x:v>
      </x:c>
      <x:c r="D1630" s="25">
        <x:f t="shared" si="101"/>
        <x:v>312000</x:v>
      </x:c>
      <x:c r="E1630" s="25">
        <x:f t="shared" si="102"/>
        <x:v>334500</x:v>
      </x:c>
      <x:c r="F1630" s="58">
        <x:f t="shared" si="103"/>
        <x:v>356500</x:v>
      </x:c>
    </x:row>
    <x:row r="1631">
      <x:c r="B1631" s="63">
        <x:v>1729</x:v>
      </x:c>
      <x:c r="C1631" s="57">
        <x:f t="shared" si="100"/>
        <x:v>282000</x:v>
      </x:c>
      <x:c r="D1631" s="25">
        <x:f t="shared" si="101"/>
        <x:v>312000</x:v>
      </x:c>
      <x:c r="E1631" s="25">
        <x:f t="shared" si="102"/>
        <x:v>334500</x:v>
      </x:c>
      <x:c r="F1631" s="58">
        <x:f t="shared" si="103"/>
        <x:v>356500</x:v>
      </x:c>
    </x:row>
    <x:row r="1632">
      <x:c r="B1632" s="63">
        <x:v>1730</x:v>
      </x:c>
      <x:c r="C1632" s="57">
        <x:f t="shared" si="100"/>
        <x:v>282000</x:v>
      </x:c>
      <x:c r="D1632" s="25">
        <x:f t="shared" si="101"/>
        <x:v>312000</x:v>
      </x:c>
      <x:c r="E1632" s="25">
        <x:f t="shared" si="102"/>
        <x:v>334500</x:v>
      </x:c>
      <x:c r="F1632" s="58">
        <x:f t="shared" si="103"/>
        <x:v>356500</x:v>
      </x:c>
    </x:row>
    <x:row r="1633">
      <x:c r="B1633" s="63">
        <x:v>1731</x:v>
      </x:c>
      <x:c r="C1633" s="57">
        <x:f t="shared" si="100"/>
        <x:v>282000</x:v>
      </x:c>
      <x:c r="D1633" s="25">
        <x:f t="shared" si="101"/>
        <x:v>312000</x:v>
      </x:c>
      <x:c r="E1633" s="25">
        <x:f t="shared" si="102"/>
        <x:v>334500</x:v>
      </x:c>
      <x:c r="F1633" s="58">
        <x:f t="shared" si="103"/>
        <x:v>356500</x:v>
      </x:c>
    </x:row>
    <x:row r="1634">
      <x:c r="B1634" s="63">
        <x:v>1732</x:v>
      </x:c>
      <x:c r="C1634" s="57">
        <x:f t="shared" si="100"/>
        <x:v>282000</x:v>
      </x:c>
      <x:c r="D1634" s="25">
        <x:f t="shared" si="101"/>
        <x:v>312000</x:v>
      </x:c>
      <x:c r="E1634" s="25">
        <x:f t="shared" si="102"/>
        <x:v>334500</x:v>
      </x:c>
      <x:c r="F1634" s="58">
        <x:f t="shared" si="103"/>
        <x:v>356500</x:v>
      </x:c>
    </x:row>
    <x:row r="1635">
      <x:c r="B1635" s="63">
        <x:v>1733</x:v>
      </x:c>
      <x:c r="C1635" s="57">
        <x:f t="shared" si="100"/>
        <x:v>282000</x:v>
      </x:c>
      <x:c r="D1635" s="25">
        <x:f t="shared" si="101"/>
        <x:v>312000</x:v>
      </x:c>
      <x:c r="E1635" s="25">
        <x:f t="shared" si="102"/>
        <x:v>334500</x:v>
      </x:c>
      <x:c r="F1635" s="58">
        <x:f t="shared" si="103"/>
        <x:v>356500</x:v>
      </x:c>
    </x:row>
    <x:row r="1636">
      <x:c r="B1636" s="63">
        <x:v>1734</x:v>
      </x:c>
      <x:c r="C1636" s="57">
        <x:f t="shared" si="100"/>
        <x:v>282000</x:v>
      </x:c>
      <x:c r="D1636" s="25">
        <x:f t="shared" si="101"/>
        <x:v>312000</x:v>
      </x:c>
      <x:c r="E1636" s="25">
        <x:f t="shared" si="102"/>
        <x:v>334500</x:v>
      </x:c>
      <x:c r="F1636" s="58">
        <x:f t="shared" si="103"/>
        <x:v>356500</x:v>
      </x:c>
    </x:row>
    <x:row r="1637">
      <x:c r="B1637" s="63">
        <x:v>1735</x:v>
      </x:c>
      <x:c r="C1637" s="57">
        <x:f t="shared" si="100"/>
        <x:v>282000</x:v>
      </x:c>
      <x:c r="D1637" s="25">
        <x:f t="shared" si="101"/>
        <x:v>312000</x:v>
      </x:c>
      <x:c r="E1637" s="25">
        <x:f t="shared" si="102"/>
        <x:v>334500</x:v>
      </x:c>
      <x:c r="F1637" s="58">
        <x:f t="shared" si="103"/>
        <x:v>356500</x:v>
      </x:c>
    </x:row>
    <x:row r="1638">
      <x:c r="B1638" s="63">
        <x:v>1736</x:v>
      </x:c>
      <x:c r="C1638" s="57">
        <x:f t="shared" si="100"/>
        <x:v>282000</x:v>
      </x:c>
      <x:c r="D1638" s="25">
        <x:f t="shared" si="101"/>
        <x:v>312000</x:v>
      </x:c>
      <x:c r="E1638" s="25">
        <x:f t="shared" si="102"/>
        <x:v>334500</x:v>
      </x:c>
      <x:c r="F1638" s="58">
        <x:f t="shared" si="103"/>
        <x:v>356500</x:v>
      </x:c>
    </x:row>
    <x:row r="1639">
      <x:c r="B1639" s="63">
        <x:v>1737</x:v>
      </x:c>
      <x:c r="C1639" s="57">
        <x:f t="shared" si="100"/>
        <x:v>282000</x:v>
      </x:c>
      <x:c r="D1639" s="25">
        <x:f t="shared" si="101"/>
        <x:v>312000</x:v>
      </x:c>
      <x:c r="E1639" s="25">
        <x:f t="shared" si="102"/>
        <x:v>334500</x:v>
      </x:c>
      <x:c r="F1639" s="58">
        <x:f t="shared" si="103"/>
        <x:v>356500</x:v>
      </x:c>
    </x:row>
    <x:row r="1640">
      <x:c r="B1640" s="63">
        <x:v>1738</x:v>
      </x:c>
      <x:c r="C1640" s="57">
        <x:f t="shared" si="100"/>
        <x:v>282000</x:v>
      </x:c>
      <x:c r="D1640" s="25">
        <x:f t="shared" si="101"/>
        <x:v>312000</x:v>
      </x:c>
      <x:c r="E1640" s="25">
        <x:f t="shared" si="102"/>
        <x:v>334500</x:v>
      </x:c>
      <x:c r="F1640" s="58">
        <x:f t="shared" si="103"/>
        <x:v>356500</x:v>
      </x:c>
    </x:row>
    <x:row r="1641">
      <x:c r="B1641" s="63">
        <x:v>1739</x:v>
      </x:c>
      <x:c r="C1641" s="57">
        <x:f t="shared" si="100"/>
        <x:v>282000</x:v>
      </x:c>
      <x:c r="D1641" s="25">
        <x:f t="shared" si="101"/>
        <x:v>312000</x:v>
      </x:c>
      <x:c r="E1641" s="25">
        <x:f t="shared" si="102"/>
        <x:v>334500</x:v>
      </x:c>
      <x:c r="F1641" s="58">
        <x:f t="shared" si="103"/>
        <x:v>356500</x:v>
      </x:c>
    </x:row>
    <x:row r="1642">
      <x:c r="B1642" s="63">
        <x:v>1740</x:v>
      </x:c>
      <x:c r="C1642" s="57">
        <x:f t="shared" si="100"/>
        <x:v>282000</x:v>
      </x:c>
      <x:c r="D1642" s="25">
        <x:f t="shared" si="101"/>
        <x:v>312000</x:v>
      </x:c>
      <x:c r="E1642" s="25">
        <x:f t="shared" si="102"/>
        <x:v>334500</x:v>
      </x:c>
      <x:c r="F1642" s="58">
        <x:f t="shared" si="103"/>
        <x:v>356500</x:v>
      </x:c>
    </x:row>
    <x:row r="1643">
      <x:c r="B1643" s="63">
        <x:v>1741</x:v>
      </x:c>
      <x:c r="C1643" s="57">
        <x:f t="shared" si="100"/>
        <x:v>282000</x:v>
      </x:c>
      <x:c r="D1643" s="25">
        <x:f t="shared" si="101"/>
        <x:v>312000</x:v>
      </x:c>
      <x:c r="E1643" s="25">
        <x:f t="shared" si="102"/>
        <x:v>334500</x:v>
      </x:c>
      <x:c r="F1643" s="58">
        <x:f t="shared" si="103"/>
        <x:v>356500</x:v>
      </x:c>
    </x:row>
    <x:row r="1644">
      <x:c r="B1644" s="63">
        <x:v>1742</x:v>
      </x:c>
      <x:c r="C1644" s="57">
        <x:f t="shared" si="100"/>
        <x:v>282000</x:v>
      </x:c>
      <x:c r="D1644" s="25">
        <x:f t="shared" si="101"/>
        <x:v>312000</x:v>
      </x:c>
      <x:c r="E1644" s="25">
        <x:f t="shared" si="102"/>
        <x:v>334500</x:v>
      </x:c>
      <x:c r="F1644" s="58">
        <x:f t="shared" si="103"/>
        <x:v>356500</x:v>
      </x:c>
    </x:row>
    <x:row r="1645">
      <x:c r="B1645" s="63">
        <x:v>1743</x:v>
      </x:c>
      <x:c r="C1645" s="57">
        <x:f t="shared" si="100"/>
        <x:v>282000</x:v>
      </x:c>
      <x:c r="D1645" s="25">
        <x:f t="shared" si="101"/>
        <x:v>312000</x:v>
      </x:c>
      <x:c r="E1645" s="25">
        <x:f t="shared" si="102"/>
        <x:v>334500</x:v>
      </x:c>
      <x:c r="F1645" s="58">
        <x:f t="shared" si="103"/>
        <x:v>356500</x:v>
      </x:c>
    </x:row>
    <x:row r="1646">
      <x:c r="B1646" s="63">
        <x:v>1744</x:v>
      </x:c>
      <x:c r="C1646" s="57">
        <x:f t="shared" si="100"/>
        <x:v>282000</x:v>
      </x:c>
      <x:c r="D1646" s="25">
        <x:f t="shared" si="101"/>
        <x:v>312000</x:v>
      </x:c>
      <x:c r="E1646" s="25">
        <x:f t="shared" si="102"/>
        <x:v>334500</x:v>
      </x:c>
      <x:c r="F1646" s="58">
        <x:f t="shared" si="103"/>
        <x:v>356500</x:v>
      </x:c>
    </x:row>
    <x:row r="1647">
      <x:c r="B1647" s="63">
        <x:v>1745</x:v>
      </x:c>
      <x:c r="C1647" s="57">
        <x:f t="shared" si="100"/>
        <x:v>282000</x:v>
      </x:c>
      <x:c r="D1647" s="25">
        <x:f t="shared" si="101"/>
        <x:v>312000</x:v>
      </x:c>
      <x:c r="E1647" s="25">
        <x:f t="shared" si="102"/>
        <x:v>334500</x:v>
      </x:c>
      <x:c r="F1647" s="58">
        <x:f t="shared" si="103"/>
        <x:v>356500</x:v>
      </x:c>
    </x:row>
    <x:row r="1648">
      <x:c r="B1648" s="63">
        <x:v>1746</x:v>
      </x:c>
      <x:c r="C1648" s="57">
        <x:f t="shared" si="100"/>
        <x:v>282000</x:v>
      </x:c>
      <x:c r="D1648" s="25">
        <x:f t="shared" si="101"/>
        <x:v>312000</x:v>
      </x:c>
      <x:c r="E1648" s="25">
        <x:f t="shared" si="102"/>
        <x:v>334500</x:v>
      </x:c>
      <x:c r="F1648" s="58">
        <x:f t="shared" si="103"/>
        <x:v>356500</x:v>
      </x:c>
    </x:row>
    <x:row r="1649">
      <x:c r="B1649" s="63">
        <x:v>1747</x:v>
      </x:c>
      <x:c r="C1649" s="57">
        <x:f t="shared" si="100"/>
        <x:v>282000</x:v>
      </x:c>
      <x:c r="D1649" s="25">
        <x:f t="shared" si="101"/>
        <x:v>312000</x:v>
      </x:c>
      <x:c r="E1649" s="25">
        <x:f t="shared" si="102"/>
        <x:v>334500</x:v>
      </x:c>
      <x:c r="F1649" s="58">
        <x:f t="shared" si="103"/>
        <x:v>356500</x:v>
      </x:c>
    </x:row>
    <x:row r="1650">
      <x:c r="B1650" s="63">
        <x:v>1748</x:v>
      </x:c>
      <x:c r="C1650" s="57">
        <x:f t="shared" si="100"/>
        <x:v>282000</x:v>
      </x:c>
      <x:c r="D1650" s="25">
        <x:f t="shared" si="101"/>
        <x:v>312000</x:v>
      </x:c>
      <x:c r="E1650" s="25">
        <x:f t="shared" si="102"/>
        <x:v>334500</x:v>
      </x:c>
      <x:c r="F1650" s="58">
        <x:f t="shared" si="103"/>
        <x:v>356500</x:v>
      </x:c>
    </x:row>
    <x:row r="1651">
      <x:c r="B1651" s="63">
        <x:v>1749</x:v>
      </x:c>
      <x:c r="C1651" s="57">
        <x:f t="shared" si="100"/>
        <x:v>282000</x:v>
      </x:c>
      <x:c r="D1651" s="25">
        <x:f t="shared" si="101"/>
        <x:v>312000</x:v>
      </x:c>
      <x:c r="E1651" s="25">
        <x:f t="shared" si="102"/>
        <x:v>334500</x:v>
      </x:c>
      <x:c r="F1651" s="58">
        <x:f t="shared" si="103"/>
        <x:v>356500</x:v>
      </x:c>
    </x:row>
    <x:row r="1652">
      <x:c r="B1652" s="63">
        <x:v>1750</x:v>
      </x:c>
      <x:c r="C1652" s="57">
        <x:f t="shared" si="100"/>
        <x:v>282000</x:v>
      </x:c>
      <x:c r="D1652" s="25">
        <x:f t="shared" si="101"/>
        <x:v>312000</x:v>
      </x:c>
      <x:c r="E1652" s="25">
        <x:f t="shared" si="102"/>
        <x:v>334500</x:v>
      </x:c>
      <x:c r="F1652" s="58">
        <x:f t="shared" si="103"/>
        <x:v>356500</x:v>
      </x:c>
    </x:row>
    <x:row r="1653">
      <x:c r="B1653" s="63">
        <x:v>1751</x:v>
      </x:c>
      <x:c r="C1653" s="57" t="n">
        <x:f>$C$402+$J$28</x:f>
        <x:v>289300</x:v>
      </x:c>
      <x:c r="D1653" s="25" t="n">
        <x:f>$D$402+$K$28</x:f>
        <x:v>320100</x:v>
      </x:c>
      <x:c r="E1653" s="25" t="n">
        <x:f>$E$402+$L$28</x:f>
        <x:v>343200</x:v>
      </x:c>
      <x:c r="F1653" s="58" t="n">
        <x:f>$F$402+$M$28</x:f>
        <x:v>365800</x:v>
      </x:c>
    </x:row>
    <x:row r="1654">
      <x:c r="B1654" s="63">
        <x:v>1752</x:v>
      </x:c>
      <x:c r="C1654" s="57" t="n">
        <x:f t="shared" ref="C1654:C1702" si="104">$C$402+$J$28</x:f>
        <x:v>289300</x:v>
      </x:c>
      <x:c r="D1654" s="25" t="n">
        <x:f t="shared" ref="D1654:D1702" si="105">$D$402+$K$28</x:f>
        <x:v>320100</x:v>
      </x:c>
      <x:c r="E1654" s="25" t="n">
        <x:f t="shared" ref="E1654:E1702" si="106">$E$402+$L$28</x:f>
        <x:v>343200</x:v>
      </x:c>
      <x:c r="F1654" s="58" t="n">
        <x:f t="shared" ref="F1654:F1702" si="107">$F$402+$M$28</x:f>
        <x:v>365800</x:v>
      </x:c>
    </x:row>
    <x:row r="1655">
      <x:c r="B1655" s="63">
        <x:v>1753</x:v>
      </x:c>
      <x:c r="C1655" s="57">
        <x:f t="shared" si="104"/>
        <x:v>289300</x:v>
      </x:c>
      <x:c r="D1655" s="25">
        <x:f t="shared" si="105"/>
        <x:v>320100</x:v>
      </x:c>
      <x:c r="E1655" s="25">
        <x:f t="shared" si="106"/>
        <x:v>343200</x:v>
      </x:c>
      <x:c r="F1655" s="58">
        <x:f t="shared" si="107"/>
        <x:v>365800</x:v>
      </x:c>
    </x:row>
    <x:row r="1656">
      <x:c r="B1656" s="63">
        <x:v>1754</x:v>
      </x:c>
      <x:c r="C1656" s="57">
        <x:f t="shared" si="104"/>
        <x:v>289300</x:v>
      </x:c>
      <x:c r="D1656" s="25">
        <x:f t="shared" si="105"/>
        <x:v>320100</x:v>
      </x:c>
      <x:c r="E1656" s="25">
        <x:f t="shared" si="106"/>
        <x:v>343200</x:v>
      </x:c>
      <x:c r="F1656" s="58">
        <x:f t="shared" si="107"/>
        <x:v>365800</x:v>
      </x:c>
    </x:row>
    <x:row r="1657">
      <x:c r="B1657" s="63">
        <x:v>1755</x:v>
      </x:c>
      <x:c r="C1657" s="57">
        <x:f t="shared" si="104"/>
        <x:v>289300</x:v>
      </x:c>
      <x:c r="D1657" s="25">
        <x:f t="shared" si="105"/>
        <x:v>320100</x:v>
      </x:c>
      <x:c r="E1657" s="25">
        <x:f t="shared" si="106"/>
        <x:v>343200</x:v>
      </x:c>
      <x:c r="F1657" s="58">
        <x:f t="shared" si="107"/>
        <x:v>365800</x:v>
      </x:c>
    </x:row>
    <x:row r="1658">
      <x:c r="B1658" s="63">
        <x:v>1756</x:v>
      </x:c>
      <x:c r="C1658" s="57">
        <x:f t="shared" si="104"/>
        <x:v>289300</x:v>
      </x:c>
      <x:c r="D1658" s="25">
        <x:f t="shared" si="105"/>
        <x:v>320100</x:v>
      </x:c>
      <x:c r="E1658" s="25">
        <x:f t="shared" si="106"/>
        <x:v>343200</x:v>
      </x:c>
      <x:c r="F1658" s="58">
        <x:f t="shared" si="107"/>
        <x:v>365800</x:v>
      </x:c>
    </x:row>
    <x:row r="1659">
      <x:c r="B1659" s="63">
        <x:v>1757</x:v>
      </x:c>
      <x:c r="C1659" s="57">
        <x:f t="shared" si="104"/>
        <x:v>289300</x:v>
      </x:c>
      <x:c r="D1659" s="25">
        <x:f t="shared" si="105"/>
        <x:v>320100</x:v>
      </x:c>
      <x:c r="E1659" s="25">
        <x:f t="shared" si="106"/>
        <x:v>343200</x:v>
      </x:c>
      <x:c r="F1659" s="58">
        <x:f t="shared" si="107"/>
        <x:v>365800</x:v>
      </x:c>
    </x:row>
    <x:row r="1660">
      <x:c r="B1660" s="63">
        <x:v>1758</x:v>
      </x:c>
      <x:c r="C1660" s="57">
        <x:f t="shared" si="104"/>
        <x:v>289300</x:v>
      </x:c>
      <x:c r="D1660" s="25">
        <x:f t="shared" si="105"/>
        <x:v>320100</x:v>
      </x:c>
      <x:c r="E1660" s="25">
        <x:f t="shared" si="106"/>
        <x:v>343200</x:v>
      </x:c>
      <x:c r="F1660" s="58">
        <x:f t="shared" si="107"/>
        <x:v>365800</x:v>
      </x:c>
    </x:row>
    <x:row r="1661">
      <x:c r="B1661" s="63">
        <x:v>1759</x:v>
      </x:c>
      <x:c r="C1661" s="57">
        <x:f t="shared" si="104"/>
        <x:v>289300</x:v>
      </x:c>
      <x:c r="D1661" s="25">
        <x:f t="shared" si="105"/>
        <x:v>320100</x:v>
      </x:c>
      <x:c r="E1661" s="25">
        <x:f t="shared" si="106"/>
        <x:v>343200</x:v>
      </x:c>
      <x:c r="F1661" s="58">
        <x:f t="shared" si="107"/>
        <x:v>365800</x:v>
      </x:c>
    </x:row>
    <x:row r="1662">
      <x:c r="B1662" s="63">
        <x:v>1760</x:v>
      </x:c>
      <x:c r="C1662" s="57">
        <x:f t="shared" si="104"/>
        <x:v>289300</x:v>
      </x:c>
      <x:c r="D1662" s="25">
        <x:f t="shared" si="105"/>
        <x:v>320100</x:v>
      </x:c>
      <x:c r="E1662" s="25">
        <x:f t="shared" si="106"/>
        <x:v>343200</x:v>
      </x:c>
      <x:c r="F1662" s="58">
        <x:f t="shared" si="107"/>
        <x:v>365800</x:v>
      </x:c>
    </x:row>
    <x:row r="1663">
      <x:c r="B1663" s="63">
        <x:v>1761</x:v>
      </x:c>
      <x:c r="C1663" s="57">
        <x:f t="shared" si="104"/>
        <x:v>289300</x:v>
      </x:c>
      <x:c r="D1663" s="25">
        <x:f t="shared" si="105"/>
        <x:v>320100</x:v>
      </x:c>
      <x:c r="E1663" s="25">
        <x:f t="shared" si="106"/>
        <x:v>343200</x:v>
      </x:c>
      <x:c r="F1663" s="58">
        <x:f t="shared" si="107"/>
        <x:v>365800</x:v>
      </x:c>
    </x:row>
    <x:row r="1664">
      <x:c r="B1664" s="63">
        <x:v>1762</x:v>
      </x:c>
      <x:c r="C1664" s="57">
        <x:f t="shared" si="104"/>
        <x:v>289300</x:v>
      </x:c>
      <x:c r="D1664" s="25">
        <x:f t="shared" si="105"/>
        <x:v>320100</x:v>
      </x:c>
      <x:c r="E1664" s="25">
        <x:f t="shared" si="106"/>
        <x:v>343200</x:v>
      </x:c>
      <x:c r="F1664" s="58">
        <x:f t="shared" si="107"/>
        <x:v>365800</x:v>
      </x:c>
    </x:row>
    <x:row r="1665">
      <x:c r="B1665" s="63">
        <x:v>1763</x:v>
      </x:c>
      <x:c r="C1665" s="57">
        <x:f t="shared" si="104"/>
        <x:v>289300</x:v>
      </x:c>
      <x:c r="D1665" s="25">
        <x:f t="shared" si="105"/>
        <x:v>320100</x:v>
      </x:c>
      <x:c r="E1665" s="25">
        <x:f t="shared" si="106"/>
        <x:v>343200</x:v>
      </x:c>
      <x:c r="F1665" s="58">
        <x:f t="shared" si="107"/>
        <x:v>365800</x:v>
      </x:c>
    </x:row>
    <x:row r="1666">
      <x:c r="B1666" s="63">
        <x:v>1764</x:v>
      </x:c>
      <x:c r="C1666" s="57">
        <x:f t="shared" si="104"/>
        <x:v>289300</x:v>
      </x:c>
      <x:c r="D1666" s="25">
        <x:f t="shared" si="105"/>
        <x:v>320100</x:v>
      </x:c>
      <x:c r="E1666" s="25">
        <x:f t="shared" si="106"/>
        <x:v>343200</x:v>
      </x:c>
      <x:c r="F1666" s="58">
        <x:f t="shared" si="107"/>
        <x:v>365800</x:v>
      </x:c>
    </x:row>
    <x:row r="1667">
      <x:c r="B1667" s="63">
        <x:v>1765</x:v>
      </x:c>
      <x:c r="C1667" s="57">
        <x:f t="shared" si="104"/>
        <x:v>289300</x:v>
      </x:c>
      <x:c r="D1667" s="25">
        <x:f t="shared" si="105"/>
        <x:v>320100</x:v>
      </x:c>
      <x:c r="E1667" s="25">
        <x:f t="shared" si="106"/>
        <x:v>343200</x:v>
      </x:c>
      <x:c r="F1667" s="58">
        <x:f t="shared" si="107"/>
        <x:v>365800</x:v>
      </x:c>
    </x:row>
    <x:row r="1668">
      <x:c r="B1668" s="63">
        <x:v>1766</x:v>
      </x:c>
      <x:c r="C1668" s="57">
        <x:f t="shared" si="104"/>
        <x:v>289300</x:v>
      </x:c>
      <x:c r="D1668" s="25">
        <x:f t="shared" si="105"/>
        <x:v>320100</x:v>
      </x:c>
      <x:c r="E1668" s="25">
        <x:f t="shared" si="106"/>
        <x:v>343200</x:v>
      </x:c>
      <x:c r="F1668" s="58">
        <x:f t="shared" si="107"/>
        <x:v>365800</x:v>
      </x:c>
    </x:row>
    <x:row r="1669">
      <x:c r="B1669" s="63">
        <x:v>1767</x:v>
      </x:c>
      <x:c r="C1669" s="57">
        <x:f t="shared" si="104"/>
        <x:v>289300</x:v>
      </x:c>
      <x:c r="D1669" s="25">
        <x:f t="shared" si="105"/>
        <x:v>320100</x:v>
      </x:c>
      <x:c r="E1669" s="25">
        <x:f t="shared" si="106"/>
        <x:v>343200</x:v>
      </x:c>
      <x:c r="F1669" s="58">
        <x:f t="shared" si="107"/>
        <x:v>365800</x:v>
      </x:c>
    </x:row>
    <x:row r="1670">
      <x:c r="B1670" s="63">
        <x:v>1768</x:v>
      </x:c>
      <x:c r="C1670" s="57">
        <x:f t="shared" si="104"/>
        <x:v>289300</x:v>
      </x:c>
      <x:c r="D1670" s="25">
        <x:f t="shared" si="105"/>
        <x:v>320100</x:v>
      </x:c>
      <x:c r="E1670" s="25">
        <x:f t="shared" si="106"/>
        <x:v>343200</x:v>
      </x:c>
      <x:c r="F1670" s="58">
        <x:f t="shared" si="107"/>
        <x:v>365800</x:v>
      </x:c>
    </x:row>
    <x:row r="1671">
      <x:c r="B1671" s="63">
        <x:v>1769</x:v>
      </x:c>
      <x:c r="C1671" s="57">
        <x:f t="shared" si="104"/>
        <x:v>289300</x:v>
      </x:c>
      <x:c r="D1671" s="25">
        <x:f t="shared" si="105"/>
        <x:v>320100</x:v>
      </x:c>
      <x:c r="E1671" s="25">
        <x:f t="shared" si="106"/>
        <x:v>343200</x:v>
      </x:c>
      <x:c r="F1671" s="58">
        <x:f t="shared" si="107"/>
        <x:v>365800</x:v>
      </x:c>
    </x:row>
    <x:row r="1672">
      <x:c r="B1672" s="63">
        <x:v>1770</x:v>
      </x:c>
      <x:c r="C1672" s="57">
        <x:f t="shared" si="104"/>
        <x:v>289300</x:v>
      </x:c>
      <x:c r="D1672" s="25">
        <x:f t="shared" si="105"/>
        <x:v>320100</x:v>
      </x:c>
      <x:c r="E1672" s="25">
        <x:f t="shared" si="106"/>
        <x:v>343200</x:v>
      </x:c>
      <x:c r="F1672" s="58">
        <x:f t="shared" si="107"/>
        <x:v>365800</x:v>
      </x:c>
    </x:row>
    <x:row r="1673">
      <x:c r="B1673" s="63">
        <x:v>1771</x:v>
      </x:c>
      <x:c r="C1673" s="57">
        <x:f t="shared" si="104"/>
        <x:v>289300</x:v>
      </x:c>
      <x:c r="D1673" s="25">
        <x:f t="shared" si="105"/>
        <x:v>320100</x:v>
      </x:c>
      <x:c r="E1673" s="25">
        <x:f t="shared" si="106"/>
        <x:v>343200</x:v>
      </x:c>
      <x:c r="F1673" s="58">
        <x:f t="shared" si="107"/>
        <x:v>365800</x:v>
      </x:c>
    </x:row>
    <x:row r="1674">
      <x:c r="B1674" s="63">
        <x:v>1772</x:v>
      </x:c>
      <x:c r="C1674" s="57">
        <x:f t="shared" si="104"/>
        <x:v>289300</x:v>
      </x:c>
      <x:c r="D1674" s="25">
        <x:f t="shared" si="105"/>
        <x:v>320100</x:v>
      </x:c>
      <x:c r="E1674" s="25">
        <x:f t="shared" si="106"/>
        <x:v>343200</x:v>
      </x:c>
      <x:c r="F1674" s="58">
        <x:f t="shared" si="107"/>
        <x:v>365800</x:v>
      </x:c>
    </x:row>
    <x:row r="1675">
      <x:c r="B1675" s="63">
        <x:v>1773</x:v>
      </x:c>
      <x:c r="C1675" s="57">
        <x:f t="shared" si="104"/>
        <x:v>289300</x:v>
      </x:c>
      <x:c r="D1675" s="25">
        <x:f t="shared" si="105"/>
        <x:v>320100</x:v>
      </x:c>
      <x:c r="E1675" s="25">
        <x:f t="shared" si="106"/>
        <x:v>343200</x:v>
      </x:c>
      <x:c r="F1675" s="58">
        <x:f t="shared" si="107"/>
        <x:v>365800</x:v>
      </x:c>
    </x:row>
    <x:row r="1676">
      <x:c r="B1676" s="63">
        <x:v>1774</x:v>
      </x:c>
      <x:c r="C1676" s="57">
        <x:f t="shared" si="104"/>
        <x:v>289300</x:v>
      </x:c>
      <x:c r="D1676" s="25">
        <x:f t="shared" si="105"/>
        <x:v>320100</x:v>
      </x:c>
      <x:c r="E1676" s="25">
        <x:f t="shared" si="106"/>
        <x:v>343200</x:v>
      </x:c>
      <x:c r="F1676" s="58">
        <x:f t="shared" si="107"/>
        <x:v>365800</x:v>
      </x:c>
    </x:row>
    <x:row r="1677">
      <x:c r="B1677" s="63">
        <x:v>1775</x:v>
      </x:c>
      <x:c r="C1677" s="57">
        <x:f t="shared" si="104"/>
        <x:v>289300</x:v>
      </x:c>
      <x:c r="D1677" s="25">
        <x:f t="shared" si="105"/>
        <x:v>320100</x:v>
      </x:c>
      <x:c r="E1677" s="25">
        <x:f t="shared" si="106"/>
        <x:v>343200</x:v>
      </x:c>
      <x:c r="F1677" s="58">
        <x:f t="shared" si="107"/>
        <x:v>365800</x:v>
      </x:c>
    </x:row>
    <x:row r="1678">
      <x:c r="B1678" s="63">
        <x:v>1776</x:v>
      </x:c>
      <x:c r="C1678" s="57">
        <x:f t="shared" si="104"/>
        <x:v>289300</x:v>
      </x:c>
      <x:c r="D1678" s="25">
        <x:f t="shared" si="105"/>
        <x:v>320100</x:v>
      </x:c>
      <x:c r="E1678" s="25">
        <x:f t="shared" si="106"/>
        <x:v>343200</x:v>
      </x:c>
      <x:c r="F1678" s="58">
        <x:f t="shared" si="107"/>
        <x:v>365800</x:v>
      </x:c>
    </x:row>
    <x:row r="1679">
      <x:c r="B1679" s="63">
        <x:v>1777</x:v>
      </x:c>
      <x:c r="C1679" s="57">
        <x:f t="shared" si="104"/>
        <x:v>289300</x:v>
      </x:c>
      <x:c r="D1679" s="25">
        <x:f t="shared" si="105"/>
        <x:v>320100</x:v>
      </x:c>
      <x:c r="E1679" s="25">
        <x:f t="shared" si="106"/>
        <x:v>343200</x:v>
      </x:c>
      <x:c r="F1679" s="58">
        <x:f t="shared" si="107"/>
        <x:v>365800</x:v>
      </x:c>
    </x:row>
    <x:row r="1680">
      <x:c r="B1680" s="63">
        <x:v>1778</x:v>
      </x:c>
      <x:c r="C1680" s="57">
        <x:f t="shared" si="104"/>
        <x:v>289300</x:v>
      </x:c>
      <x:c r="D1680" s="25">
        <x:f t="shared" si="105"/>
        <x:v>320100</x:v>
      </x:c>
      <x:c r="E1680" s="25">
        <x:f t="shared" si="106"/>
        <x:v>343200</x:v>
      </x:c>
      <x:c r="F1680" s="58">
        <x:f t="shared" si="107"/>
        <x:v>365800</x:v>
      </x:c>
    </x:row>
    <x:row r="1681">
      <x:c r="B1681" s="63">
        <x:v>1779</x:v>
      </x:c>
      <x:c r="C1681" s="57">
        <x:f t="shared" si="104"/>
        <x:v>289300</x:v>
      </x:c>
      <x:c r="D1681" s="25">
        <x:f t="shared" si="105"/>
        <x:v>320100</x:v>
      </x:c>
      <x:c r="E1681" s="25">
        <x:f t="shared" si="106"/>
        <x:v>343200</x:v>
      </x:c>
      <x:c r="F1681" s="58">
        <x:f t="shared" si="107"/>
        <x:v>365800</x:v>
      </x:c>
    </x:row>
    <x:row r="1682">
      <x:c r="B1682" s="63">
        <x:v>1780</x:v>
      </x:c>
      <x:c r="C1682" s="57">
        <x:f t="shared" si="104"/>
        <x:v>289300</x:v>
      </x:c>
      <x:c r="D1682" s="25">
        <x:f t="shared" si="105"/>
        <x:v>320100</x:v>
      </x:c>
      <x:c r="E1682" s="25">
        <x:f t="shared" si="106"/>
        <x:v>343200</x:v>
      </x:c>
      <x:c r="F1682" s="58">
        <x:f t="shared" si="107"/>
        <x:v>365800</x:v>
      </x:c>
    </x:row>
    <x:row r="1683">
      <x:c r="B1683" s="63">
        <x:v>1781</x:v>
      </x:c>
      <x:c r="C1683" s="57">
        <x:f t="shared" si="104"/>
        <x:v>289300</x:v>
      </x:c>
      <x:c r="D1683" s="25">
        <x:f t="shared" si="105"/>
        <x:v>320100</x:v>
      </x:c>
      <x:c r="E1683" s="25">
        <x:f t="shared" si="106"/>
        <x:v>343200</x:v>
      </x:c>
      <x:c r="F1683" s="58">
        <x:f t="shared" si="107"/>
        <x:v>365800</x:v>
      </x:c>
    </x:row>
    <x:row r="1684">
      <x:c r="B1684" s="63">
        <x:v>1782</x:v>
      </x:c>
      <x:c r="C1684" s="57">
        <x:f t="shared" si="104"/>
        <x:v>289300</x:v>
      </x:c>
      <x:c r="D1684" s="25">
        <x:f t="shared" si="105"/>
        <x:v>320100</x:v>
      </x:c>
      <x:c r="E1684" s="25">
        <x:f t="shared" si="106"/>
        <x:v>343200</x:v>
      </x:c>
      <x:c r="F1684" s="58">
        <x:f t="shared" si="107"/>
        <x:v>365800</x:v>
      </x:c>
    </x:row>
    <x:row r="1685">
      <x:c r="B1685" s="63">
        <x:v>1783</x:v>
      </x:c>
      <x:c r="C1685" s="57">
        <x:f t="shared" si="104"/>
        <x:v>289300</x:v>
      </x:c>
      <x:c r="D1685" s="25">
        <x:f t="shared" si="105"/>
        <x:v>320100</x:v>
      </x:c>
      <x:c r="E1685" s="25">
        <x:f t="shared" si="106"/>
        <x:v>343200</x:v>
      </x:c>
      <x:c r="F1685" s="58">
        <x:f t="shared" si="107"/>
        <x:v>365800</x:v>
      </x:c>
    </x:row>
    <x:row r="1686">
      <x:c r="B1686" s="63">
        <x:v>1784</x:v>
      </x:c>
      <x:c r="C1686" s="57">
        <x:f t="shared" si="104"/>
        <x:v>289300</x:v>
      </x:c>
      <x:c r="D1686" s="25">
        <x:f t="shared" si="105"/>
        <x:v>320100</x:v>
      </x:c>
      <x:c r="E1686" s="25">
        <x:f t="shared" si="106"/>
        <x:v>343200</x:v>
      </x:c>
      <x:c r="F1686" s="58">
        <x:f t="shared" si="107"/>
        <x:v>365800</x:v>
      </x:c>
    </x:row>
    <x:row r="1687">
      <x:c r="B1687" s="63">
        <x:v>1785</x:v>
      </x:c>
      <x:c r="C1687" s="57">
        <x:f t="shared" si="104"/>
        <x:v>289300</x:v>
      </x:c>
      <x:c r="D1687" s="25">
        <x:f t="shared" si="105"/>
        <x:v>320100</x:v>
      </x:c>
      <x:c r="E1687" s="25">
        <x:f t="shared" si="106"/>
        <x:v>343200</x:v>
      </x:c>
      <x:c r="F1687" s="58">
        <x:f t="shared" si="107"/>
        <x:v>365800</x:v>
      </x:c>
    </x:row>
    <x:row r="1688">
      <x:c r="B1688" s="63">
        <x:v>1786</x:v>
      </x:c>
      <x:c r="C1688" s="57">
        <x:f t="shared" si="104"/>
        <x:v>289300</x:v>
      </x:c>
      <x:c r="D1688" s="25">
        <x:f t="shared" si="105"/>
        <x:v>320100</x:v>
      </x:c>
      <x:c r="E1688" s="25">
        <x:f t="shared" si="106"/>
        <x:v>343200</x:v>
      </x:c>
      <x:c r="F1688" s="58">
        <x:f t="shared" si="107"/>
        <x:v>365800</x:v>
      </x:c>
    </x:row>
    <x:row r="1689">
      <x:c r="B1689" s="63">
        <x:v>1787</x:v>
      </x:c>
      <x:c r="C1689" s="57">
        <x:f t="shared" si="104"/>
        <x:v>289300</x:v>
      </x:c>
      <x:c r="D1689" s="25">
        <x:f t="shared" si="105"/>
        <x:v>320100</x:v>
      </x:c>
      <x:c r="E1689" s="25">
        <x:f t="shared" si="106"/>
        <x:v>343200</x:v>
      </x:c>
      <x:c r="F1689" s="58">
        <x:f t="shared" si="107"/>
        <x:v>365800</x:v>
      </x:c>
    </x:row>
    <x:row r="1690">
      <x:c r="B1690" s="63">
        <x:v>1788</x:v>
      </x:c>
      <x:c r="C1690" s="57">
        <x:f t="shared" si="104"/>
        <x:v>289300</x:v>
      </x:c>
      <x:c r="D1690" s="25">
        <x:f t="shared" si="105"/>
        <x:v>320100</x:v>
      </x:c>
      <x:c r="E1690" s="25">
        <x:f t="shared" si="106"/>
        <x:v>343200</x:v>
      </x:c>
      <x:c r="F1690" s="58">
        <x:f t="shared" si="107"/>
        <x:v>365800</x:v>
      </x:c>
    </x:row>
    <x:row r="1691">
      <x:c r="B1691" s="63">
        <x:v>1789</x:v>
      </x:c>
      <x:c r="C1691" s="57">
        <x:f t="shared" si="104"/>
        <x:v>289300</x:v>
      </x:c>
      <x:c r="D1691" s="25">
        <x:f t="shared" si="105"/>
        <x:v>320100</x:v>
      </x:c>
      <x:c r="E1691" s="25">
        <x:f t="shared" si="106"/>
        <x:v>343200</x:v>
      </x:c>
      <x:c r="F1691" s="58">
        <x:f t="shared" si="107"/>
        <x:v>365800</x:v>
      </x:c>
    </x:row>
    <x:row r="1692">
      <x:c r="B1692" s="63">
        <x:v>1790</x:v>
      </x:c>
      <x:c r="C1692" s="57">
        <x:f t="shared" si="104"/>
        <x:v>289300</x:v>
      </x:c>
      <x:c r="D1692" s="25">
        <x:f t="shared" si="105"/>
        <x:v>320100</x:v>
      </x:c>
      <x:c r="E1692" s="25">
        <x:f t="shared" si="106"/>
        <x:v>343200</x:v>
      </x:c>
      <x:c r="F1692" s="58">
        <x:f t="shared" si="107"/>
        <x:v>365800</x:v>
      </x:c>
    </x:row>
    <x:row r="1693">
      <x:c r="B1693" s="63">
        <x:v>1791</x:v>
      </x:c>
      <x:c r="C1693" s="57">
        <x:f t="shared" si="104"/>
        <x:v>289300</x:v>
      </x:c>
      <x:c r="D1693" s="25">
        <x:f t="shared" si="105"/>
        <x:v>320100</x:v>
      </x:c>
      <x:c r="E1693" s="25">
        <x:f t="shared" si="106"/>
        <x:v>343200</x:v>
      </x:c>
      <x:c r="F1693" s="58">
        <x:f t="shared" si="107"/>
        <x:v>365800</x:v>
      </x:c>
    </x:row>
    <x:row r="1694">
      <x:c r="B1694" s="63">
        <x:v>1792</x:v>
      </x:c>
      <x:c r="C1694" s="57">
        <x:f t="shared" si="104"/>
        <x:v>289300</x:v>
      </x:c>
      <x:c r="D1694" s="25">
        <x:f t="shared" si="105"/>
        <x:v>320100</x:v>
      </x:c>
      <x:c r="E1694" s="25">
        <x:f t="shared" si="106"/>
        <x:v>343200</x:v>
      </x:c>
      <x:c r="F1694" s="58">
        <x:f t="shared" si="107"/>
        <x:v>365800</x:v>
      </x:c>
    </x:row>
    <x:row r="1695">
      <x:c r="B1695" s="63">
        <x:v>1793</x:v>
      </x:c>
      <x:c r="C1695" s="57">
        <x:f t="shared" si="104"/>
        <x:v>289300</x:v>
      </x:c>
      <x:c r="D1695" s="25">
        <x:f t="shared" si="105"/>
        <x:v>320100</x:v>
      </x:c>
      <x:c r="E1695" s="25">
        <x:f t="shared" si="106"/>
        <x:v>343200</x:v>
      </x:c>
      <x:c r="F1695" s="58">
        <x:f t="shared" si="107"/>
        <x:v>365800</x:v>
      </x:c>
    </x:row>
    <x:row r="1696">
      <x:c r="B1696" s="63">
        <x:v>1794</x:v>
      </x:c>
      <x:c r="C1696" s="57">
        <x:f t="shared" si="104"/>
        <x:v>289300</x:v>
      </x:c>
      <x:c r="D1696" s="25">
        <x:f t="shared" si="105"/>
        <x:v>320100</x:v>
      </x:c>
      <x:c r="E1696" s="25">
        <x:f t="shared" si="106"/>
        <x:v>343200</x:v>
      </x:c>
      <x:c r="F1696" s="58">
        <x:f t="shared" si="107"/>
        <x:v>365800</x:v>
      </x:c>
    </x:row>
    <x:row r="1697">
      <x:c r="B1697" s="63">
        <x:v>1795</x:v>
      </x:c>
      <x:c r="C1697" s="57">
        <x:f t="shared" si="104"/>
        <x:v>289300</x:v>
      </x:c>
      <x:c r="D1697" s="25">
        <x:f t="shared" si="105"/>
        <x:v>320100</x:v>
      </x:c>
      <x:c r="E1697" s="25">
        <x:f t="shared" si="106"/>
        <x:v>343200</x:v>
      </x:c>
      <x:c r="F1697" s="58">
        <x:f t="shared" si="107"/>
        <x:v>365800</x:v>
      </x:c>
    </x:row>
    <x:row r="1698">
      <x:c r="B1698" s="63">
        <x:v>1796</x:v>
      </x:c>
      <x:c r="C1698" s="57">
        <x:f t="shared" si="104"/>
        <x:v>289300</x:v>
      </x:c>
      <x:c r="D1698" s="25">
        <x:f t="shared" si="105"/>
        <x:v>320100</x:v>
      </x:c>
      <x:c r="E1698" s="25">
        <x:f t="shared" si="106"/>
        <x:v>343200</x:v>
      </x:c>
      <x:c r="F1698" s="58">
        <x:f t="shared" si="107"/>
        <x:v>365800</x:v>
      </x:c>
    </x:row>
    <x:row r="1699">
      <x:c r="B1699" s="63">
        <x:v>1797</x:v>
      </x:c>
      <x:c r="C1699" s="57">
        <x:f t="shared" si="104"/>
        <x:v>289300</x:v>
      </x:c>
      <x:c r="D1699" s="25">
        <x:f t="shared" si="105"/>
        <x:v>320100</x:v>
      </x:c>
      <x:c r="E1699" s="25">
        <x:f t="shared" si="106"/>
        <x:v>343200</x:v>
      </x:c>
      <x:c r="F1699" s="58">
        <x:f t="shared" si="107"/>
        <x:v>365800</x:v>
      </x:c>
    </x:row>
    <x:row r="1700">
      <x:c r="B1700" s="63">
        <x:v>1798</x:v>
      </x:c>
      <x:c r="C1700" s="57">
        <x:f t="shared" si="104"/>
        <x:v>289300</x:v>
      </x:c>
      <x:c r="D1700" s="25">
        <x:f t="shared" si="105"/>
        <x:v>320100</x:v>
      </x:c>
      <x:c r="E1700" s="25">
        <x:f t="shared" si="106"/>
        <x:v>343200</x:v>
      </x:c>
      <x:c r="F1700" s="58">
        <x:f t="shared" si="107"/>
        <x:v>365800</x:v>
      </x:c>
    </x:row>
    <x:row r="1701">
      <x:c r="B1701" s="63">
        <x:v>1799</x:v>
      </x:c>
      <x:c r="C1701" s="57">
        <x:f t="shared" si="104"/>
        <x:v>289300</x:v>
      </x:c>
      <x:c r="D1701" s="25">
        <x:f t="shared" si="105"/>
        <x:v>320100</x:v>
      </x:c>
      <x:c r="E1701" s="25">
        <x:f t="shared" si="106"/>
        <x:v>343200</x:v>
      </x:c>
      <x:c r="F1701" s="58">
        <x:f t="shared" si="107"/>
        <x:v>365800</x:v>
      </x:c>
    </x:row>
    <x:row r="1702">
      <x:c r="B1702" s="63">
        <x:v>1800</x:v>
      </x:c>
      <x:c r="C1702" s="57">
        <x:f t="shared" si="104"/>
        <x:v>289300</x:v>
      </x:c>
      <x:c r="D1702" s="25">
        <x:f t="shared" si="105"/>
        <x:v>320100</x:v>
      </x:c>
      <x:c r="E1702" s="25">
        <x:f t="shared" si="106"/>
        <x:v>343200</x:v>
      </x:c>
      <x:c r="F1702" s="58">
        <x:f t="shared" si="107"/>
        <x:v>365800</x:v>
      </x:c>
    </x:row>
    <x:row r="1703">
      <x:c r="B1703" s="63">
        <x:v>1801</x:v>
      </x:c>
      <x:c r="C1703" s="57" t="n">
        <x:f>$C$402+$J$29</x:f>
        <x:v>296600</x:v>
      </x:c>
      <x:c r="D1703" s="25" t="n">
        <x:f>$D$402+$K$29</x:f>
        <x:v>328200</x:v>
      </x:c>
      <x:c r="E1703" s="25" t="n">
        <x:f>$E$402+$L$29</x:f>
        <x:v>351900</x:v>
      </x:c>
      <x:c r="F1703" s="58" t="n">
        <x:f>$F$402+$M$29</x:f>
        <x:v>375100</x:v>
      </x:c>
    </x:row>
    <x:row r="1704">
      <x:c r="B1704" s="63">
        <x:v>1802</x:v>
      </x:c>
      <x:c r="C1704" s="57" t="n">
        <x:f t="shared" ref="C1704:C1752" si="108">$C$402+$J$29</x:f>
        <x:v>296600</x:v>
      </x:c>
      <x:c r="D1704" s="25" t="n">
        <x:f t="shared" ref="D1704:D1752" si="109">$D$402+$K$29</x:f>
        <x:v>328200</x:v>
      </x:c>
      <x:c r="E1704" s="25" t="n">
        <x:f t="shared" ref="E1704:E1752" si="110">$E$402+$L$29</x:f>
        <x:v>351900</x:v>
      </x:c>
      <x:c r="F1704" s="58" t="n">
        <x:f t="shared" ref="F1704:F1752" si="111">$F$402+$M$29</x:f>
        <x:v>375100</x:v>
      </x:c>
    </x:row>
    <x:row r="1705">
      <x:c r="B1705" s="63">
        <x:v>1803</x:v>
      </x:c>
      <x:c r="C1705" s="57">
        <x:f t="shared" si="108"/>
        <x:v>296600</x:v>
      </x:c>
      <x:c r="D1705" s="25">
        <x:f t="shared" si="109"/>
        <x:v>328200</x:v>
      </x:c>
      <x:c r="E1705" s="25">
        <x:f t="shared" si="110"/>
        <x:v>351900</x:v>
      </x:c>
      <x:c r="F1705" s="58">
        <x:f t="shared" si="111"/>
        <x:v>375100</x:v>
      </x:c>
    </x:row>
    <x:row r="1706">
      <x:c r="B1706" s="63">
        <x:v>1804</x:v>
      </x:c>
      <x:c r="C1706" s="57">
        <x:f t="shared" si="108"/>
        <x:v>296600</x:v>
      </x:c>
      <x:c r="D1706" s="25">
        <x:f t="shared" si="109"/>
        <x:v>328200</x:v>
      </x:c>
      <x:c r="E1706" s="25">
        <x:f t="shared" si="110"/>
        <x:v>351900</x:v>
      </x:c>
      <x:c r="F1706" s="58">
        <x:f t="shared" si="111"/>
        <x:v>375100</x:v>
      </x:c>
    </x:row>
    <x:row r="1707">
      <x:c r="B1707" s="63">
        <x:v>1805</x:v>
      </x:c>
      <x:c r="C1707" s="57">
        <x:f t="shared" si="108"/>
        <x:v>296600</x:v>
      </x:c>
      <x:c r="D1707" s="25">
        <x:f t="shared" si="109"/>
        <x:v>328200</x:v>
      </x:c>
      <x:c r="E1707" s="25">
        <x:f t="shared" si="110"/>
        <x:v>351900</x:v>
      </x:c>
      <x:c r="F1707" s="58">
        <x:f t="shared" si="111"/>
        <x:v>375100</x:v>
      </x:c>
    </x:row>
    <x:row r="1708">
      <x:c r="B1708" s="63">
        <x:v>1806</x:v>
      </x:c>
      <x:c r="C1708" s="57">
        <x:f t="shared" si="108"/>
        <x:v>296600</x:v>
      </x:c>
      <x:c r="D1708" s="25">
        <x:f t="shared" si="109"/>
        <x:v>328200</x:v>
      </x:c>
      <x:c r="E1708" s="25">
        <x:f t="shared" si="110"/>
        <x:v>351900</x:v>
      </x:c>
      <x:c r="F1708" s="58">
        <x:f t="shared" si="111"/>
        <x:v>375100</x:v>
      </x:c>
    </x:row>
    <x:row r="1709">
      <x:c r="B1709" s="63">
        <x:v>1807</x:v>
      </x:c>
      <x:c r="C1709" s="57">
        <x:f t="shared" si="108"/>
        <x:v>296600</x:v>
      </x:c>
      <x:c r="D1709" s="25">
        <x:f t="shared" si="109"/>
        <x:v>328200</x:v>
      </x:c>
      <x:c r="E1709" s="25">
        <x:f t="shared" si="110"/>
        <x:v>351900</x:v>
      </x:c>
      <x:c r="F1709" s="58">
        <x:f t="shared" si="111"/>
        <x:v>375100</x:v>
      </x:c>
    </x:row>
    <x:row r="1710">
      <x:c r="B1710" s="63">
        <x:v>1808</x:v>
      </x:c>
      <x:c r="C1710" s="57">
        <x:f t="shared" si="108"/>
        <x:v>296600</x:v>
      </x:c>
      <x:c r="D1710" s="25">
        <x:f t="shared" si="109"/>
        <x:v>328200</x:v>
      </x:c>
      <x:c r="E1710" s="25">
        <x:f t="shared" si="110"/>
        <x:v>351900</x:v>
      </x:c>
      <x:c r="F1710" s="58">
        <x:f t="shared" si="111"/>
        <x:v>375100</x:v>
      </x:c>
    </x:row>
    <x:row r="1711">
      <x:c r="B1711" s="63">
        <x:v>1809</x:v>
      </x:c>
      <x:c r="C1711" s="57">
        <x:f t="shared" si="108"/>
        <x:v>296600</x:v>
      </x:c>
      <x:c r="D1711" s="25">
        <x:f t="shared" si="109"/>
        <x:v>328200</x:v>
      </x:c>
      <x:c r="E1711" s="25">
        <x:f t="shared" si="110"/>
        <x:v>351900</x:v>
      </x:c>
      <x:c r="F1711" s="58">
        <x:f t="shared" si="111"/>
        <x:v>375100</x:v>
      </x:c>
    </x:row>
    <x:row r="1712">
      <x:c r="B1712" s="63">
        <x:v>1810</x:v>
      </x:c>
      <x:c r="C1712" s="57">
        <x:f t="shared" si="108"/>
        <x:v>296600</x:v>
      </x:c>
      <x:c r="D1712" s="25">
        <x:f t="shared" si="109"/>
        <x:v>328200</x:v>
      </x:c>
      <x:c r="E1712" s="25">
        <x:f t="shared" si="110"/>
        <x:v>351900</x:v>
      </x:c>
      <x:c r="F1712" s="58">
        <x:f t="shared" si="111"/>
        <x:v>375100</x:v>
      </x:c>
    </x:row>
    <x:row r="1713">
      <x:c r="B1713" s="63">
        <x:v>1811</x:v>
      </x:c>
      <x:c r="C1713" s="57">
        <x:f t="shared" si="108"/>
        <x:v>296600</x:v>
      </x:c>
      <x:c r="D1713" s="25">
        <x:f t="shared" si="109"/>
        <x:v>328200</x:v>
      </x:c>
      <x:c r="E1713" s="25">
        <x:f t="shared" si="110"/>
        <x:v>351900</x:v>
      </x:c>
      <x:c r="F1713" s="58">
        <x:f t="shared" si="111"/>
        <x:v>375100</x:v>
      </x:c>
    </x:row>
    <x:row r="1714">
      <x:c r="B1714" s="63">
        <x:v>1812</x:v>
      </x:c>
      <x:c r="C1714" s="57">
        <x:f t="shared" si="108"/>
        <x:v>296600</x:v>
      </x:c>
      <x:c r="D1714" s="25">
        <x:f t="shared" si="109"/>
        <x:v>328200</x:v>
      </x:c>
      <x:c r="E1714" s="25">
        <x:f t="shared" si="110"/>
        <x:v>351900</x:v>
      </x:c>
      <x:c r="F1714" s="58">
        <x:f t="shared" si="111"/>
        <x:v>375100</x:v>
      </x:c>
    </x:row>
    <x:row r="1715">
      <x:c r="B1715" s="63">
        <x:v>1813</x:v>
      </x:c>
      <x:c r="C1715" s="57">
        <x:f t="shared" si="108"/>
        <x:v>296600</x:v>
      </x:c>
      <x:c r="D1715" s="25">
        <x:f t="shared" si="109"/>
        <x:v>328200</x:v>
      </x:c>
      <x:c r="E1715" s="25">
        <x:f t="shared" si="110"/>
        <x:v>351900</x:v>
      </x:c>
      <x:c r="F1715" s="58">
        <x:f t="shared" si="111"/>
        <x:v>375100</x:v>
      </x:c>
    </x:row>
    <x:row r="1716">
      <x:c r="B1716" s="63">
        <x:v>1814</x:v>
      </x:c>
      <x:c r="C1716" s="57">
        <x:f t="shared" si="108"/>
        <x:v>296600</x:v>
      </x:c>
      <x:c r="D1716" s="25">
        <x:f t="shared" si="109"/>
        <x:v>328200</x:v>
      </x:c>
      <x:c r="E1716" s="25">
        <x:f t="shared" si="110"/>
        <x:v>351900</x:v>
      </x:c>
      <x:c r="F1716" s="58">
        <x:f t="shared" si="111"/>
        <x:v>375100</x:v>
      </x:c>
    </x:row>
    <x:row r="1717">
      <x:c r="B1717" s="63">
        <x:v>1815</x:v>
      </x:c>
      <x:c r="C1717" s="57">
        <x:f t="shared" si="108"/>
        <x:v>296600</x:v>
      </x:c>
      <x:c r="D1717" s="25">
        <x:f t="shared" si="109"/>
        <x:v>328200</x:v>
      </x:c>
      <x:c r="E1717" s="25">
        <x:f t="shared" si="110"/>
        <x:v>351900</x:v>
      </x:c>
      <x:c r="F1717" s="58">
        <x:f t="shared" si="111"/>
        <x:v>375100</x:v>
      </x:c>
    </x:row>
    <x:row r="1718">
      <x:c r="B1718" s="63">
        <x:v>1816</x:v>
      </x:c>
      <x:c r="C1718" s="57">
        <x:f t="shared" si="108"/>
        <x:v>296600</x:v>
      </x:c>
      <x:c r="D1718" s="25">
        <x:f t="shared" si="109"/>
        <x:v>328200</x:v>
      </x:c>
      <x:c r="E1718" s="25">
        <x:f t="shared" si="110"/>
        <x:v>351900</x:v>
      </x:c>
      <x:c r="F1718" s="58">
        <x:f t="shared" si="111"/>
        <x:v>375100</x:v>
      </x:c>
    </x:row>
    <x:row r="1719">
      <x:c r="B1719" s="63">
        <x:v>1817</x:v>
      </x:c>
      <x:c r="C1719" s="57">
        <x:f t="shared" si="108"/>
        <x:v>296600</x:v>
      </x:c>
      <x:c r="D1719" s="25">
        <x:f t="shared" si="109"/>
        <x:v>328200</x:v>
      </x:c>
      <x:c r="E1719" s="25">
        <x:f t="shared" si="110"/>
        <x:v>351900</x:v>
      </x:c>
      <x:c r="F1719" s="58">
        <x:f t="shared" si="111"/>
        <x:v>375100</x:v>
      </x:c>
    </x:row>
    <x:row r="1720">
      <x:c r="B1720" s="63">
        <x:v>1818</x:v>
      </x:c>
      <x:c r="C1720" s="57">
        <x:f t="shared" si="108"/>
        <x:v>296600</x:v>
      </x:c>
      <x:c r="D1720" s="25">
        <x:f t="shared" si="109"/>
        <x:v>328200</x:v>
      </x:c>
      <x:c r="E1720" s="25">
        <x:f t="shared" si="110"/>
        <x:v>351900</x:v>
      </x:c>
      <x:c r="F1720" s="58">
        <x:f t="shared" si="111"/>
        <x:v>375100</x:v>
      </x:c>
    </x:row>
    <x:row r="1721">
      <x:c r="B1721" s="63">
        <x:v>1819</x:v>
      </x:c>
      <x:c r="C1721" s="57">
        <x:f t="shared" si="108"/>
        <x:v>296600</x:v>
      </x:c>
      <x:c r="D1721" s="25">
        <x:f t="shared" si="109"/>
        <x:v>328200</x:v>
      </x:c>
      <x:c r="E1721" s="25">
        <x:f t="shared" si="110"/>
        <x:v>351900</x:v>
      </x:c>
      <x:c r="F1721" s="58">
        <x:f t="shared" si="111"/>
        <x:v>375100</x:v>
      </x:c>
    </x:row>
    <x:row r="1722">
      <x:c r="B1722" s="63">
        <x:v>1820</x:v>
      </x:c>
      <x:c r="C1722" s="57">
        <x:f t="shared" si="108"/>
        <x:v>296600</x:v>
      </x:c>
      <x:c r="D1722" s="25">
        <x:f t="shared" si="109"/>
        <x:v>328200</x:v>
      </x:c>
      <x:c r="E1722" s="25">
        <x:f t="shared" si="110"/>
        <x:v>351900</x:v>
      </x:c>
      <x:c r="F1722" s="58">
        <x:f t="shared" si="111"/>
        <x:v>375100</x:v>
      </x:c>
    </x:row>
    <x:row r="1723">
      <x:c r="B1723" s="63">
        <x:v>1821</x:v>
      </x:c>
      <x:c r="C1723" s="57">
        <x:f t="shared" si="108"/>
        <x:v>296600</x:v>
      </x:c>
      <x:c r="D1723" s="25">
        <x:f t="shared" si="109"/>
        <x:v>328200</x:v>
      </x:c>
      <x:c r="E1723" s="25">
        <x:f t="shared" si="110"/>
        <x:v>351900</x:v>
      </x:c>
      <x:c r="F1723" s="58">
        <x:f t="shared" si="111"/>
        <x:v>375100</x:v>
      </x:c>
    </x:row>
    <x:row r="1724">
      <x:c r="B1724" s="63">
        <x:v>1822</x:v>
      </x:c>
      <x:c r="C1724" s="57">
        <x:f t="shared" si="108"/>
        <x:v>296600</x:v>
      </x:c>
      <x:c r="D1724" s="25">
        <x:f t="shared" si="109"/>
        <x:v>328200</x:v>
      </x:c>
      <x:c r="E1724" s="25">
        <x:f t="shared" si="110"/>
        <x:v>351900</x:v>
      </x:c>
      <x:c r="F1724" s="58">
        <x:f t="shared" si="111"/>
        <x:v>375100</x:v>
      </x:c>
    </x:row>
    <x:row r="1725">
      <x:c r="B1725" s="63">
        <x:v>1823</x:v>
      </x:c>
      <x:c r="C1725" s="57">
        <x:f t="shared" si="108"/>
        <x:v>296600</x:v>
      </x:c>
      <x:c r="D1725" s="25">
        <x:f t="shared" si="109"/>
        <x:v>328200</x:v>
      </x:c>
      <x:c r="E1725" s="25">
        <x:f t="shared" si="110"/>
        <x:v>351900</x:v>
      </x:c>
      <x:c r="F1725" s="58">
        <x:f t="shared" si="111"/>
        <x:v>375100</x:v>
      </x:c>
    </x:row>
    <x:row r="1726">
      <x:c r="B1726" s="63">
        <x:v>1824</x:v>
      </x:c>
      <x:c r="C1726" s="57">
        <x:f t="shared" si="108"/>
        <x:v>296600</x:v>
      </x:c>
      <x:c r="D1726" s="25">
        <x:f t="shared" si="109"/>
        <x:v>328200</x:v>
      </x:c>
      <x:c r="E1726" s="25">
        <x:f t="shared" si="110"/>
        <x:v>351900</x:v>
      </x:c>
      <x:c r="F1726" s="58">
        <x:f t="shared" si="111"/>
        <x:v>375100</x:v>
      </x:c>
    </x:row>
    <x:row r="1727">
      <x:c r="B1727" s="63">
        <x:v>1825</x:v>
      </x:c>
      <x:c r="C1727" s="57">
        <x:f t="shared" si="108"/>
        <x:v>296600</x:v>
      </x:c>
      <x:c r="D1727" s="25">
        <x:f t="shared" si="109"/>
        <x:v>328200</x:v>
      </x:c>
      <x:c r="E1727" s="25">
        <x:f t="shared" si="110"/>
        <x:v>351900</x:v>
      </x:c>
      <x:c r="F1727" s="58">
        <x:f t="shared" si="111"/>
        <x:v>375100</x:v>
      </x:c>
    </x:row>
    <x:row r="1728">
      <x:c r="B1728" s="63">
        <x:v>1826</x:v>
      </x:c>
      <x:c r="C1728" s="57">
        <x:f t="shared" si="108"/>
        <x:v>296600</x:v>
      </x:c>
      <x:c r="D1728" s="25">
        <x:f t="shared" si="109"/>
        <x:v>328200</x:v>
      </x:c>
      <x:c r="E1728" s="25">
        <x:f t="shared" si="110"/>
        <x:v>351900</x:v>
      </x:c>
      <x:c r="F1728" s="58">
        <x:f t="shared" si="111"/>
        <x:v>375100</x:v>
      </x:c>
    </x:row>
    <x:row r="1729">
      <x:c r="B1729" s="63">
        <x:v>1827</x:v>
      </x:c>
      <x:c r="C1729" s="57">
        <x:f t="shared" si="108"/>
        <x:v>296600</x:v>
      </x:c>
      <x:c r="D1729" s="25">
        <x:f t="shared" si="109"/>
        <x:v>328200</x:v>
      </x:c>
      <x:c r="E1729" s="25">
        <x:f t="shared" si="110"/>
        <x:v>351900</x:v>
      </x:c>
      <x:c r="F1729" s="58">
        <x:f t="shared" si="111"/>
        <x:v>375100</x:v>
      </x:c>
    </x:row>
    <x:row r="1730">
      <x:c r="B1730" s="63">
        <x:v>1828</x:v>
      </x:c>
      <x:c r="C1730" s="57">
        <x:f t="shared" si="108"/>
        <x:v>296600</x:v>
      </x:c>
      <x:c r="D1730" s="25">
        <x:f t="shared" si="109"/>
        <x:v>328200</x:v>
      </x:c>
      <x:c r="E1730" s="25">
        <x:f t="shared" si="110"/>
        <x:v>351900</x:v>
      </x:c>
      <x:c r="F1730" s="58">
        <x:f t="shared" si="111"/>
        <x:v>375100</x:v>
      </x:c>
    </x:row>
    <x:row r="1731">
      <x:c r="B1731" s="63">
        <x:v>1829</x:v>
      </x:c>
      <x:c r="C1731" s="57">
        <x:f t="shared" si="108"/>
        <x:v>296600</x:v>
      </x:c>
      <x:c r="D1731" s="25">
        <x:f t="shared" si="109"/>
        <x:v>328200</x:v>
      </x:c>
      <x:c r="E1731" s="25">
        <x:f t="shared" si="110"/>
        <x:v>351900</x:v>
      </x:c>
      <x:c r="F1731" s="58">
        <x:f t="shared" si="111"/>
        <x:v>375100</x:v>
      </x:c>
    </x:row>
    <x:row r="1732">
      <x:c r="B1732" s="63">
        <x:v>1830</x:v>
      </x:c>
      <x:c r="C1732" s="57">
        <x:f t="shared" si="108"/>
        <x:v>296600</x:v>
      </x:c>
      <x:c r="D1732" s="25">
        <x:f t="shared" si="109"/>
        <x:v>328200</x:v>
      </x:c>
      <x:c r="E1732" s="25">
        <x:f t="shared" si="110"/>
        <x:v>351900</x:v>
      </x:c>
      <x:c r="F1732" s="58">
        <x:f t="shared" si="111"/>
        <x:v>375100</x:v>
      </x:c>
    </x:row>
    <x:row r="1733">
      <x:c r="B1733" s="63">
        <x:v>1831</x:v>
      </x:c>
      <x:c r="C1733" s="57">
        <x:f t="shared" si="108"/>
        <x:v>296600</x:v>
      </x:c>
      <x:c r="D1733" s="25">
        <x:f t="shared" si="109"/>
        <x:v>328200</x:v>
      </x:c>
      <x:c r="E1733" s="25">
        <x:f t="shared" si="110"/>
        <x:v>351900</x:v>
      </x:c>
      <x:c r="F1733" s="58">
        <x:f t="shared" si="111"/>
        <x:v>375100</x:v>
      </x:c>
    </x:row>
    <x:row r="1734">
      <x:c r="B1734" s="63">
        <x:v>1832</x:v>
      </x:c>
      <x:c r="C1734" s="57">
        <x:f t="shared" si="108"/>
        <x:v>296600</x:v>
      </x:c>
      <x:c r="D1734" s="25">
        <x:f t="shared" si="109"/>
        <x:v>328200</x:v>
      </x:c>
      <x:c r="E1734" s="25">
        <x:f t="shared" si="110"/>
        <x:v>351900</x:v>
      </x:c>
      <x:c r="F1734" s="58">
        <x:f t="shared" si="111"/>
        <x:v>375100</x:v>
      </x:c>
    </x:row>
    <x:row r="1735">
      <x:c r="B1735" s="63">
        <x:v>1833</x:v>
      </x:c>
      <x:c r="C1735" s="57">
        <x:f t="shared" si="108"/>
        <x:v>296600</x:v>
      </x:c>
      <x:c r="D1735" s="25">
        <x:f t="shared" si="109"/>
        <x:v>328200</x:v>
      </x:c>
      <x:c r="E1735" s="25">
        <x:f t="shared" si="110"/>
        <x:v>351900</x:v>
      </x:c>
      <x:c r="F1735" s="58">
        <x:f t="shared" si="111"/>
        <x:v>375100</x:v>
      </x:c>
    </x:row>
    <x:row r="1736">
      <x:c r="B1736" s="63">
        <x:v>1834</x:v>
      </x:c>
      <x:c r="C1736" s="57">
        <x:f t="shared" si="108"/>
        <x:v>296600</x:v>
      </x:c>
      <x:c r="D1736" s="25">
        <x:f t="shared" si="109"/>
        <x:v>328200</x:v>
      </x:c>
      <x:c r="E1736" s="25">
        <x:f t="shared" si="110"/>
        <x:v>351900</x:v>
      </x:c>
      <x:c r="F1736" s="58">
        <x:f t="shared" si="111"/>
        <x:v>375100</x:v>
      </x:c>
    </x:row>
    <x:row r="1737">
      <x:c r="B1737" s="63">
        <x:v>1835</x:v>
      </x:c>
      <x:c r="C1737" s="57">
        <x:f t="shared" si="108"/>
        <x:v>296600</x:v>
      </x:c>
      <x:c r="D1737" s="25">
        <x:f t="shared" si="109"/>
        <x:v>328200</x:v>
      </x:c>
      <x:c r="E1737" s="25">
        <x:f t="shared" si="110"/>
        <x:v>351900</x:v>
      </x:c>
      <x:c r="F1737" s="58">
        <x:f t="shared" si="111"/>
        <x:v>375100</x:v>
      </x:c>
    </x:row>
    <x:row r="1738">
      <x:c r="B1738" s="63">
        <x:v>1836</x:v>
      </x:c>
      <x:c r="C1738" s="57">
        <x:f t="shared" si="108"/>
        <x:v>296600</x:v>
      </x:c>
      <x:c r="D1738" s="25">
        <x:f t="shared" si="109"/>
        <x:v>328200</x:v>
      </x:c>
      <x:c r="E1738" s="25">
        <x:f t="shared" si="110"/>
        <x:v>351900</x:v>
      </x:c>
      <x:c r="F1738" s="58">
        <x:f t="shared" si="111"/>
        <x:v>375100</x:v>
      </x:c>
    </x:row>
    <x:row r="1739">
      <x:c r="B1739" s="63">
        <x:v>1837</x:v>
      </x:c>
      <x:c r="C1739" s="57">
        <x:f t="shared" si="108"/>
        <x:v>296600</x:v>
      </x:c>
      <x:c r="D1739" s="25">
        <x:f t="shared" si="109"/>
        <x:v>328200</x:v>
      </x:c>
      <x:c r="E1739" s="25">
        <x:f t="shared" si="110"/>
        <x:v>351900</x:v>
      </x:c>
      <x:c r="F1739" s="58">
        <x:f t="shared" si="111"/>
        <x:v>375100</x:v>
      </x:c>
    </x:row>
    <x:row r="1740">
      <x:c r="B1740" s="63">
        <x:v>1838</x:v>
      </x:c>
      <x:c r="C1740" s="57">
        <x:f t="shared" si="108"/>
        <x:v>296600</x:v>
      </x:c>
      <x:c r="D1740" s="25">
        <x:f t="shared" si="109"/>
        <x:v>328200</x:v>
      </x:c>
      <x:c r="E1740" s="25">
        <x:f t="shared" si="110"/>
        <x:v>351900</x:v>
      </x:c>
      <x:c r="F1740" s="58">
        <x:f t="shared" si="111"/>
        <x:v>375100</x:v>
      </x:c>
    </x:row>
    <x:row r="1741">
      <x:c r="B1741" s="63">
        <x:v>1839</x:v>
      </x:c>
      <x:c r="C1741" s="57">
        <x:f t="shared" si="108"/>
        <x:v>296600</x:v>
      </x:c>
      <x:c r="D1741" s="25">
        <x:f t="shared" si="109"/>
        <x:v>328200</x:v>
      </x:c>
      <x:c r="E1741" s="25">
        <x:f t="shared" si="110"/>
        <x:v>351900</x:v>
      </x:c>
      <x:c r="F1741" s="58">
        <x:f t="shared" si="111"/>
        <x:v>375100</x:v>
      </x:c>
    </x:row>
    <x:row r="1742">
      <x:c r="B1742" s="63">
        <x:v>1840</x:v>
      </x:c>
      <x:c r="C1742" s="57">
        <x:f t="shared" si="108"/>
        <x:v>296600</x:v>
      </x:c>
      <x:c r="D1742" s="25">
        <x:f t="shared" si="109"/>
        <x:v>328200</x:v>
      </x:c>
      <x:c r="E1742" s="25">
        <x:f t="shared" si="110"/>
        <x:v>351900</x:v>
      </x:c>
      <x:c r="F1742" s="58">
        <x:f t="shared" si="111"/>
        <x:v>375100</x:v>
      </x:c>
    </x:row>
    <x:row r="1743">
      <x:c r="B1743" s="63">
        <x:v>1841</x:v>
      </x:c>
      <x:c r="C1743" s="57">
        <x:f t="shared" si="108"/>
        <x:v>296600</x:v>
      </x:c>
      <x:c r="D1743" s="25">
        <x:f t="shared" si="109"/>
        <x:v>328200</x:v>
      </x:c>
      <x:c r="E1743" s="25">
        <x:f t="shared" si="110"/>
        <x:v>351900</x:v>
      </x:c>
      <x:c r="F1743" s="58">
        <x:f t="shared" si="111"/>
        <x:v>375100</x:v>
      </x:c>
    </x:row>
    <x:row r="1744">
      <x:c r="B1744" s="63">
        <x:v>1842</x:v>
      </x:c>
      <x:c r="C1744" s="57">
        <x:f t="shared" si="108"/>
        <x:v>296600</x:v>
      </x:c>
      <x:c r="D1744" s="25">
        <x:f t="shared" si="109"/>
        <x:v>328200</x:v>
      </x:c>
      <x:c r="E1744" s="25">
        <x:f t="shared" si="110"/>
        <x:v>351900</x:v>
      </x:c>
      <x:c r="F1744" s="58">
        <x:f t="shared" si="111"/>
        <x:v>375100</x:v>
      </x:c>
    </x:row>
    <x:row r="1745">
      <x:c r="B1745" s="63">
        <x:v>1843</x:v>
      </x:c>
      <x:c r="C1745" s="57">
        <x:f t="shared" si="108"/>
        <x:v>296600</x:v>
      </x:c>
      <x:c r="D1745" s="25">
        <x:f t="shared" si="109"/>
        <x:v>328200</x:v>
      </x:c>
      <x:c r="E1745" s="25">
        <x:f t="shared" si="110"/>
        <x:v>351900</x:v>
      </x:c>
      <x:c r="F1745" s="58">
        <x:f t="shared" si="111"/>
        <x:v>375100</x:v>
      </x:c>
    </x:row>
    <x:row r="1746">
      <x:c r="B1746" s="63">
        <x:v>1844</x:v>
      </x:c>
      <x:c r="C1746" s="57">
        <x:f t="shared" si="108"/>
        <x:v>296600</x:v>
      </x:c>
      <x:c r="D1746" s="25">
        <x:f t="shared" si="109"/>
        <x:v>328200</x:v>
      </x:c>
      <x:c r="E1746" s="25">
        <x:f t="shared" si="110"/>
        <x:v>351900</x:v>
      </x:c>
      <x:c r="F1746" s="58">
        <x:f t="shared" si="111"/>
        <x:v>375100</x:v>
      </x:c>
    </x:row>
    <x:row r="1747">
      <x:c r="B1747" s="63">
        <x:v>1845</x:v>
      </x:c>
      <x:c r="C1747" s="57">
        <x:f t="shared" si="108"/>
        <x:v>296600</x:v>
      </x:c>
      <x:c r="D1747" s="25">
        <x:f t="shared" si="109"/>
        <x:v>328200</x:v>
      </x:c>
      <x:c r="E1747" s="25">
        <x:f t="shared" si="110"/>
        <x:v>351900</x:v>
      </x:c>
      <x:c r="F1747" s="58">
        <x:f t="shared" si="111"/>
        <x:v>375100</x:v>
      </x:c>
    </x:row>
    <x:row r="1748">
      <x:c r="B1748" s="63">
        <x:v>1846</x:v>
      </x:c>
      <x:c r="C1748" s="57">
        <x:f t="shared" si="108"/>
        <x:v>296600</x:v>
      </x:c>
      <x:c r="D1748" s="25">
        <x:f t="shared" si="109"/>
        <x:v>328200</x:v>
      </x:c>
      <x:c r="E1748" s="25">
        <x:f t="shared" si="110"/>
        <x:v>351900</x:v>
      </x:c>
      <x:c r="F1748" s="58">
        <x:f t="shared" si="111"/>
        <x:v>375100</x:v>
      </x:c>
    </x:row>
    <x:row r="1749">
      <x:c r="B1749" s="63">
        <x:v>1847</x:v>
      </x:c>
      <x:c r="C1749" s="57">
        <x:f t="shared" si="108"/>
        <x:v>296600</x:v>
      </x:c>
      <x:c r="D1749" s="25">
        <x:f t="shared" si="109"/>
        <x:v>328200</x:v>
      </x:c>
      <x:c r="E1749" s="25">
        <x:f t="shared" si="110"/>
        <x:v>351900</x:v>
      </x:c>
      <x:c r="F1749" s="58">
        <x:f t="shared" si="111"/>
        <x:v>375100</x:v>
      </x:c>
    </x:row>
    <x:row r="1750">
      <x:c r="B1750" s="63">
        <x:v>1848</x:v>
      </x:c>
      <x:c r="C1750" s="57">
        <x:f t="shared" si="108"/>
        <x:v>296600</x:v>
      </x:c>
      <x:c r="D1750" s="25">
        <x:f t="shared" si="109"/>
        <x:v>328200</x:v>
      </x:c>
      <x:c r="E1750" s="25">
        <x:f t="shared" si="110"/>
        <x:v>351900</x:v>
      </x:c>
      <x:c r="F1750" s="58">
        <x:f t="shared" si="111"/>
        <x:v>375100</x:v>
      </x:c>
    </x:row>
    <x:row r="1751">
      <x:c r="B1751" s="63">
        <x:v>1849</x:v>
      </x:c>
      <x:c r="C1751" s="57">
        <x:f t="shared" si="108"/>
        <x:v>296600</x:v>
      </x:c>
      <x:c r="D1751" s="25">
        <x:f t="shared" si="109"/>
        <x:v>328200</x:v>
      </x:c>
      <x:c r="E1751" s="25">
        <x:f t="shared" si="110"/>
        <x:v>351900</x:v>
      </x:c>
      <x:c r="F1751" s="58">
        <x:f t="shared" si="111"/>
        <x:v>375100</x:v>
      </x:c>
    </x:row>
    <x:row r="1752">
      <x:c r="B1752" s="63">
        <x:v>1850</x:v>
      </x:c>
      <x:c r="C1752" s="57">
        <x:f t="shared" si="108"/>
        <x:v>296600</x:v>
      </x:c>
      <x:c r="D1752" s="25">
        <x:f t="shared" si="109"/>
        <x:v>328200</x:v>
      </x:c>
      <x:c r="E1752" s="25">
        <x:f t="shared" si="110"/>
        <x:v>351900</x:v>
      </x:c>
      <x:c r="F1752" s="58">
        <x:f t="shared" si="111"/>
        <x:v>375100</x:v>
      </x:c>
    </x:row>
    <x:row r="1753">
      <x:c r="B1753" s="63">
        <x:v>1851</x:v>
      </x:c>
      <x:c r="C1753" s="57" t="n">
        <x:f>$C$402+$J$30</x:f>
        <x:v>303900</x:v>
      </x:c>
      <x:c r="D1753" s="25" t="n">
        <x:f>$D$402+$K$30</x:f>
        <x:v>336300</x:v>
      </x:c>
      <x:c r="E1753" s="25" t="n">
        <x:f>$E$402+$L$30</x:f>
        <x:v>360600</x:v>
      </x:c>
      <x:c r="F1753" s="58" t="n">
        <x:f>$F$402+$M$30</x:f>
        <x:v>384400</x:v>
      </x:c>
    </x:row>
    <x:row r="1754">
      <x:c r="B1754" s="63">
        <x:v>1852</x:v>
      </x:c>
      <x:c r="C1754" s="57" t="n">
        <x:f t="shared" ref="C1754:C1802" si="112">$C$402+$J$30</x:f>
        <x:v>303900</x:v>
      </x:c>
      <x:c r="D1754" s="25" t="n">
        <x:f t="shared" ref="D1754:D1802" si="113">$D$402+$K$30</x:f>
        <x:v>336300</x:v>
      </x:c>
      <x:c r="E1754" s="25" t="n">
        <x:f t="shared" ref="E1754:E1802" si="114">$E$402+$L$30</x:f>
        <x:v>360600</x:v>
      </x:c>
      <x:c r="F1754" s="58" t="n">
        <x:f t="shared" ref="F1754:F1802" si="115">$F$402+$M$30</x:f>
        <x:v>384400</x:v>
      </x:c>
    </x:row>
    <x:row r="1755">
      <x:c r="B1755" s="63">
        <x:v>1853</x:v>
      </x:c>
      <x:c r="C1755" s="57">
        <x:f t="shared" si="112"/>
        <x:v>303900</x:v>
      </x:c>
      <x:c r="D1755" s="25">
        <x:f t="shared" si="113"/>
        <x:v>336300</x:v>
      </x:c>
      <x:c r="E1755" s="25">
        <x:f t="shared" si="114"/>
        <x:v>360600</x:v>
      </x:c>
      <x:c r="F1755" s="58">
        <x:f t="shared" si="115"/>
        <x:v>384400</x:v>
      </x:c>
    </x:row>
    <x:row r="1756">
      <x:c r="B1756" s="63">
        <x:v>1854</x:v>
      </x:c>
      <x:c r="C1756" s="57">
        <x:f t="shared" si="112"/>
        <x:v>303900</x:v>
      </x:c>
      <x:c r="D1756" s="25">
        <x:f t="shared" si="113"/>
        <x:v>336300</x:v>
      </x:c>
      <x:c r="E1756" s="25">
        <x:f t="shared" si="114"/>
        <x:v>360600</x:v>
      </x:c>
      <x:c r="F1756" s="58">
        <x:f t="shared" si="115"/>
        <x:v>384400</x:v>
      </x:c>
    </x:row>
    <x:row r="1757">
      <x:c r="B1757" s="63">
        <x:v>1855</x:v>
      </x:c>
      <x:c r="C1757" s="57">
        <x:f t="shared" si="112"/>
        <x:v>303900</x:v>
      </x:c>
      <x:c r="D1757" s="25">
        <x:f t="shared" si="113"/>
        <x:v>336300</x:v>
      </x:c>
      <x:c r="E1757" s="25">
        <x:f t="shared" si="114"/>
        <x:v>360600</x:v>
      </x:c>
      <x:c r="F1757" s="58">
        <x:f t="shared" si="115"/>
        <x:v>384400</x:v>
      </x:c>
    </x:row>
    <x:row r="1758">
      <x:c r="B1758" s="63">
        <x:v>1856</x:v>
      </x:c>
      <x:c r="C1758" s="57">
        <x:f t="shared" si="112"/>
        <x:v>303900</x:v>
      </x:c>
      <x:c r="D1758" s="25">
        <x:f t="shared" si="113"/>
        <x:v>336300</x:v>
      </x:c>
      <x:c r="E1758" s="25">
        <x:f t="shared" si="114"/>
        <x:v>360600</x:v>
      </x:c>
      <x:c r="F1758" s="58">
        <x:f t="shared" si="115"/>
        <x:v>384400</x:v>
      </x:c>
    </x:row>
    <x:row r="1759">
      <x:c r="B1759" s="63">
        <x:v>1857</x:v>
      </x:c>
      <x:c r="C1759" s="57">
        <x:f t="shared" si="112"/>
        <x:v>303900</x:v>
      </x:c>
      <x:c r="D1759" s="25">
        <x:f t="shared" si="113"/>
        <x:v>336300</x:v>
      </x:c>
      <x:c r="E1759" s="25">
        <x:f t="shared" si="114"/>
        <x:v>360600</x:v>
      </x:c>
      <x:c r="F1759" s="58">
        <x:f t="shared" si="115"/>
        <x:v>384400</x:v>
      </x:c>
    </x:row>
    <x:row r="1760">
      <x:c r="B1760" s="63">
        <x:v>1858</x:v>
      </x:c>
      <x:c r="C1760" s="57">
        <x:f t="shared" si="112"/>
        <x:v>303900</x:v>
      </x:c>
      <x:c r="D1760" s="25">
        <x:f t="shared" si="113"/>
        <x:v>336300</x:v>
      </x:c>
      <x:c r="E1760" s="25">
        <x:f t="shared" si="114"/>
        <x:v>360600</x:v>
      </x:c>
      <x:c r="F1760" s="58">
        <x:f t="shared" si="115"/>
        <x:v>384400</x:v>
      </x:c>
    </x:row>
    <x:row r="1761">
      <x:c r="B1761" s="63">
        <x:v>1859</x:v>
      </x:c>
      <x:c r="C1761" s="57">
        <x:f t="shared" si="112"/>
        <x:v>303900</x:v>
      </x:c>
      <x:c r="D1761" s="25">
        <x:f t="shared" si="113"/>
        <x:v>336300</x:v>
      </x:c>
      <x:c r="E1761" s="25">
        <x:f t="shared" si="114"/>
        <x:v>360600</x:v>
      </x:c>
      <x:c r="F1761" s="58">
        <x:f t="shared" si="115"/>
        <x:v>384400</x:v>
      </x:c>
    </x:row>
    <x:row r="1762">
      <x:c r="B1762" s="63">
        <x:v>1860</x:v>
      </x:c>
      <x:c r="C1762" s="57">
        <x:f t="shared" si="112"/>
        <x:v>303900</x:v>
      </x:c>
      <x:c r="D1762" s="25">
        <x:f t="shared" si="113"/>
        <x:v>336300</x:v>
      </x:c>
      <x:c r="E1762" s="25">
        <x:f t="shared" si="114"/>
        <x:v>360600</x:v>
      </x:c>
      <x:c r="F1762" s="58">
        <x:f t="shared" si="115"/>
        <x:v>384400</x:v>
      </x:c>
    </x:row>
    <x:row r="1763">
      <x:c r="B1763" s="63">
        <x:v>1861</x:v>
      </x:c>
      <x:c r="C1763" s="57">
        <x:f t="shared" si="112"/>
        <x:v>303900</x:v>
      </x:c>
      <x:c r="D1763" s="25">
        <x:f t="shared" si="113"/>
        <x:v>336300</x:v>
      </x:c>
      <x:c r="E1763" s="25">
        <x:f t="shared" si="114"/>
        <x:v>360600</x:v>
      </x:c>
      <x:c r="F1763" s="58">
        <x:f t="shared" si="115"/>
        <x:v>384400</x:v>
      </x:c>
    </x:row>
    <x:row r="1764">
      <x:c r="B1764" s="63">
        <x:v>1862</x:v>
      </x:c>
      <x:c r="C1764" s="57">
        <x:f t="shared" si="112"/>
        <x:v>303900</x:v>
      </x:c>
      <x:c r="D1764" s="25">
        <x:f t="shared" si="113"/>
        <x:v>336300</x:v>
      </x:c>
      <x:c r="E1764" s="25">
        <x:f t="shared" si="114"/>
        <x:v>360600</x:v>
      </x:c>
      <x:c r="F1764" s="58">
        <x:f t="shared" si="115"/>
        <x:v>384400</x:v>
      </x:c>
    </x:row>
    <x:row r="1765">
      <x:c r="B1765" s="63">
        <x:v>1863</x:v>
      </x:c>
      <x:c r="C1765" s="57">
        <x:f t="shared" si="112"/>
        <x:v>303900</x:v>
      </x:c>
      <x:c r="D1765" s="25">
        <x:f t="shared" si="113"/>
        <x:v>336300</x:v>
      </x:c>
      <x:c r="E1765" s="25">
        <x:f t="shared" si="114"/>
        <x:v>360600</x:v>
      </x:c>
      <x:c r="F1765" s="58">
        <x:f t="shared" si="115"/>
        <x:v>384400</x:v>
      </x:c>
    </x:row>
    <x:row r="1766">
      <x:c r="B1766" s="63">
        <x:v>1864</x:v>
      </x:c>
      <x:c r="C1766" s="57">
        <x:f t="shared" si="112"/>
        <x:v>303900</x:v>
      </x:c>
      <x:c r="D1766" s="25">
        <x:f t="shared" si="113"/>
        <x:v>336300</x:v>
      </x:c>
      <x:c r="E1766" s="25">
        <x:f t="shared" si="114"/>
        <x:v>360600</x:v>
      </x:c>
      <x:c r="F1766" s="58">
        <x:f t="shared" si="115"/>
        <x:v>384400</x:v>
      </x:c>
    </x:row>
    <x:row r="1767">
      <x:c r="B1767" s="63">
        <x:v>1865</x:v>
      </x:c>
      <x:c r="C1767" s="57">
        <x:f t="shared" si="112"/>
        <x:v>303900</x:v>
      </x:c>
      <x:c r="D1767" s="25">
        <x:f t="shared" si="113"/>
        <x:v>336300</x:v>
      </x:c>
      <x:c r="E1767" s="25">
        <x:f t="shared" si="114"/>
        <x:v>360600</x:v>
      </x:c>
      <x:c r="F1767" s="58">
        <x:f t="shared" si="115"/>
        <x:v>384400</x:v>
      </x:c>
    </x:row>
    <x:row r="1768">
      <x:c r="B1768" s="63">
        <x:v>1866</x:v>
      </x:c>
      <x:c r="C1768" s="57">
        <x:f t="shared" si="112"/>
        <x:v>303900</x:v>
      </x:c>
      <x:c r="D1768" s="25">
        <x:f t="shared" si="113"/>
        <x:v>336300</x:v>
      </x:c>
      <x:c r="E1768" s="25">
        <x:f t="shared" si="114"/>
        <x:v>360600</x:v>
      </x:c>
      <x:c r="F1768" s="58">
        <x:f t="shared" si="115"/>
        <x:v>384400</x:v>
      </x:c>
    </x:row>
    <x:row r="1769">
      <x:c r="B1769" s="63">
        <x:v>1867</x:v>
      </x:c>
      <x:c r="C1769" s="57">
        <x:f t="shared" si="112"/>
        <x:v>303900</x:v>
      </x:c>
      <x:c r="D1769" s="25">
        <x:f t="shared" si="113"/>
        <x:v>336300</x:v>
      </x:c>
      <x:c r="E1769" s="25">
        <x:f t="shared" si="114"/>
        <x:v>360600</x:v>
      </x:c>
      <x:c r="F1769" s="58">
        <x:f t="shared" si="115"/>
        <x:v>384400</x:v>
      </x:c>
    </x:row>
    <x:row r="1770">
      <x:c r="B1770" s="63">
        <x:v>1868</x:v>
      </x:c>
      <x:c r="C1770" s="57">
        <x:f t="shared" si="112"/>
        <x:v>303900</x:v>
      </x:c>
      <x:c r="D1770" s="25">
        <x:f t="shared" si="113"/>
        <x:v>336300</x:v>
      </x:c>
      <x:c r="E1770" s="25">
        <x:f t="shared" si="114"/>
        <x:v>360600</x:v>
      </x:c>
      <x:c r="F1770" s="58">
        <x:f t="shared" si="115"/>
        <x:v>384400</x:v>
      </x:c>
    </x:row>
    <x:row r="1771">
      <x:c r="B1771" s="63">
        <x:v>1869</x:v>
      </x:c>
      <x:c r="C1771" s="57">
        <x:f t="shared" si="112"/>
        <x:v>303900</x:v>
      </x:c>
      <x:c r="D1771" s="25">
        <x:f t="shared" si="113"/>
        <x:v>336300</x:v>
      </x:c>
      <x:c r="E1771" s="25">
        <x:f t="shared" si="114"/>
        <x:v>360600</x:v>
      </x:c>
      <x:c r="F1771" s="58">
        <x:f t="shared" si="115"/>
        <x:v>384400</x:v>
      </x:c>
    </x:row>
    <x:row r="1772">
      <x:c r="B1772" s="63">
        <x:v>1870</x:v>
      </x:c>
      <x:c r="C1772" s="57">
        <x:f t="shared" si="112"/>
        <x:v>303900</x:v>
      </x:c>
      <x:c r="D1772" s="25">
        <x:f t="shared" si="113"/>
        <x:v>336300</x:v>
      </x:c>
      <x:c r="E1772" s="25">
        <x:f t="shared" si="114"/>
        <x:v>360600</x:v>
      </x:c>
      <x:c r="F1772" s="58">
        <x:f t="shared" si="115"/>
        <x:v>384400</x:v>
      </x:c>
    </x:row>
    <x:row r="1773">
      <x:c r="B1773" s="63">
        <x:v>1871</x:v>
      </x:c>
      <x:c r="C1773" s="57">
        <x:f t="shared" si="112"/>
        <x:v>303900</x:v>
      </x:c>
      <x:c r="D1773" s="25">
        <x:f t="shared" si="113"/>
        <x:v>336300</x:v>
      </x:c>
      <x:c r="E1773" s="25">
        <x:f t="shared" si="114"/>
        <x:v>360600</x:v>
      </x:c>
      <x:c r="F1773" s="58">
        <x:f t="shared" si="115"/>
        <x:v>384400</x:v>
      </x:c>
    </x:row>
    <x:row r="1774">
      <x:c r="B1774" s="63">
        <x:v>1872</x:v>
      </x:c>
      <x:c r="C1774" s="57">
        <x:f t="shared" si="112"/>
        <x:v>303900</x:v>
      </x:c>
      <x:c r="D1774" s="25">
        <x:f t="shared" si="113"/>
        <x:v>336300</x:v>
      </x:c>
      <x:c r="E1774" s="25">
        <x:f t="shared" si="114"/>
        <x:v>360600</x:v>
      </x:c>
      <x:c r="F1774" s="58">
        <x:f t="shared" si="115"/>
        <x:v>384400</x:v>
      </x:c>
    </x:row>
    <x:row r="1775">
      <x:c r="B1775" s="63">
        <x:v>1873</x:v>
      </x:c>
      <x:c r="C1775" s="57">
        <x:f t="shared" si="112"/>
        <x:v>303900</x:v>
      </x:c>
      <x:c r="D1775" s="25">
        <x:f t="shared" si="113"/>
        <x:v>336300</x:v>
      </x:c>
      <x:c r="E1775" s="25">
        <x:f t="shared" si="114"/>
        <x:v>360600</x:v>
      </x:c>
      <x:c r="F1775" s="58">
        <x:f t="shared" si="115"/>
        <x:v>384400</x:v>
      </x:c>
    </x:row>
    <x:row r="1776">
      <x:c r="B1776" s="63">
        <x:v>1874</x:v>
      </x:c>
      <x:c r="C1776" s="57">
        <x:f t="shared" si="112"/>
        <x:v>303900</x:v>
      </x:c>
      <x:c r="D1776" s="25">
        <x:f t="shared" si="113"/>
        <x:v>336300</x:v>
      </x:c>
      <x:c r="E1776" s="25">
        <x:f t="shared" si="114"/>
        <x:v>360600</x:v>
      </x:c>
      <x:c r="F1776" s="58">
        <x:f t="shared" si="115"/>
        <x:v>384400</x:v>
      </x:c>
    </x:row>
    <x:row r="1777">
      <x:c r="B1777" s="63">
        <x:v>1875</x:v>
      </x:c>
      <x:c r="C1777" s="57">
        <x:f t="shared" si="112"/>
        <x:v>303900</x:v>
      </x:c>
      <x:c r="D1777" s="25">
        <x:f t="shared" si="113"/>
        <x:v>336300</x:v>
      </x:c>
      <x:c r="E1777" s="25">
        <x:f t="shared" si="114"/>
        <x:v>360600</x:v>
      </x:c>
      <x:c r="F1777" s="58">
        <x:f t="shared" si="115"/>
        <x:v>384400</x:v>
      </x:c>
    </x:row>
    <x:row r="1778">
      <x:c r="B1778" s="63">
        <x:v>1876</x:v>
      </x:c>
      <x:c r="C1778" s="57">
        <x:f t="shared" si="112"/>
        <x:v>303900</x:v>
      </x:c>
      <x:c r="D1778" s="25">
        <x:f t="shared" si="113"/>
        <x:v>336300</x:v>
      </x:c>
      <x:c r="E1778" s="25">
        <x:f t="shared" si="114"/>
        <x:v>360600</x:v>
      </x:c>
      <x:c r="F1778" s="58">
        <x:f t="shared" si="115"/>
        <x:v>384400</x:v>
      </x:c>
    </x:row>
    <x:row r="1779">
      <x:c r="B1779" s="63">
        <x:v>1877</x:v>
      </x:c>
      <x:c r="C1779" s="57">
        <x:f t="shared" si="112"/>
        <x:v>303900</x:v>
      </x:c>
      <x:c r="D1779" s="25">
        <x:f t="shared" si="113"/>
        <x:v>336300</x:v>
      </x:c>
      <x:c r="E1779" s="25">
        <x:f t="shared" si="114"/>
        <x:v>360600</x:v>
      </x:c>
      <x:c r="F1779" s="58">
        <x:f t="shared" si="115"/>
        <x:v>384400</x:v>
      </x:c>
    </x:row>
    <x:row r="1780">
      <x:c r="B1780" s="63">
        <x:v>1878</x:v>
      </x:c>
      <x:c r="C1780" s="57">
        <x:f t="shared" si="112"/>
        <x:v>303900</x:v>
      </x:c>
      <x:c r="D1780" s="25">
        <x:f t="shared" si="113"/>
        <x:v>336300</x:v>
      </x:c>
      <x:c r="E1780" s="25">
        <x:f t="shared" si="114"/>
        <x:v>360600</x:v>
      </x:c>
      <x:c r="F1780" s="58">
        <x:f t="shared" si="115"/>
        <x:v>384400</x:v>
      </x:c>
    </x:row>
    <x:row r="1781">
      <x:c r="B1781" s="63">
        <x:v>1879</x:v>
      </x:c>
      <x:c r="C1781" s="57">
        <x:f t="shared" si="112"/>
        <x:v>303900</x:v>
      </x:c>
      <x:c r="D1781" s="25">
        <x:f t="shared" si="113"/>
        <x:v>336300</x:v>
      </x:c>
      <x:c r="E1781" s="25">
        <x:f t="shared" si="114"/>
        <x:v>360600</x:v>
      </x:c>
      <x:c r="F1781" s="58">
        <x:f t="shared" si="115"/>
        <x:v>384400</x:v>
      </x:c>
    </x:row>
    <x:row r="1782">
      <x:c r="B1782" s="63">
        <x:v>1880</x:v>
      </x:c>
      <x:c r="C1782" s="57">
        <x:f t="shared" si="112"/>
        <x:v>303900</x:v>
      </x:c>
      <x:c r="D1782" s="25">
        <x:f t="shared" si="113"/>
        <x:v>336300</x:v>
      </x:c>
      <x:c r="E1782" s="25">
        <x:f t="shared" si="114"/>
        <x:v>360600</x:v>
      </x:c>
      <x:c r="F1782" s="58">
        <x:f t="shared" si="115"/>
        <x:v>384400</x:v>
      </x:c>
    </x:row>
    <x:row r="1783">
      <x:c r="B1783" s="63">
        <x:v>1881</x:v>
      </x:c>
      <x:c r="C1783" s="57">
        <x:f t="shared" si="112"/>
        <x:v>303900</x:v>
      </x:c>
      <x:c r="D1783" s="25">
        <x:f t="shared" si="113"/>
        <x:v>336300</x:v>
      </x:c>
      <x:c r="E1783" s="25">
        <x:f t="shared" si="114"/>
        <x:v>360600</x:v>
      </x:c>
      <x:c r="F1783" s="58">
        <x:f t="shared" si="115"/>
        <x:v>384400</x:v>
      </x:c>
    </x:row>
    <x:row r="1784">
      <x:c r="B1784" s="63">
        <x:v>1882</x:v>
      </x:c>
      <x:c r="C1784" s="57">
        <x:f t="shared" si="112"/>
        <x:v>303900</x:v>
      </x:c>
      <x:c r="D1784" s="25">
        <x:f t="shared" si="113"/>
        <x:v>336300</x:v>
      </x:c>
      <x:c r="E1784" s="25">
        <x:f t="shared" si="114"/>
        <x:v>360600</x:v>
      </x:c>
      <x:c r="F1784" s="58">
        <x:f t="shared" si="115"/>
        <x:v>384400</x:v>
      </x:c>
    </x:row>
    <x:row r="1785">
      <x:c r="B1785" s="63">
        <x:v>1883</x:v>
      </x:c>
      <x:c r="C1785" s="57">
        <x:f t="shared" si="112"/>
        <x:v>303900</x:v>
      </x:c>
      <x:c r="D1785" s="25">
        <x:f t="shared" si="113"/>
        <x:v>336300</x:v>
      </x:c>
      <x:c r="E1785" s="25">
        <x:f t="shared" si="114"/>
        <x:v>360600</x:v>
      </x:c>
      <x:c r="F1785" s="58">
        <x:f t="shared" si="115"/>
        <x:v>384400</x:v>
      </x:c>
    </x:row>
    <x:row r="1786">
      <x:c r="B1786" s="63">
        <x:v>1884</x:v>
      </x:c>
      <x:c r="C1786" s="57">
        <x:f t="shared" si="112"/>
        <x:v>303900</x:v>
      </x:c>
      <x:c r="D1786" s="25">
        <x:f t="shared" si="113"/>
        <x:v>336300</x:v>
      </x:c>
      <x:c r="E1786" s="25">
        <x:f t="shared" si="114"/>
        <x:v>360600</x:v>
      </x:c>
      <x:c r="F1786" s="58">
        <x:f t="shared" si="115"/>
        <x:v>384400</x:v>
      </x:c>
    </x:row>
    <x:row r="1787">
      <x:c r="B1787" s="63">
        <x:v>1885</x:v>
      </x:c>
      <x:c r="C1787" s="57">
        <x:f t="shared" si="112"/>
        <x:v>303900</x:v>
      </x:c>
      <x:c r="D1787" s="25">
        <x:f t="shared" si="113"/>
        <x:v>336300</x:v>
      </x:c>
      <x:c r="E1787" s="25">
        <x:f t="shared" si="114"/>
        <x:v>360600</x:v>
      </x:c>
      <x:c r="F1787" s="58">
        <x:f t="shared" si="115"/>
        <x:v>384400</x:v>
      </x:c>
    </x:row>
    <x:row r="1788">
      <x:c r="B1788" s="63">
        <x:v>1886</x:v>
      </x:c>
      <x:c r="C1788" s="57">
        <x:f t="shared" si="112"/>
        <x:v>303900</x:v>
      </x:c>
      <x:c r="D1788" s="25">
        <x:f t="shared" si="113"/>
        <x:v>336300</x:v>
      </x:c>
      <x:c r="E1788" s="25">
        <x:f t="shared" si="114"/>
        <x:v>360600</x:v>
      </x:c>
      <x:c r="F1788" s="58">
        <x:f t="shared" si="115"/>
        <x:v>384400</x:v>
      </x:c>
    </x:row>
    <x:row r="1789">
      <x:c r="B1789" s="63">
        <x:v>1887</x:v>
      </x:c>
      <x:c r="C1789" s="57">
        <x:f t="shared" si="112"/>
        <x:v>303900</x:v>
      </x:c>
      <x:c r="D1789" s="25">
        <x:f t="shared" si="113"/>
        <x:v>336300</x:v>
      </x:c>
      <x:c r="E1789" s="25">
        <x:f t="shared" si="114"/>
        <x:v>360600</x:v>
      </x:c>
      <x:c r="F1789" s="58">
        <x:f t="shared" si="115"/>
        <x:v>384400</x:v>
      </x:c>
    </x:row>
    <x:row r="1790">
      <x:c r="B1790" s="63">
        <x:v>1888</x:v>
      </x:c>
      <x:c r="C1790" s="57">
        <x:f t="shared" si="112"/>
        <x:v>303900</x:v>
      </x:c>
      <x:c r="D1790" s="25">
        <x:f t="shared" si="113"/>
        <x:v>336300</x:v>
      </x:c>
      <x:c r="E1790" s="25">
        <x:f t="shared" si="114"/>
        <x:v>360600</x:v>
      </x:c>
      <x:c r="F1790" s="58">
        <x:f t="shared" si="115"/>
        <x:v>384400</x:v>
      </x:c>
    </x:row>
    <x:row r="1791">
      <x:c r="B1791" s="63">
        <x:v>1889</x:v>
      </x:c>
      <x:c r="C1791" s="57">
        <x:f t="shared" si="112"/>
        <x:v>303900</x:v>
      </x:c>
      <x:c r="D1791" s="25">
        <x:f t="shared" si="113"/>
        <x:v>336300</x:v>
      </x:c>
      <x:c r="E1791" s="25">
        <x:f t="shared" si="114"/>
        <x:v>360600</x:v>
      </x:c>
      <x:c r="F1791" s="58">
        <x:f t="shared" si="115"/>
        <x:v>384400</x:v>
      </x:c>
    </x:row>
    <x:row r="1792">
      <x:c r="B1792" s="63">
        <x:v>1890</x:v>
      </x:c>
      <x:c r="C1792" s="57">
        <x:f t="shared" si="112"/>
        <x:v>303900</x:v>
      </x:c>
      <x:c r="D1792" s="25">
        <x:f t="shared" si="113"/>
        <x:v>336300</x:v>
      </x:c>
      <x:c r="E1792" s="25">
        <x:f t="shared" si="114"/>
        <x:v>360600</x:v>
      </x:c>
      <x:c r="F1792" s="58">
        <x:f t="shared" si="115"/>
        <x:v>384400</x:v>
      </x:c>
    </x:row>
    <x:row r="1793">
      <x:c r="B1793" s="63">
        <x:v>1891</x:v>
      </x:c>
      <x:c r="C1793" s="57">
        <x:f t="shared" si="112"/>
        <x:v>303900</x:v>
      </x:c>
      <x:c r="D1793" s="25">
        <x:f t="shared" si="113"/>
        <x:v>336300</x:v>
      </x:c>
      <x:c r="E1793" s="25">
        <x:f t="shared" si="114"/>
        <x:v>360600</x:v>
      </x:c>
      <x:c r="F1793" s="58">
        <x:f t="shared" si="115"/>
        <x:v>384400</x:v>
      </x:c>
    </x:row>
    <x:row r="1794">
      <x:c r="B1794" s="63">
        <x:v>1892</x:v>
      </x:c>
      <x:c r="C1794" s="57">
        <x:f t="shared" si="112"/>
        <x:v>303900</x:v>
      </x:c>
      <x:c r="D1794" s="25">
        <x:f t="shared" si="113"/>
        <x:v>336300</x:v>
      </x:c>
      <x:c r="E1794" s="25">
        <x:f t="shared" si="114"/>
        <x:v>360600</x:v>
      </x:c>
      <x:c r="F1794" s="58">
        <x:f t="shared" si="115"/>
        <x:v>384400</x:v>
      </x:c>
    </x:row>
    <x:row r="1795">
      <x:c r="B1795" s="63">
        <x:v>1893</x:v>
      </x:c>
      <x:c r="C1795" s="57">
        <x:f t="shared" si="112"/>
        <x:v>303900</x:v>
      </x:c>
      <x:c r="D1795" s="25">
        <x:f t="shared" si="113"/>
        <x:v>336300</x:v>
      </x:c>
      <x:c r="E1795" s="25">
        <x:f t="shared" si="114"/>
        <x:v>360600</x:v>
      </x:c>
      <x:c r="F1795" s="58">
        <x:f t="shared" si="115"/>
        <x:v>384400</x:v>
      </x:c>
    </x:row>
    <x:row r="1796">
      <x:c r="B1796" s="63">
        <x:v>1894</x:v>
      </x:c>
      <x:c r="C1796" s="57">
        <x:f t="shared" si="112"/>
        <x:v>303900</x:v>
      </x:c>
      <x:c r="D1796" s="25">
        <x:f t="shared" si="113"/>
        <x:v>336300</x:v>
      </x:c>
      <x:c r="E1796" s="25">
        <x:f t="shared" si="114"/>
        <x:v>360600</x:v>
      </x:c>
      <x:c r="F1796" s="58">
        <x:f t="shared" si="115"/>
        <x:v>384400</x:v>
      </x:c>
    </x:row>
    <x:row r="1797">
      <x:c r="B1797" s="63">
        <x:v>1895</x:v>
      </x:c>
      <x:c r="C1797" s="57">
        <x:f t="shared" si="112"/>
        <x:v>303900</x:v>
      </x:c>
      <x:c r="D1797" s="25">
        <x:f t="shared" si="113"/>
        <x:v>336300</x:v>
      </x:c>
      <x:c r="E1797" s="25">
        <x:f t="shared" si="114"/>
        <x:v>360600</x:v>
      </x:c>
      <x:c r="F1797" s="58">
        <x:f t="shared" si="115"/>
        <x:v>384400</x:v>
      </x:c>
    </x:row>
    <x:row r="1798">
      <x:c r="B1798" s="63">
        <x:v>1896</x:v>
      </x:c>
      <x:c r="C1798" s="57">
        <x:f t="shared" si="112"/>
        <x:v>303900</x:v>
      </x:c>
      <x:c r="D1798" s="25">
        <x:f t="shared" si="113"/>
        <x:v>336300</x:v>
      </x:c>
      <x:c r="E1798" s="25">
        <x:f t="shared" si="114"/>
        <x:v>360600</x:v>
      </x:c>
      <x:c r="F1798" s="58">
        <x:f t="shared" si="115"/>
        <x:v>384400</x:v>
      </x:c>
    </x:row>
    <x:row r="1799">
      <x:c r="B1799" s="63">
        <x:v>1897</x:v>
      </x:c>
      <x:c r="C1799" s="57">
        <x:f t="shared" si="112"/>
        <x:v>303900</x:v>
      </x:c>
      <x:c r="D1799" s="25">
        <x:f t="shared" si="113"/>
        <x:v>336300</x:v>
      </x:c>
      <x:c r="E1799" s="25">
        <x:f t="shared" si="114"/>
        <x:v>360600</x:v>
      </x:c>
      <x:c r="F1799" s="58">
        <x:f t="shared" si="115"/>
        <x:v>384400</x:v>
      </x:c>
    </x:row>
    <x:row r="1800">
      <x:c r="B1800" s="63">
        <x:v>1898</x:v>
      </x:c>
      <x:c r="C1800" s="57">
        <x:f t="shared" si="112"/>
        <x:v>303900</x:v>
      </x:c>
      <x:c r="D1800" s="25">
        <x:f t="shared" si="113"/>
        <x:v>336300</x:v>
      </x:c>
      <x:c r="E1800" s="25">
        <x:f t="shared" si="114"/>
        <x:v>360600</x:v>
      </x:c>
      <x:c r="F1800" s="58">
        <x:f t="shared" si="115"/>
        <x:v>384400</x:v>
      </x:c>
    </x:row>
    <x:row r="1801">
      <x:c r="B1801" s="63">
        <x:v>1899</x:v>
      </x:c>
      <x:c r="C1801" s="57">
        <x:f t="shared" si="112"/>
        <x:v>303900</x:v>
      </x:c>
      <x:c r="D1801" s="25">
        <x:f t="shared" si="113"/>
        <x:v>336300</x:v>
      </x:c>
      <x:c r="E1801" s="25">
        <x:f t="shared" si="114"/>
        <x:v>360600</x:v>
      </x:c>
      <x:c r="F1801" s="58">
        <x:f t="shared" si="115"/>
        <x:v>384400</x:v>
      </x:c>
    </x:row>
    <x:row r="1802">
      <x:c r="B1802" s="63">
        <x:v>1900</x:v>
      </x:c>
      <x:c r="C1802" s="57">
        <x:f t="shared" si="112"/>
        <x:v>303900</x:v>
      </x:c>
      <x:c r="D1802" s="25">
        <x:f t="shared" si="113"/>
        <x:v>336300</x:v>
      </x:c>
      <x:c r="E1802" s="25">
        <x:f t="shared" si="114"/>
        <x:v>360600</x:v>
      </x:c>
      <x:c r="F1802" s="58">
        <x:f t="shared" si="115"/>
        <x:v>384400</x:v>
      </x:c>
    </x:row>
    <x:row r="1803">
      <x:c r="B1803" s="63">
        <x:v>1901</x:v>
      </x:c>
      <x:c r="C1803" s="57" t="n">
        <x:f>$C$402+$J$31</x:f>
        <x:v>311200</x:v>
      </x:c>
      <x:c r="D1803" s="25" t="n">
        <x:f>$D$402+$K$31</x:f>
        <x:v>344400</x:v>
      </x:c>
      <x:c r="E1803" s="25" t="n">
        <x:f>$E$402+$L$31</x:f>
        <x:v>369300</x:v>
      </x:c>
      <x:c r="F1803" s="58" t="n">
        <x:f>$F$402+$M$31</x:f>
        <x:v>393700</x:v>
      </x:c>
    </x:row>
    <x:row r="1804">
      <x:c r="B1804" s="63">
        <x:v>1902</x:v>
      </x:c>
      <x:c r="C1804" s="57" t="n">
        <x:f t="shared" ref="C1804:C1852" si="116">$C$402+$J$31</x:f>
        <x:v>311200</x:v>
      </x:c>
      <x:c r="D1804" s="25" t="n">
        <x:f t="shared" ref="D1804:D1852" si="117">$D$402+$K$31</x:f>
        <x:v>344400</x:v>
      </x:c>
      <x:c r="E1804" s="25" t="n">
        <x:f t="shared" ref="E1804:E1852" si="118">$E$402+$L$31</x:f>
        <x:v>369300</x:v>
      </x:c>
      <x:c r="F1804" s="58" t="n">
        <x:f t="shared" ref="F1804:F1852" si="119">$F$402+$M$31</x:f>
        <x:v>393700</x:v>
      </x:c>
    </x:row>
    <x:row r="1805">
      <x:c r="B1805" s="63">
        <x:v>1903</x:v>
      </x:c>
      <x:c r="C1805" s="57">
        <x:f t="shared" si="116"/>
        <x:v>311200</x:v>
      </x:c>
      <x:c r="D1805" s="25">
        <x:f t="shared" si="117"/>
        <x:v>344400</x:v>
      </x:c>
      <x:c r="E1805" s="25">
        <x:f t="shared" si="118"/>
        <x:v>369300</x:v>
      </x:c>
      <x:c r="F1805" s="58">
        <x:f t="shared" si="119"/>
        <x:v>393700</x:v>
      </x:c>
    </x:row>
    <x:row r="1806">
      <x:c r="B1806" s="63">
        <x:v>1904</x:v>
      </x:c>
      <x:c r="C1806" s="57">
        <x:f t="shared" si="116"/>
        <x:v>311200</x:v>
      </x:c>
      <x:c r="D1806" s="25">
        <x:f t="shared" si="117"/>
        <x:v>344400</x:v>
      </x:c>
      <x:c r="E1806" s="25">
        <x:f t="shared" si="118"/>
        <x:v>369300</x:v>
      </x:c>
      <x:c r="F1806" s="58">
        <x:f t="shared" si="119"/>
        <x:v>393700</x:v>
      </x:c>
    </x:row>
    <x:row r="1807">
      <x:c r="B1807" s="63">
        <x:v>1905</x:v>
      </x:c>
      <x:c r="C1807" s="57">
        <x:f t="shared" si="116"/>
        <x:v>311200</x:v>
      </x:c>
      <x:c r="D1807" s="25">
        <x:f t="shared" si="117"/>
        <x:v>344400</x:v>
      </x:c>
      <x:c r="E1807" s="25">
        <x:f t="shared" si="118"/>
        <x:v>369300</x:v>
      </x:c>
      <x:c r="F1807" s="58">
        <x:f t="shared" si="119"/>
        <x:v>393700</x:v>
      </x:c>
    </x:row>
    <x:row r="1808">
      <x:c r="B1808" s="63">
        <x:v>1906</x:v>
      </x:c>
      <x:c r="C1808" s="57">
        <x:f t="shared" si="116"/>
        <x:v>311200</x:v>
      </x:c>
      <x:c r="D1808" s="25">
        <x:f t="shared" si="117"/>
        <x:v>344400</x:v>
      </x:c>
      <x:c r="E1808" s="25">
        <x:f t="shared" si="118"/>
        <x:v>369300</x:v>
      </x:c>
      <x:c r="F1808" s="58">
        <x:f t="shared" si="119"/>
        <x:v>393700</x:v>
      </x:c>
    </x:row>
    <x:row r="1809">
      <x:c r="B1809" s="63">
        <x:v>1907</x:v>
      </x:c>
      <x:c r="C1809" s="57">
        <x:f t="shared" si="116"/>
        <x:v>311200</x:v>
      </x:c>
      <x:c r="D1809" s="25">
        <x:f t="shared" si="117"/>
        <x:v>344400</x:v>
      </x:c>
      <x:c r="E1809" s="25">
        <x:f t="shared" si="118"/>
        <x:v>369300</x:v>
      </x:c>
      <x:c r="F1809" s="58">
        <x:f t="shared" si="119"/>
        <x:v>393700</x:v>
      </x:c>
    </x:row>
    <x:row r="1810">
      <x:c r="B1810" s="63">
        <x:v>1908</x:v>
      </x:c>
      <x:c r="C1810" s="57">
        <x:f t="shared" si="116"/>
        <x:v>311200</x:v>
      </x:c>
      <x:c r="D1810" s="25">
        <x:f t="shared" si="117"/>
        <x:v>344400</x:v>
      </x:c>
      <x:c r="E1810" s="25">
        <x:f t="shared" si="118"/>
        <x:v>369300</x:v>
      </x:c>
      <x:c r="F1810" s="58">
        <x:f t="shared" si="119"/>
        <x:v>393700</x:v>
      </x:c>
    </x:row>
    <x:row r="1811">
      <x:c r="B1811" s="63">
        <x:v>1909</x:v>
      </x:c>
      <x:c r="C1811" s="57">
        <x:f t="shared" si="116"/>
        <x:v>311200</x:v>
      </x:c>
      <x:c r="D1811" s="25">
        <x:f t="shared" si="117"/>
        <x:v>344400</x:v>
      </x:c>
      <x:c r="E1811" s="25">
        <x:f t="shared" si="118"/>
        <x:v>369300</x:v>
      </x:c>
      <x:c r="F1811" s="58">
        <x:f t="shared" si="119"/>
        <x:v>393700</x:v>
      </x:c>
    </x:row>
    <x:row r="1812">
      <x:c r="B1812" s="63">
        <x:v>1910</x:v>
      </x:c>
      <x:c r="C1812" s="57">
        <x:f t="shared" si="116"/>
        <x:v>311200</x:v>
      </x:c>
      <x:c r="D1812" s="25">
        <x:f t="shared" si="117"/>
        <x:v>344400</x:v>
      </x:c>
      <x:c r="E1812" s="25">
        <x:f t="shared" si="118"/>
        <x:v>369300</x:v>
      </x:c>
      <x:c r="F1812" s="58">
        <x:f t="shared" si="119"/>
        <x:v>393700</x:v>
      </x:c>
    </x:row>
    <x:row r="1813">
      <x:c r="B1813" s="63">
        <x:v>1911</x:v>
      </x:c>
      <x:c r="C1813" s="57">
        <x:f t="shared" si="116"/>
        <x:v>311200</x:v>
      </x:c>
      <x:c r="D1813" s="25">
        <x:f t="shared" si="117"/>
        <x:v>344400</x:v>
      </x:c>
      <x:c r="E1813" s="25">
        <x:f t="shared" si="118"/>
        <x:v>369300</x:v>
      </x:c>
      <x:c r="F1813" s="58">
        <x:f t="shared" si="119"/>
        <x:v>393700</x:v>
      </x:c>
    </x:row>
    <x:row r="1814">
      <x:c r="B1814" s="63">
        <x:v>1912</x:v>
      </x:c>
      <x:c r="C1814" s="57">
        <x:f t="shared" si="116"/>
        <x:v>311200</x:v>
      </x:c>
      <x:c r="D1814" s="25">
        <x:f t="shared" si="117"/>
        <x:v>344400</x:v>
      </x:c>
      <x:c r="E1814" s="25">
        <x:f t="shared" si="118"/>
        <x:v>369300</x:v>
      </x:c>
      <x:c r="F1814" s="58">
        <x:f t="shared" si="119"/>
        <x:v>393700</x:v>
      </x:c>
    </x:row>
    <x:row r="1815">
      <x:c r="B1815" s="63">
        <x:v>1913</x:v>
      </x:c>
      <x:c r="C1815" s="57">
        <x:f t="shared" si="116"/>
        <x:v>311200</x:v>
      </x:c>
      <x:c r="D1815" s="25">
        <x:f t="shared" si="117"/>
        <x:v>344400</x:v>
      </x:c>
      <x:c r="E1815" s="25">
        <x:f t="shared" si="118"/>
        <x:v>369300</x:v>
      </x:c>
      <x:c r="F1815" s="58">
        <x:f t="shared" si="119"/>
        <x:v>393700</x:v>
      </x:c>
    </x:row>
    <x:row r="1816">
      <x:c r="B1816" s="63">
        <x:v>1914</x:v>
      </x:c>
      <x:c r="C1816" s="57">
        <x:f t="shared" si="116"/>
        <x:v>311200</x:v>
      </x:c>
      <x:c r="D1816" s="25">
        <x:f t="shared" si="117"/>
        <x:v>344400</x:v>
      </x:c>
      <x:c r="E1816" s="25">
        <x:f t="shared" si="118"/>
        <x:v>369300</x:v>
      </x:c>
      <x:c r="F1816" s="58">
        <x:f t="shared" si="119"/>
        <x:v>393700</x:v>
      </x:c>
    </x:row>
    <x:row r="1817">
      <x:c r="B1817" s="63">
        <x:v>1915</x:v>
      </x:c>
      <x:c r="C1817" s="57">
        <x:f t="shared" si="116"/>
        <x:v>311200</x:v>
      </x:c>
      <x:c r="D1817" s="25">
        <x:f t="shared" si="117"/>
        <x:v>344400</x:v>
      </x:c>
      <x:c r="E1817" s="25">
        <x:f t="shared" si="118"/>
        <x:v>369300</x:v>
      </x:c>
      <x:c r="F1817" s="58">
        <x:f t="shared" si="119"/>
        <x:v>393700</x:v>
      </x:c>
    </x:row>
    <x:row r="1818">
      <x:c r="B1818" s="63">
        <x:v>1916</x:v>
      </x:c>
      <x:c r="C1818" s="57">
        <x:f t="shared" si="116"/>
        <x:v>311200</x:v>
      </x:c>
      <x:c r="D1818" s="25">
        <x:f t="shared" si="117"/>
        <x:v>344400</x:v>
      </x:c>
      <x:c r="E1818" s="25">
        <x:f t="shared" si="118"/>
        <x:v>369300</x:v>
      </x:c>
      <x:c r="F1818" s="58">
        <x:f t="shared" si="119"/>
        <x:v>393700</x:v>
      </x:c>
    </x:row>
    <x:row r="1819">
      <x:c r="B1819" s="63">
        <x:v>1917</x:v>
      </x:c>
      <x:c r="C1819" s="57">
        <x:f t="shared" si="116"/>
        <x:v>311200</x:v>
      </x:c>
      <x:c r="D1819" s="25">
        <x:f t="shared" si="117"/>
        <x:v>344400</x:v>
      </x:c>
      <x:c r="E1819" s="25">
        <x:f t="shared" si="118"/>
        <x:v>369300</x:v>
      </x:c>
      <x:c r="F1819" s="58">
        <x:f t="shared" si="119"/>
        <x:v>393700</x:v>
      </x:c>
    </x:row>
    <x:row r="1820">
      <x:c r="B1820" s="63">
        <x:v>1918</x:v>
      </x:c>
      <x:c r="C1820" s="57">
        <x:f t="shared" si="116"/>
        <x:v>311200</x:v>
      </x:c>
      <x:c r="D1820" s="25">
        <x:f t="shared" si="117"/>
        <x:v>344400</x:v>
      </x:c>
      <x:c r="E1820" s="25">
        <x:f t="shared" si="118"/>
        <x:v>369300</x:v>
      </x:c>
      <x:c r="F1820" s="58">
        <x:f t="shared" si="119"/>
        <x:v>393700</x:v>
      </x:c>
    </x:row>
    <x:row r="1821">
      <x:c r="B1821" s="63">
        <x:v>1919</x:v>
      </x:c>
      <x:c r="C1821" s="57">
        <x:f t="shared" si="116"/>
        <x:v>311200</x:v>
      </x:c>
      <x:c r="D1821" s="25">
        <x:f t="shared" si="117"/>
        <x:v>344400</x:v>
      </x:c>
      <x:c r="E1821" s="25">
        <x:f t="shared" si="118"/>
        <x:v>369300</x:v>
      </x:c>
      <x:c r="F1821" s="58">
        <x:f t="shared" si="119"/>
        <x:v>393700</x:v>
      </x:c>
    </x:row>
    <x:row r="1822">
      <x:c r="B1822" s="63">
        <x:v>1920</x:v>
      </x:c>
      <x:c r="C1822" s="57">
        <x:f t="shared" si="116"/>
        <x:v>311200</x:v>
      </x:c>
      <x:c r="D1822" s="25">
        <x:f t="shared" si="117"/>
        <x:v>344400</x:v>
      </x:c>
      <x:c r="E1822" s="25">
        <x:f t="shared" si="118"/>
        <x:v>369300</x:v>
      </x:c>
      <x:c r="F1822" s="58">
        <x:f t="shared" si="119"/>
        <x:v>393700</x:v>
      </x:c>
    </x:row>
    <x:row r="1823">
      <x:c r="B1823" s="63">
        <x:v>1921</x:v>
      </x:c>
      <x:c r="C1823" s="57">
        <x:f t="shared" si="116"/>
        <x:v>311200</x:v>
      </x:c>
      <x:c r="D1823" s="25">
        <x:f t="shared" si="117"/>
        <x:v>344400</x:v>
      </x:c>
      <x:c r="E1823" s="25">
        <x:f t="shared" si="118"/>
        <x:v>369300</x:v>
      </x:c>
      <x:c r="F1823" s="58">
        <x:f t="shared" si="119"/>
        <x:v>393700</x:v>
      </x:c>
    </x:row>
    <x:row r="1824">
      <x:c r="B1824" s="63">
        <x:v>1922</x:v>
      </x:c>
      <x:c r="C1824" s="57">
        <x:f t="shared" si="116"/>
        <x:v>311200</x:v>
      </x:c>
      <x:c r="D1824" s="25">
        <x:f t="shared" si="117"/>
        <x:v>344400</x:v>
      </x:c>
      <x:c r="E1824" s="25">
        <x:f t="shared" si="118"/>
        <x:v>369300</x:v>
      </x:c>
      <x:c r="F1824" s="58">
        <x:f t="shared" si="119"/>
        <x:v>393700</x:v>
      </x:c>
    </x:row>
    <x:row r="1825">
      <x:c r="B1825" s="63">
        <x:v>1923</x:v>
      </x:c>
      <x:c r="C1825" s="57">
        <x:f t="shared" si="116"/>
        <x:v>311200</x:v>
      </x:c>
      <x:c r="D1825" s="25">
        <x:f t="shared" si="117"/>
        <x:v>344400</x:v>
      </x:c>
      <x:c r="E1825" s="25">
        <x:f t="shared" si="118"/>
        <x:v>369300</x:v>
      </x:c>
      <x:c r="F1825" s="58">
        <x:f t="shared" si="119"/>
        <x:v>393700</x:v>
      </x:c>
    </x:row>
    <x:row r="1826">
      <x:c r="B1826" s="63">
        <x:v>1924</x:v>
      </x:c>
      <x:c r="C1826" s="57">
        <x:f t="shared" si="116"/>
        <x:v>311200</x:v>
      </x:c>
      <x:c r="D1826" s="25">
        <x:f t="shared" si="117"/>
        <x:v>344400</x:v>
      </x:c>
      <x:c r="E1826" s="25">
        <x:f t="shared" si="118"/>
        <x:v>369300</x:v>
      </x:c>
      <x:c r="F1826" s="58">
        <x:f t="shared" si="119"/>
        <x:v>393700</x:v>
      </x:c>
    </x:row>
    <x:row r="1827">
      <x:c r="B1827" s="63">
        <x:v>1925</x:v>
      </x:c>
      <x:c r="C1827" s="57">
        <x:f t="shared" si="116"/>
        <x:v>311200</x:v>
      </x:c>
      <x:c r="D1827" s="25">
        <x:f t="shared" si="117"/>
        <x:v>344400</x:v>
      </x:c>
      <x:c r="E1827" s="25">
        <x:f t="shared" si="118"/>
        <x:v>369300</x:v>
      </x:c>
      <x:c r="F1827" s="58">
        <x:f t="shared" si="119"/>
        <x:v>393700</x:v>
      </x:c>
    </x:row>
    <x:row r="1828">
      <x:c r="B1828" s="63">
        <x:v>1926</x:v>
      </x:c>
      <x:c r="C1828" s="57">
        <x:f t="shared" si="116"/>
        <x:v>311200</x:v>
      </x:c>
      <x:c r="D1828" s="25">
        <x:f t="shared" si="117"/>
        <x:v>344400</x:v>
      </x:c>
      <x:c r="E1828" s="25">
        <x:f t="shared" si="118"/>
        <x:v>369300</x:v>
      </x:c>
      <x:c r="F1828" s="58">
        <x:f t="shared" si="119"/>
        <x:v>393700</x:v>
      </x:c>
    </x:row>
    <x:row r="1829">
      <x:c r="B1829" s="63">
        <x:v>1927</x:v>
      </x:c>
      <x:c r="C1829" s="57">
        <x:f t="shared" si="116"/>
        <x:v>311200</x:v>
      </x:c>
      <x:c r="D1829" s="25">
        <x:f t="shared" si="117"/>
        <x:v>344400</x:v>
      </x:c>
      <x:c r="E1829" s="25">
        <x:f t="shared" si="118"/>
        <x:v>369300</x:v>
      </x:c>
      <x:c r="F1829" s="58">
        <x:f t="shared" si="119"/>
        <x:v>393700</x:v>
      </x:c>
    </x:row>
    <x:row r="1830">
      <x:c r="B1830" s="63">
        <x:v>1928</x:v>
      </x:c>
      <x:c r="C1830" s="57">
        <x:f t="shared" si="116"/>
        <x:v>311200</x:v>
      </x:c>
      <x:c r="D1830" s="25">
        <x:f t="shared" si="117"/>
        <x:v>344400</x:v>
      </x:c>
      <x:c r="E1830" s="25">
        <x:f t="shared" si="118"/>
        <x:v>369300</x:v>
      </x:c>
      <x:c r="F1830" s="58">
        <x:f t="shared" si="119"/>
        <x:v>393700</x:v>
      </x:c>
    </x:row>
    <x:row r="1831">
      <x:c r="B1831" s="63">
        <x:v>1929</x:v>
      </x:c>
      <x:c r="C1831" s="57">
        <x:f t="shared" si="116"/>
        <x:v>311200</x:v>
      </x:c>
      <x:c r="D1831" s="25">
        <x:f t="shared" si="117"/>
        <x:v>344400</x:v>
      </x:c>
      <x:c r="E1831" s="25">
        <x:f t="shared" si="118"/>
        <x:v>369300</x:v>
      </x:c>
      <x:c r="F1831" s="58">
        <x:f t="shared" si="119"/>
        <x:v>393700</x:v>
      </x:c>
    </x:row>
    <x:row r="1832">
      <x:c r="B1832" s="63">
        <x:v>1930</x:v>
      </x:c>
      <x:c r="C1832" s="57">
        <x:f t="shared" si="116"/>
        <x:v>311200</x:v>
      </x:c>
      <x:c r="D1832" s="25">
        <x:f t="shared" si="117"/>
        <x:v>344400</x:v>
      </x:c>
      <x:c r="E1832" s="25">
        <x:f t="shared" si="118"/>
        <x:v>369300</x:v>
      </x:c>
      <x:c r="F1832" s="58">
        <x:f t="shared" si="119"/>
        <x:v>393700</x:v>
      </x:c>
    </x:row>
    <x:row r="1833">
      <x:c r="B1833" s="63">
        <x:v>1931</x:v>
      </x:c>
      <x:c r="C1833" s="57">
        <x:f t="shared" si="116"/>
        <x:v>311200</x:v>
      </x:c>
      <x:c r="D1833" s="25">
        <x:f t="shared" si="117"/>
        <x:v>344400</x:v>
      </x:c>
      <x:c r="E1833" s="25">
        <x:f t="shared" si="118"/>
        <x:v>369300</x:v>
      </x:c>
      <x:c r="F1833" s="58">
        <x:f t="shared" si="119"/>
        <x:v>393700</x:v>
      </x:c>
    </x:row>
    <x:row r="1834">
      <x:c r="B1834" s="63">
        <x:v>1932</x:v>
      </x:c>
      <x:c r="C1834" s="57">
        <x:f t="shared" si="116"/>
        <x:v>311200</x:v>
      </x:c>
      <x:c r="D1834" s="25">
        <x:f t="shared" si="117"/>
        <x:v>344400</x:v>
      </x:c>
      <x:c r="E1834" s="25">
        <x:f t="shared" si="118"/>
        <x:v>369300</x:v>
      </x:c>
      <x:c r="F1834" s="58">
        <x:f t="shared" si="119"/>
        <x:v>393700</x:v>
      </x:c>
    </x:row>
    <x:row r="1835">
      <x:c r="B1835" s="63">
        <x:v>1933</x:v>
      </x:c>
      <x:c r="C1835" s="57">
        <x:f t="shared" si="116"/>
        <x:v>311200</x:v>
      </x:c>
      <x:c r="D1835" s="25">
        <x:f t="shared" si="117"/>
        <x:v>344400</x:v>
      </x:c>
      <x:c r="E1835" s="25">
        <x:f t="shared" si="118"/>
        <x:v>369300</x:v>
      </x:c>
      <x:c r="F1835" s="58">
        <x:f t="shared" si="119"/>
        <x:v>393700</x:v>
      </x:c>
    </x:row>
    <x:row r="1836">
      <x:c r="B1836" s="63">
        <x:v>1934</x:v>
      </x:c>
      <x:c r="C1836" s="57">
        <x:f t="shared" si="116"/>
        <x:v>311200</x:v>
      </x:c>
      <x:c r="D1836" s="25">
        <x:f t="shared" si="117"/>
        <x:v>344400</x:v>
      </x:c>
      <x:c r="E1836" s="25">
        <x:f t="shared" si="118"/>
        <x:v>369300</x:v>
      </x:c>
      <x:c r="F1836" s="58">
        <x:f t="shared" si="119"/>
        <x:v>393700</x:v>
      </x:c>
    </x:row>
    <x:row r="1837">
      <x:c r="B1837" s="63">
        <x:v>1935</x:v>
      </x:c>
      <x:c r="C1837" s="57">
        <x:f t="shared" si="116"/>
        <x:v>311200</x:v>
      </x:c>
      <x:c r="D1837" s="25">
        <x:f t="shared" si="117"/>
        <x:v>344400</x:v>
      </x:c>
      <x:c r="E1837" s="25">
        <x:f t="shared" si="118"/>
        <x:v>369300</x:v>
      </x:c>
      <x:c r="F1837" s="58">
        <x:f t="shared" si="119"/>
        <x:v>393700</x:v>
      </x:c>
    </x:row>
    <x:row r="1838">
      <x:c r="B1838" s="63">
        <x:v>1936</x:v>
      </x:c>
      <x:c r="C1838" s="57">
        <x:f t="shared" si="116"/>
        <x:v>311200</x:v>
      </x:c>
      <x:c r="D1838" s="25">
        <x:f t="shared" si="117"/>
        <x:v>344400</x:v>
      </x:c>
      <x:c r="E1838" s="25">
        <x:f t="shared" si="118"/>
        <x:v>369300</x:v>
      </x:c>
      <x:c r="F1838" s="58">
        <x:f t="shared" si="119"/>
        <x:v>393700</x:v>
      </x:c>
    </x:row>
    <x:row r="1839">
      <x:c r="B1839" s="63">
        <x:v>1937</x:v>
      </x:c>
      <x:c r="C1839" s="57">
        <x:f t="shared" si="116"/>
        <x:v>311200</x:v>
      </x:c>
      <x:c r="D1839" s="25">
        <x:f t="shared" si="117"/>
        <x:v>344400</x:v>
      </x:c>
      <x:c r="E1839" s="25">
        <x:f t="shared" si="118"/>
        <x:v>369300</x:v>
      </x:c>
      <x:c r="F1839" s="58">
        <x:f t="shared" si="119"/>
        <x:v>393700</x:v>
      </x:c>
    </x:row>
    <x:row r="1840">
      <x:c r="B1840" s="63">
        <x:v>1938</x:v>
      </x:c>
      <x:c r="C1840" s="57">
        <x:f t="shared" si="116"/>
        <x:v>311200</x:v>
      </x:c>
      <x:c r="D1840" s="25">
        <x:f t="shared" si="117"/>
        <x:v>344400</x:v>
      </x:c>
      <x:c r="E1840" s="25">
        <x:f t="shared" si="118"/>
        <x:v>369300</x:v>
      </x:c>
      <x:c r="F1840" s="58">
        <x:f t="shared" si="119"/>
        <x:v>393700</x:v>
      </x:c>
    </x:row>
    <x:row r="1841">
      <x:c r="B1841" s="63">
        <x:v>1939</x:v>
      </x:c>
      <x:c r="C1841" s="57">
        <x:f t="shared" si="116"/>
        <x:v>311200</x:v>
      </x:c>
      <x:c r="D1841" s="25">
        <x:f t="shared" si="117"/>
        <x:v>344400</x:v>
      </x:c>
      <x:c r="E1841" s="25">
        <x:f t="shared" si="118"/>
        <x:v>369300</x:v>
      </x:c>
      <x:c r="F1841" s="58">
        <x:f t="shared" si="119"/>
        <x:v>393700</x:v>
      </x:c>
    </x:row>
    <x:row r="1842">
      <x:c r="B1842" s="63">
        <x:v>1940</x:v>
      </x:c>
      <x:c r="C1842" s="57">
        <x:f t="shared" si="116"/>
        <x:v>311200</x:v>
      </x:c>
      <x:c r="D1842" s="25">
        <x:f t="shared" si="117"/>
        <x:v>344400</x:v>
      </x:c>
      <x:c r="E1842" s="25">
        <x:f t="shared" si="118"/>
        <x:v>369300</x:v>
      </x:c>
      <x:c r="F1842" s="58">
        <x:f t="shared" si="119"/>
        <x:v>393700</x:v>
      </x:c>
    </x:row>
    <x:row r="1843">
      <x:c r="B1843" s="63">
        <x:v>1941</x:v>
      </x:c>
      <x:c r="C1843" s="57">
        <x:f t="shared" si="116"/>
        <x:v>311200</x:v>
      </x:c>
      <x:c r="D1843" s="25">
        <x:f t="shared" si="117"/>
        <x:v>344400</x:v>
      </x:c>
      <x:c r="E1843" s="25">
        <x:f t="shared" si="118"/>
        <x:v>369300</x:v>
      </x:c>
      <x:c r="F1843" s="58">
        <x:f t="shared" si="119"/>
        <x:v>393700</x:v>
      </x:c>
    </x:row>
    <x:row r="1844">
      <x:c r="B1844" s="63">
        <x:v>1942</x:v>
      </x:c>
      <x:c r="C1844" s="57">
        <x:f t="shared" si="116"/>
        <x:v>311200</x:v>
      </x:c>
      <x:c r="D1844" s="25">
        <x:f t="shared" si="117"/>
        <x:v>344400</x:v>
      </x:c>
      <x:c r="E1844" s="25">
        <x:f t="shared" si="118"/>
        <x:v>369300</x:v>
      </x:c>
      <x:c r="F1844" s="58">
        <x:f t="shared" si="119"/>
        <x:v>393700</x:v>
      </x:c>
    </x:row>
    <x:row r="1845">
      <x:c r="B1845" s="63">
        <x:v>1943</x:v>
      </x:c>
      <x:c r="C1845" s="57">
        <x:f t="shared" si="116"/>
        <x:v>311200</x:v>
      </x:c>
      <x:c r="D1845" s="25">
        <x:f t="shared" si="117"/>
        <x:v>344400</x:v>
      </x:c>
      <x:c r="E1845" s="25">
        <x:f t="shared" si="118"/>
        <x:v>369300</x:v>
      </x:c>
      <x:c r="F1845" s="58">
        <x:f t="shared" si="119"/>
        <x:v>393700</x:v>
      </x:c>
    </x:row>
    <x:row r="1846">
      <x:c r="B1846" s="63">
        <x:v>1944</x:v>
      </x:c>
      <x:c r="C1846" s="57">
        <x:f t="shared" si="116"/>
        <x:v>311200</x:v>
      </x:c>
      <x:c r="D1846" s="25">
        <x:f t="shared" si="117"/>
        <x:v>344400</x:v>
      </x:c>
      <x:c r="E1846" s="25">
        <x:f t="shared" si="118"/>
        <x:v>369300</x:v>
      </x:c>
      <x:c r="F1846" s="58">
        <x:f t="shared" si="119"/>
        <x:v>393700</x:v>
      </x:c>
    </x:row>
    <x:row r="1847">
      <x:c r="B1847" s="63">
        <x:v>1945</x:v>
      </x:c>
      <x:c r="C1847" s="57">
        <x:f t="shared" si="116"/>
        <x:v>311200</x:v>
      </x:c>
      <x:c r="D1847" s="25">
        <x:f t="shared" si="117"/>
        <x:v>344400</x:v>
      </x:c>
      <x:c r="E1847" s="25">
        <x:f t="shared" si="118"/>
        <x:v>369300</x:v>
      </x:c>
      <x:c r="F1847" s="58">
        <x:f t="shared" si="119"/>
        <x:v>393700</x:v>
      </x:c>
    </x:row>
    <x:row r="1848">
      <x:c r="B1848" s="63">
        <x:v>1946</x:v>
      </x:c>
      <x:c r="C1848" s="57">
        <x:f t="shared" si="116"/>
        <x:v>311200</x:v>
      </x:c>
      <x:c r="D1848" s="25">
        <x:f t="shared" si="117"/>
        <x:v>344400</x:v>
      </x:c>
      <x:c r="E1848" s="25">
        <x:f t="shared" si="118"/>
        <x:v>369300</x:v>
      </x:c>
      <x:c r="F1848" s="58">
        <x:f t="shared" si="119"/>
        <x:v>393700</x:v>
      </x:c>
    </x:row>
    <x:row r="1849">
      <x:c r="B1849" s="63">
        <x:v>1947</x:v>
      </x:c>
      <x:c r="C1849" s="57">
        <x:f t="shared" si="116"/>
        <x:v>311200</x:v>
      </x:c>
      <x:c r="D1849" s="25">
        <x:f t="shared" si="117"/>
        <x:v>344400</x:v>
      </x:c>
      <x:c r="E1849" s="25">
        <x:f t="shared" si="118"/>
        <x:v>369300</x:v>
      </x:c>
      <x:c r="F1849" s="58">
        <x:f t="shared" si="119"/>
        <x:v>393700</x:v>
      </x:c>
    </x:row>
    <x:row r="1850">
      <x:c r="B1850" s="63">
        <x:v>1948</x:v>
      </x:c>
      <x:c r="C1850" s="57">
        <x:f t="shared" si="116"/>
        <x:v>311200</x:v>
      </x:c>
      <x:c r="D1850" s="25">
        <x:f t="shared" si="117"/>
        <x:v>344400</x:v>
      </x:c>
      <x:c r="E1850" s="25">
        <x:f t="shared" si="118"/>
        <x:v>369300</x:v>
      </x:c>
      <x:c r="F1850" s="58">
        <x:f t="shared" si="119"/>
        <x:v>393700</x:v>
      </x:c>
    </x:row>
    <x:row r="1851">
      <x:c r="B1851" s="63">
        <x:v>1949</x:v>
      </x:c>
      <x:c r="C1851" s="57">
        <x:f t="shared" si="116"/>
        <x:v>311200</x:v>
      </x:c>
      <x:c r="D1851" s="25">
        <x:f t="shared" si="117"/>
        <x:v>344400</x:v>
      </x:c>
      <x:c r="E1851" s="25">
        <x:f t="shared" si="118"/>
        <x:v>369300</x:v>
      </x:c>
      <x:c r="F1851" s="58">
        <x:f t="shared" si="119"/>
        <x:v>393700</x:v>
      </x:c>
    </x:row>
    <x:row r="1852">
      <x:c r="B1852" s="63">
        <x:v>1950</x:v>
      </x:c>
      <x:c r="C1852" s="57">
        <x:f t="shared" si="116"/>
        <x:v>311200</x:v>
      </x:c>
      <x:c r="D1852" s="25">
        <x:f t="shared" si="117"/>
        <x:v>344400</x:v>
      </x:c>
      <x:c r="E1852" s="25">
        <x:f t="shared" si="118"/>
        <x:v>369300</x:v>
      </x:c>
      <x:c r="F1852" s="58">
        <x:f t="shared" si="119"/>
        <x:v>393700</x:v>
      </x:c>
    </x:row>
    <x:row r="1853">
      <x:c r="B1853" s="63">
        <x:v>1951</x:v>
      </x:c>
      <x:c r="C1853" s="57" t="n">
        <x:f>$C$402+$J$32</x:f>
        <x:v>318500</x:v>
      </x:c>
      <x:c r="D1853" s="25" t="n">
        <x:f>$D$402+$K$32</x:f>
        <x:v>352500</x:v>
      </x:c>
      <x:c r="E1853" s="25" t="n">
        <x:f>$E$402+$L$32</x:f>
        <x:v>378000</x:v>
      </x:c>
      <x:c r="F1853" s="58" t="n">
        <x:f>$F$402+$M$32</x:f>
        <x:v>403000</x:v>
      </x:c>
    </x:row>
    <x:row r="1854">
      <x:c r="B1854" s="63">
        <x:v>1952</x:v>
      </x:c>
      <x:c r="C1854" s="57" t="n">
        <x:f t="shared" ref="C1854:C1902" si="120">$C$402+$J$32</x:f>
        <x:v>318500</x:v>
      </x:c>
      <x:c r="D1854" s="25" t="n">
        <x:f t="shared" ref="D1854:D1902" si="121">$D$402+$K$32</x:f>
        <x:v>352500</x:v>
      </x:c>
      <x:c r="E1854" s="25" t="n">
        <x:f t="shared" ref="E1854:E1902" si="122">$E$402+$L$32</x:f>
        <x:v>378000</x:v>
      </x:c>
      <x:c r="F1854" s="58" t="n">
        <x:f t="shared" ref="F1854:F1902" si="123">$F$402+$M$32</x:f>
        <x:v>403000</x:v>
      </x:c>
    </x:row>
    <x:row r="1855">
      <x:c r="B1855" s="63">
        <x:v>1953</x:v>
      </x:c>
      <x:c r="C1855" s="57">
        <x:f t="shared" si="120"/>
        <x:v>318500</x:v>
      </x:c>
      <x:c r="D1855" s="25">
        <x:f t="shared" si="121"/>
        <x:v>352500</x:v>
      </x:c>
      <x:c r="E1855" s="25">
        <x:f t="shared" si="122"/>
        <x:v>378000</x:v>
      </x:c>
      <x:c r="F1855" s="58">
        <x:f t="shared" si="123"/>
        <x:v>403000</x:v>
      </x:c>
    </x:row>
    <x:row r="1856">
      <x:c r="B1856" s="63">
        <x:v>1954</x:v>
      </x:c>
      <x:c r="C1856" s="57">
        <x:f t="shared" si="120"/>
        <x:v>318500</x:v>
      </x:c>
      <x:c r="D1856" s="25">
        <x:f t="shared" si="121"/>
        <x:v>352500</x:v>
      </x:c>
      <x:c r="E1856" s="25">
        <x:f t="shared" si="122"/>
        <x:v>378000</x:v>
      </x:c>
      <x:c r="F1856" s="58">
        <x:f t="shared" si="123"/>
        <x:v>403000</x:v>
      </x:c>
    </x:row>
    <x:row r="1857">
      <x:c r="B1857" s="63">
        <x:v>1955</x:v>
      </x:c>
      <x:c r="C1857" s="57">
        <x:f t="shared" si="120"/>
        <x:v>318500</x:v>
      </x:c>
      <x:c r="D1857" s="25">
        <x:f t="shared" si="121"/>
        <x:v>352500</x:v>
      </x:c>
      <x:c r="E1857" s="25">
        <x:f t="shared" si="122"/>
        <x:v>378000</x:v>
      </x:c>
      <x:c r="F1857" s="58">
        <x:f t="shared" si="123"/>
        <x:v>403000</x:v>
      </x:c>
    </x:row>
    <x:row r="1858">
      <x:c r="B1858" s="63">
        <x:v>1956</x:v>
      </x:c>
      <x:c r="C1858" s="57">
        <x:f t="shared" si="120"/>
        <x:v>318500</x:v>
      </x:c>
      <x:c r="D1858" s="25">
        <x:f t="shared" si="121"/>
        <x:v>352500</x:v>
      </x:c>
      <x:c r="E1858" s="25">
        <x:f t="shared" si="122"/>
        <x:v>378000</x:v>
      </x:c>
      <x:c r="F1858" s="58">
        <x:f t="shared" si="123"/>
        <x:v>403000</x:v>
      </x:c>
    </x:row>
    <x:row r="1859">
      <x:c r="B1859" s="63">
        <x:v>1957</x:v>
      </x:c>
      <x:c r="C1859" s="57">
        <x:f t="shared" si="120"/>
        <x:v>318500</x:v>
      </x:c>
      <x:c r="D1859" s="25">
        <x:f t="shared" si="121"/>
        <x:v>352500</x:v>
      </x:c>
      <x:c r="E1859" s="25">
        <x:f t="shared" si="122"/>
        <x:v>378000</x:v>
      </x:c>
      <x:c r="F1859" s="58">
        <x:f t="shared" si="123"/>
        <x:v>403000</x:v>
      </x:c>
    </x:row>
    <x:row r="1860">
      <x:c r="B1860" s="63">
        <x:v>1958</x:v>
      </x:c>
      <x:c r="C1860" s="57">
        <x:f t="shared" si="120"/>
        <x:v>318500</x:v>
      </x:c>
      <x:c r="D1860" s="25">
        <x:f t="shared" si="121"/>
        <x:v>352500</x:v>
      </x:c>
      <x:c r="E1860" s="25">
        <x:f t="shared" si="122"/>
        <x:v>378000</x:v>
      </x:c>
      <x:c r="F1860" s="58">
        <x:f t="shared" si="123"/>
        <x:v>403000</x:v>
      </x:c>
    </x:row>
    <x:row r="1861">
      <x:c r="B1861" s="63">
        <x:v>1959</x:v>
      </x:c>
      <x:c r="C1861" s="57">
        <x:f t="shared" si="120"/>
        <x:v>318500</x:v>
      </x:c>
      <x:c r="D1861" s="25">
        <x:f t="shared" si="121"/>
        <x:v>352500</x:v>
      </x:c>
      <x:c r="E1861" s="25">
        <x:f t="shared" si="122"/>
        <x:v>378000</x:v>
      </x:c>
      <x:c r="F1861" s="58">
        <x:f t="shared" si="123"/>
        <x:v>403000</x:v>
      </x:c>
    </x:row>
    <x:row r="1862">
      <x:c r="B1862" s="63">
        <x:v>1960</x:v>
      </x:c>
      <x:c r="C1862" s="57">
        <x:f t="shared" si="120"/>
        <x:v>318500</x:v>
      </x:c>
      <x:c r="D1862" s="25">
        <x:f t="shared" si="121"/>
        <x:v>352500</x:v>
      </x:c>
      <x:c r="E1862" s="25">
        <x:f t="shared" si="122"/>
        <x:v>378000</x:v>
      </x:c>
      <x:c r="F1862" s="58">
        <x:f t="shared" si="123"/>
        <x:v>403000</x:v>
      </x:c>
    </x:row>
    <x:row r="1863">
      <x:c r="B1863" s="63">
        <x:v>1961</x:v>
      </x:c>
      <x:c r="C1863" s="57">
        <x:f t="shared" si="120"/>
        <x:v>318500</x:v>
      </x:c>
      <x:c r="D1863" s="25">
        <x:f t="shared" si="121"/>
        <x:v>352500</x:v>
      </x:c>
      <x:c r="E1863" s="25">
        <x:f t="shared" si="122"/>
        <x:v>378000</x:v>
      </x:c>
      <x:c r="F1863" s="58">
        <x:f t="shared" si="123"/>
        <x:v>403000</x:v>
      </x:c>
    </x:row>
    <x:row r="1864">
      <x:c r="B1864" s="63">
        <x:v>1962</x:v>
      </x:c>
      <x:c r="C1864" s="57">
        <x:f t="shared" si="120"/>
        <x:v>318500</x:v>
      </x:c>
      <x:c r="D1864" s="25">
        <x:f t="shared" si="121"/>
        <x:v>352500</x:v>
      </x:c>
      <x:c r="E1864" s="25">
        <x:f t="shared" si="122"/>
        <x:v>378000</x:v>
      </x:c>
      <x:c r="F1864" s="58">
        <x:f t="shared" si="123"/>
        <x:v>403000</x:v>
      </x:c>
    </x:row>
    <x:row r="1865">
      <x:c r="B1865" s="63">
        <x:v>1963</x:v>
      </x:c>
      <x:c r="C1865" s="57">
        <x:f t="shared" si="120"/>
        <x:v>318500</x:v>
      </x:c>
      <x:c r="D1865" s="25">
        <x:f t="shared" si="121"/>
        <x:v>352500</x:v>
      </x:c>
      <x:c r="E1865" s="25">
        <x:f t="shared" si="122"/>
        <x:v>378000</x:v>
      </x:c>
      <x:c r="F1865" s="58">
        <x:f t="shared" si="123"/>
        <x:v>403000</x:v>
      </x:c>
    </x:row>
    <x:row r="1866">
      <x:c r="B1866" s="63">
        <x:v>1964</x:v>
      </x:c>
      <x:c r="C1866" s="57">
        <x:f t="shared" si="120"/>
        <x:v>318500</x:v>
      </x:c>
      <x:c r="D1866" s="25">
        <x:f t="shared" si="121"/>
        <x:v>352500</x:v>
      </x:c>
      <x:c r="E1866" s="25">
        <x:f t="shared" si="122"/>
        <x:v>378000</x:v>
      </x:c>
      <x:c r="F1866" s="58">
        <x:f t="shared" si="123"/>
        <x:v>403000</x:v>
      </x:c>
    </x:row>
    <x:row r="1867">
      <x:c r="B1867" s="63">
        <x:v>1965</x:v>
      </x:c>
      <x:c r="C1867" s="57">
        <x:f t="shared" si="120"/>
        <x:v>318500</x:v>
      </x:c>
      <x:c r="D1867" s="25">
        <x:f t="shared" si="121"/>
        <x:v>352500</x:v>
      </x:c>
      <x:c r="E1867" s="25">
        <x:f t="shared" si="122"/>
        <x:v>378000</x:v>
      </x:c>
      <x:c r="F1867" s="58">
        <x:f t="shared" si="123"/>
        <x:v>403000</x:v>
      </x:c>
    </x:row>
    <x:row r="1868">
      <x:c r="B1868" s="63">
        <x:v>1966</x:v>
      </x:c>
      <x:c r="C1868" s="57">
        <x:f t="shared" si="120"/>
        <x:v>318500</x:v>
      </x:c>
      <x:c r="D1868" s="25">
        <x:f t="shared" si="121"/>
        <x:v>352500</x:v>
      </x:c>
      <x:c r="E1868" s="25">
        <x:f t="shared" si="122"/>
        <x:v>378000</x:v>
      </x:c>
      <x:c r="F1868" s="58">
        <x:f t="shared" si="123"/>
        <x:v>403000</x:v>
      </x:c>
    </x:row>
    <x:row r="1869">
      <x:c r="B1869" s="63">
        <x:v>1967</x:v>
      </x:c>
      <x:c r="C1869" s="57">
        <x:f t="shared" si="120"/>
        <x:v>318500</x:v>
      </x:c>
      <x:c r="D1869" s="25">
        <x:f t="shared" si="121"/>
        <x:v>352500</x:v>
      </x:c>
      <x:c r="E1869" s="25">
        <x:f t="shared" si="122"/>
        <x:v>378000</x:v>
      </x:c>
      <x:c r="F1869" s="58">
        <x:f t="shared" si="123"/>
        <x:v>403000</x:v>
      </x:c>
    </x:row>
    <x:row r="1870">
      <x:c r="B1870" s="63">
        <x:v>1968</x:v>
      </x:c>
      <x:c r="C1870" s="57">
        <x:f t="shared" si="120"/>
        <x:v>318500</x:v>
      </x:c>
      <x:c r="D1870" s="25">
        <x:f t="shared" si="121"/>
        <x:v>352500</x:v>
      </x:c>
      <x:c r="E1870" s="25">
        <x:f t="shared" si="122"/>
        <x:v>378000</x:v>
      </x:c>
      <x:c r="F1870" s="58">
        <x:f t="shared" si="123"/>
        <x:v>403000</x:v>
      </x:c>
    </x:row>
    <x:row r="1871">
      <x:c r="B1871" s="63">
        <x:v>1969</x:v>
      </x:c>
      <x:c r="C1871" s="57">
        <x:f t="shared" si="120"/>
        <x:v>318500</x:v>
      </x:c>
      <x:c r="D1871" s="25">
        <x:f t="shared" si="121"/>
        <x:v>352500</x:v>
      </x:c>
      <x:c r="E1871" s="25">
        <x:f t="shared" si="122"/>
        <x:v>378000</x:v>
      </x:c>
      <x:c r="F1871" s="58">
        <x:f t="shared" si="123"/>
        <x:v>403000</x:v>
      </x:c>
    </x:row>
    <x:row r="1872">
      <x:c r="B1872" s="63">
        <x:v>1970</x:v>
      </x:c>
      <x:c r="C1872" s="57">
        <x:f t="shared" si="120"/>
        <x:v>318500</x:v>
      </x:c>
      <x:c r="D1872" s="25">
        <x:f t="shared" si="121"/>
        <x:v>352500</x:v>
      </x:c>
      <x:c r="E1872" s="25">
        <x:f t="shared" si="122"/>
        <x:v>378000</x:v>
      </x:c>
      <x:c r="F1872" s="58">
        <x:f t="shared" si="123"/>
        <x:v>403000</x:v>
      </x:c>
    </x:row>
    <x:row r="1873">
      <x:c r="B1873" s="63">
        <x:v>1971</x:v>
      </x:c>
      <x:c r="C1873" s="57">
        <x:f t="shared" si="120"/>
        <x:v>318500</x:v>
      </x:c>
      <x:c r="D1873" s="25">
        <x:f t="shared" si="121"/>
        <x:v>352500</x:v>
      </x:c>
      <x:c r="E1873" s="25">
        <x:f t="shared" si="122"/>
        <x:v>378000</x:v>
      </x:c>
      <x:c r="F1873" s="58">
        <x:f t="shared" si="123"/>
        <x:v>403000</x:v>
      </x:c>
    </x:row>
    <x:row r="1874">
      <x:c r="B1874" s="63">
        <x:v>1972</x:v>
      </x:c>
      <x:c r="C1874" s="57">
        <x:f t="shared" si="120"/>
        <x:v>318500</x:v>
      </x:c>
      <x:c r="D1874" s="25">
        <x:f t="shared" si="121"/>
        <x:v>352500</x:v>
      </x:c>
      <x:c r="E1874" s="25">
        <x:f t="shared" si="122"/>
        <x:v>378000</x:v>
      </x:c>
      <x:c r="F1874" s="58">
        <x:f t="shared" si="123"/>
        <x:v>403000</x:v>
      </x:c>
    </x:row>
    <x:row r="1875">
      <x:c r="B1875" s="63">
        <x:v>1973</x:v>
      </x:c>
      <x:c r="C1875" s="57">
        <x:f t="shared" si="120"/>
        <x:v>318500</x:v>
      </x:c>
      <x:c r="D1875" s="25">
        <x:f t="shared" si="121"/>
        <x:v>352500</x:v>
      </x:c>
      <x:c r="E1875" s="25">
        <x:f t="shared" si="122"/>
        <x:v>378000</x:v>
      </x:c>
      <x:c r="F1875" s="58">
        <x:f t="shared" si="123"/>
        <x:v>403000</x:v>
      </x:c>
    </x:row>
    <x:row r="1876">
      <x:c r="B1876" s="63">
        <x:v>1974</x:v>
      </x:c>
      <x:c r="C1876" s="57">
        <x:f t="shared" si="120"/>
        <x:v>318500</x:v>
      </x:c>
      <x:c r="D1876" s="25">
        <x:f t="shared" si="121"/>
        <x:v>352500</x:v>
      </x:c>
      <x:c r="E1876" s="25">
        <x:f t="shared" si="122"/>
        <x:v>378000</x:v>
      </x:c>
      <x:c r="F1876" s="58">
        <x:f t="shared" si="123"/>
        <x:v>403000</x:v>
      </x:c>
    </x:row>
    <x:row r="1877">
      <x:c r="B1877" s="63">
        <x:v>1975</x:v>
      </x:c>
      <x:c r="C1877" s="57">
        <x:f t="shared" si="120"/>
        <x:v>318500</x:v>
      </x:c>
      <x:c r="D1877" s="25">
        <x:f t="shared" si="121"/>
        <x:v>352500</x:v>
      </x:c>
      <x:c r="E1877" s="25">
        <x:f t="shared" si="122"/>
        <x:v>378000</x:v>
      </x:c>
      <x:c r="F1877" s="58">
        <x:f t="shared" si="123"/>
        <x:v>403000</x:v>
      </x:c>
    </x:row>
    <x:row r="1878">
      <x:c r="B1878" s="63">
        <x:v>1976</x:v>
      </x:c>
      <x:c r="C1878" s="57">
        <x:f t="shared" si="120"/>
        <x:v>318500</x:v>
      </x:c>
      <x:c r="D1878" s="25">
        <x:f t="shared" si="121"/>
        <x:v>352500</x:v>
      </x:c>
      <x:c r="E1878" s="25">
        <x:f t="shared" si="122"/>
        <x:v>378000</x:v>
      </x:c>
      <x:c r="F1878" s="58">
        <x:f t="shared" si="123"/>
        <x:v>403000</x:v>
      </x:c>
    </x:row>
    <x:row r="1879">
      <x:c r="B1879" s="63">
        <x:v>1977</x:v>
      </x:c>
      <x:c r="C1879" s="57">
        <x:f t="shared" si="120"/>
        <x:v>318500</x:v>
      </x:c>
      <x:c r="D1879" s="25">
        <x:f t="shared" si="121"/>
        <x:v>352500</x:v>
      </x:c>
      <x:c r="E1879" s="25">
        <x:f t="shared" si="122"/>
        <x:v>378000</x:v>
      </x:c>
      <x:c r="F1879" s="58">
        <x:f t="shared" si="123"/>
        <x:v>403000</x:v>
      </x:c>
    </x:row>
    <x:row r="1880">
      <x:c r="B1880" s="63">
        <x:v>1978</x:v>
      </x:c>
      <x:c r="C1880" s="57">
        <x:f t="shared" si="120"/>
        <x:v>318500</x:v>
      </x:c>
      <x:c r="D1880" s="25">
        <x:f t="shared" si="121"/>
        <x:v>352500</x:v>
      </x:c>
      <x:c r="E1880" s="25">
        <x:f t="shared" si="122"/>
        <x:v>378000</x:v>
      </x:c>
      <x:c r="F1880" s="58">
        <x:f t="shared" si="123"/>
        <x:v>403000</x:v>
      </x:c>
    </x:row>
    <x:row r="1881">
      <x:c r="B1881" s="63">
        <x:v>1979</x:v>
      </x:c>
      <x:c r="C1881" s="57">
        <x:f t="shared" si="120"/>
        <x:v>318500</x:v>
      </x:c>
      <x:c r="D1881" s="25">
        <x:f t="shared" si="121"/>
        <x:v>352500</x:v>
      </x:c>
      <x:c r="E1881" s="25">
        <x:f t="shared" si="122"/>
        <x:v>378000</x:v>
      </x:c>
      <x:c r="F1881" s="58">
        <x:f t="shared" si="123"/>
        <x:v>403000</x:v>
      </x:c>
    </x:row>
    <x:row r="1882">
      <x:c r="B1882" s="63">
        <x:v>1980</x:v>
      </x:c>
      <x:c r="C1882" s="57">
        <x:f t="shared" si="120"/>
        <x:v>318500</x:v>
      </x:c>
      <x:c r="D1882" s="25">
        <x:f t="shared" si="121"/>
        <x:v>352500</x:v>
      </x:c>
      <x:c r="E1882" s="25">
        <x:f t="shared" si="122"/>
        <x:v>378000</x:v>
      </x:c>
      <x:c r="F1882" s="58">
        <x:f t="shared" si="123"/>
        <x:v>403000</x:v>
      </x:c>
    </x:row>
    <x:row r="1883">
      <x:c r="B1883" s="63">
        <x:v>1981</x:v>
      </x:c>
      <x:c r="C1883" s="57">
        <x:f t="shared" si="120"/>
        <x:v>318500</x:v>
      </x:c>
      <x:c r="D1883" s="25">
        <x:f t="shared" si="121"/>
        <x:v>352500</x:v>
      </x:c>
      <x:c r="E1883" s="25">
        <x:f t="shared" si="122"/>
        <x:v>378000</x:v>
      </x:c>
      <x:c r="F1883" s="58">
        <x:f t="shared" si="123"/>
        <x:v>403000</x:v>
      </x:c>
    </x:row>
    <x:row r="1884">
      <x:c r="B1884" s="63">
        <x:v>1982</x:v>
      </x:c>
      <x:c r="C1884" s="57">
        <x:f t="shared" si="120"/>
        <x:v>318500</x:v>
      </x:c>
      <x:c r="D1884" s="25">
        <x:f t="shared" si="121"/>
        <x:v>352500</x:v>
      </x:c>
      <x:c r="E1884" s="25">
        <x:f t="shared" si="122"/>
        <x:v>378000</x:v>
      </x:c>
      <x:c r="F1884" s="58">
        <x:f t="shared" si="123"/>
        <x:v>403000</x:v>
      </x:c>
    </x:row>
    <x:row r="1885">
      <x:c r="B1885" s="63">
        <x:v>1983</x:v>
      </x:c>
      <x:c r="C1885" s="57">
        <x:f t="shared" si="120"/>
        <x:v>318500</x:v>
      </x:c>
      <x:c r="D1885" s="25">
        <x:f t="shared" si="121"/>
        <x:v>352500</x:v>
      </x:c>
      <x:c r="E1885" s="25">
        <x:f t="shared" si="122"/>
        <x:v>378000</x:v>
      </x:c>
      <x:c r="F1885" s="58">
        <x:f t="shared" si="123"/>
        <x:v>403000</x:v>
      </x:c>
    </x:row>
    <x:row r="1886">
      <x:c r="B1886" s="63">
        <x:v>1984</x:v>
      </x:c>
      <x:c r="C1886" s="57">
        <x:f t="shared" si="120"/>
        <x:v>318500</x:v>
      </x:c>
      <x:c r="D1886" s="25">
        <x:f t="shared" si="121"/>
        <x:v>352500</x:v>
      </x:c>
      <x:c r="E1886" s="25">
        <x:f t="shared" si="122"/>
        <x:v>378000</x:v>
      </x:c>
      <x:c r="F1886" s="58">
        <x:f t="shared" si="123"/>
        <x:v>403000</x:v>
      </x:c>
    </x:row>
    <x:row r="1887">
      <x:c r="B1887" s="63">
        <x:v>1985</x:v>
      </x:c>
      <x:c r="C1887" s="57">
        <x:f t="shared" si="120"/>
        <x:v>318500</x:v>
      </x:c>
      <x:c r="D1887" s="25">
        <x:f t="shared" si="121"/>
        <x:v>352500</x:v>
      </x:c>
      <x:c r="E1887" s="25">
        <x:f t="shared" si="122"/>
        <x:v>378000</x:v>
      </x:c>
      <x:c r="F1887" s="58">
        <x:f t="shared" si="123"/>
        <x:v>403000</x:v>
      </x:c>
    </x:row>
    <x:row r="1888">
      <x:c r="B1888" s="63">
        <x:v>1986</x:v>
      </x:c>
      <x:c r="C1888" s="57">
        <x:f t="shared" si="120"/>
        <x:v>318500</x:v>
      </x:c>
      <x:c r="D1888" s="25">
        <x:f t="shared" si="121"/>
        <x:v>352500</x:v>
      </x:c>
      <x:c r="E1888" s="25">
        <x:f t="shared" si="122"/>
        <x:v>378000</x:v>
      </x:c>
      <x:c r="F1888" s="58">
        <x:f t="shared" si="123"/>
        <x:v>403000</x:v>
      </x:c>
    </x:row>
    <x:row r="1889">
      <x:c r="B1889" s="63">
        <x:v>1987</x:v>
      </x:c>
      <x:c r="C1889" s="57">
        <x:f t="shared" si="120"/>
        <x:v>318500</x:v>
      </x:c>
      <x:c r="D1889" s="25">
        <x:f t="shared" si="121"/>
        <x:v>352500</x:v>
      </x:c>
      <x:c r="E1889" s="25">
        <x:f t="shared" si="122"/>
        <x:v>378000</x:v>
      </x:c>
      <x:c r="F1889" s="58">
        <x:f t="shared" si="123"/>
        <x:v>403000</x:v>
      </x:c>
    </x:row>
    <x:row r="1890">
      <x:c r="B1890" s="63">
        <x:v>1988</x:v>
      </x:c>
      <x:c r="C1890" s="57">
        <x:f t="shared" si="120"/>
        <x:v>318500</x:v>
      </x:c>
      <x:c r="D1890" s="25">
        <x:f t="shared" si="121"/>
        <x:v>352500</x:v>
      </x:c>
      <x:c r="E1890" s="25">
        <x:f t="shared" si="122"/>
        <x:v>378000</x:v>
      </x:c>
      <x:c r="F1890" s="58">
        <x:f t="shared" si="123"/>
        <x:v>403000</x:v>
      </x:c>
    </x:row>
    <x:row r="1891">
      <x:c r="B1891" s="63">
        <x:v>1989</x:v>
      </x:c>
      <x:c r="C1891" s="57">
        <x:f t="shared" si="120"/>
        <x:v>318500</x:v>
      </x:c>
      <x:c r="D1891" s="25">
        <x:f t="shared" si="121"/>
        <x:v>352500</x:v>
      </x:c>
      <x:c r="E1891" s="25">
        <x:f t="shared" si="122"/>
        <x:v>378000</x:v>
      </x:c>
      <x:c r="F1891" s="58">
        <x:f t="shared" si="123"/>
        <x:v>403000</x:v>
      </x:c>
    </x:row>
    <x:row r="1892">
      <x:c r="B1892" s="63">
        <x:v>1990</x:v>
      </x:c>
      <x:c r="C1892" s="57">
        <x:f t="shared" si="120"/>
        <x:v>318500</x:v>
      </x:c>
      <x:c r="D1892" s="25">
        <x:f t="shared" si="121"/>
        <x:v>352500</x:v>
      </x:c>
      <x:c r="E1892" s="25">
        <x:f t="shared" si="122"/>
        <x:v>378000</x:v>
      </x:c>
      <x:c r="F1892" s="58">
        <x:f t="shared" si="123"/>
        <x:v>403000</x:v>
      </x:c>
    </x:row>
    <x:row r="1893">
      <x:c r="B1893" s="63">
        <x:v>1991</x:v>
      </x:c>
      <x:c r="C1893" s="57">
        <x:f t="shared" si="120"/>
        <x:v>318500</x:v>
      </x:c>
      <x:c r="D1893" s="25">
        <x:f t="shared" si="121"/>
        <x:v>352500</x:v>
      </x:c>
      <x:c r="E1893" s="25">
        <x:f t="shared" si="122"/>
        <x:v>378000</x:v>
      </x:c>
      <x:c r="F1893" s="58">
        <x:f t="shared" si="123"/>
        <x:v>403000</x:v>
      </x:c>
    </x:row>
    <x:row r="1894">
      <x:c r="B1894" s="63">
        <x:v>1992</x:v>
      </x:c>
      <x:c r="C1894" s="57">
        <x:f t="shared" si="120"/>
        <x:v>318500</x:v>
      </x:c>
      <x:c r="D1894" s="25">
        <x:f t="shared" si="121"/>
        <x:v>352500</x:v>
      </x:c>
      <x:c r="E1894" s="25">
        <x:f t="shared" si="122"/>
        <x:v>378000</x:v>
      </x:c>
      <x:c r="F1894" s="58">
        <x:f t="shared" si="123"/>
        <x:v>403000</x:v>
      </x:c>
    </x:row>
    <x:row r="1895">
      <x:c r="B1895" s="63">
        <x:v>1993</x:v>
      </x:c>
      <x:c r="C1895" s="57">
        <x:f t="shared" si="120"/>
        <x:v>318500</x:v>
      </x:c>
      <x:c r="D1895" s="25">
        <x:f t="shared" si="121"/>
        <x:v>352500</x:v>
      </x:c>
      <x:c r="E1895" s="25">
        <x:f t="shared" si="122"/>
        <x:v>378000</x:v>
      </x:c>
      <x:c r="F1895" s="58">
        <x:f t="shared" si="123"/>
        <x:v>403000</x:v>
      </x:c>
    </x:row>
    <x:row r="1896">
      <x:c r="B1896" s="63">
        <x:v>1994</x:v>
      </x:c>
      <x:c r="C1896" s="57">
        <x:f t="shared" si="120"/>
        <x:v>318500</x:v>
      </x:c>
      <x:c r="D1896" s="25">
        <x:f t="shared" si="121"/>
        <x:v>352500</x:v>
      </x:c>
      <x:c r="E1896" s="25">
        <x:f t="shared" si="122"/>
        <x:v>378000</x:v>
      </x:c>
      <x:c r="F1896" s="58">
        <x:f t="shared" si="123"/>
        <x:v>403000</x:v>
      </x:c>
    </x:row>
    <x:row r="1897">
      <x:c r="B1897" s="63">
        <x:v>1995</x:v>
      </x:c>
      <x:c r="C1897" s="57">
        <x:f t="shared" si="120"/>
        <x:v>318500</x:v>
      </x:c>
      <x:c r="D1897" s="25">
        <x:f t="shared" si="121"/>
        <x:v>352500</x:v>
      </x:c>
      <x:c r="E1897" s="25">
        <x:f t="shared" si="122"/>
        <x:v>378000</x:v>
      </x:c>
      <x:c r="F1897" s="58">
        <x:f t="shared" si="123"/>
        <x:v>403000</x:v>
      </x:c>
    </x:row>
    <x:row r="1898">
      <x:c r="B1898" s="63">
        <x:v>1996</x:v>
      </x:c>
      <x:c r="C1898" s="57">
        <x:f t="shared" si="120"/>
        <x:v>318500</x:v>
      </x:c>
      <x:c r="D1898" s="25">
        <x:f t="shared" si="121"/>
        <x:v>352500</x:v>
      </x:c>
      <x:c r="E1898" s="25">
        <x:f t="shared" si="122"/>
        <x:v>378000</x:v>
      </x:c>
      <x:c r="F1898" s="58">
        <x:f t="shared" si="123"/>
        <x:v>403000</x:v>
      </x:c>
    </x:row>
    <x:row r="1899">
      <x:c r="B1899" s="63">
        <x:v>1997</x:v>
      </x:c>
      <x:c r="C1899" s="57">
        <x:f t="shared" si="120"/>
        <x:v>318500</x:v>
      </x:c>
      <x:c r="D1899" s="25">
        <x:f t="shared" si="121"/>
        <x:v>352500</x:v>
      </x:c>
      <x:c r="E1899" s="25">
        <x:f t="shared" si="122"/>
        <x:v>378000</x:v>
      </x:c>
      <x:c r="F1899" s="58">
        <x:f t="shared" si="123"/>
        <x:v>403000</x:v>
      </x:c>
    </x:row>
    <x:row r="1900">
      <x:c r="B1900" s="63">
        <x:v>1998</x:v>
      </x:c>
      <x:c r="C1900" s="57">
        <x:f t="shared" si="120"/>
        <x:v>318500</x:v>
      </x:c>
      <x:c r="D1900" s="25">
        <x:f t="shared" si="121"/>
        <x:v>352500</x:v>
      </x:c>
      <x:c r="E1900" s="25">
        <x:f t="shared" si="122"/>
        <x:v>378000</x:v>
      </x:c>
      <x:c r="F1900" s="58">
        <x:f t="shared" si="123"/>
        <x:v>403000</x:v>
      </x:c>
    </x:row>
    <x:row r="1901">
      <x:c r="B1901" s="63">
        <x:v>1999</x:v>
      </x:c>
      <x:c r="C1901" s="57">
        <x:f t="shared" si="120"/>
        <x:v>318500</x:v>
      </x:c>
      <x:c r="D1901" s="25">
        <x:f t="shared" si="121"/>
        <x:v>352500</x:v>
      </x:c>
      <x:c r="E1901" s="25">
        <x:f t="shared" si="122"/>
        <x:v>378000</x:v>
      </x:c>
      <x:c r="F1901" s="58">
        <x:f t="shared" si="123"/>
        <x:v>403000</x:v>
      </x:c>
    </x:row>
    <x:row r="1902" ht="19.5">
      <x:c r="B1902" s="65">
        <x:v>2000</x:v>
      </x:c>
      <x:c r="C1902" s="60">
        <x:f t="shared" si="120"/>
        <x:v>318500</x:v>
      </x:c>
      <x:c r="D1902" s="61">
        <x:f t="shared" si="121"/>
        <x:v>352500</x:v>
      </x:c>
      <x:c r="E1902" s="61">
        <x:f t="shared" si="122"/>
        <x:v>378000</x:v>
      </x:c>
      <x:c r="F1902" s="62">
        <x:f t="shared" si="123"/>
        <x:v>403000</x:v>
      </x:c>
    </x:row>
  </x:sheetData>
  <x:pageMargins left="0.7" right="0.7" top="0.75" bottom="0.75" header="0.3" footer="0.3"/>
</x:worksheet>
</file>

<file path=xl/worksheets/sheet6.xml><?xml version="1.0" encoding="utf-8"?>
<x:worksheet xmlns:x="http://schemas.openxmlformats.org/spreadsheetml/2006/main">
  <x:sheetFormatPr defaultRowHeight="18.75"/>
  <x:cols>
    <x:col min="1" max="1" width="9" style="28" customWidth="0"/>
    <x:col min="2" max="2" width="9" style="26" customWidth="0"/>
    <x:col min="3" max="3" width="35.875" style="28" customWidth="1"/>
    <x:col min="4" max="4" width="9" style="28" customWidth="0"/>
    <x:col min="5" max="5" width="9.375" style="28" customWidth="1"/>
    <x:col min="6" max="16384" width="9" style="28" customWidth="0"/>
  </x:cols>
  <x:sheetData>
    <x:row r="1">
      <x:c r="A1" s="1142" t="s">
        <x:v>397</x:v>
      </x:c>
      <x:c r="B1" s="1142"/>
      <x:c r="C1" s="1142"/>
    </x:row>
    <x:row r="2" ht="18.75" customHeight="1">
      <x:c r="A2" s="1143" t="s">
        <x:v>398</x:v>
      </x:c>
      <x:c r="B2" s="24" t="s">
        <x:v>399</x:v>
      </x:c>
      <x:c r="C2" s="25" t="s">
        <x:v>398</x:v>
      </x:c>
    </x:row>
    <x:row r="3">
      <x:c r="A3" s="1143"/>
      <x:c r="B3" s="24" t="s">
        <x:v>400</x:v>
      </x:c>
      <x:c r="C3" s="25" t="s">
        <x:v>401</x:v>
      </x:c>
      <x:c r="E3" s="28" t="s">
        <x:v>402</x:v>
      </x:c>
    </x:row>
    <x:row r="4">
      <x:c r="A4" s="1143"/>
      <x:c r="B4" s="24" t="s">
        <x:v>403</x:v>
      </x:c>
      <x:c r="C4" s="25" t="s">
        <x:v>404</x:v>
      </x:c>
      <x:c r="E4" s="26" t="s">
        <x:v>405</x:v>
      </x:c>
      <x:c r="F4" s="28" t="str">
        <x:f>VLOOKUP(E4,B2:C82,2,)</x:f>
        <x:v>京王電鉄ケイオウデンテツ</x:v>
      </x:c>
    </x:row>
    <x:row r="5">
      <x:c r="A5" s="1143"/>
      <x:c r="B5" s="24" t="s">
        <x:v>406</x:v>
      </x:c>
      <x:c r="C5" s="25" t="s">
        <x:v>407</x:v>
      </x:c>
    </x:row>
    <x:row r="6">
      <x:c r="A6" s="1143"/>
      <x:c r="B6" s="24" t="s">
        <x:v>408</x:v>
      </x:c>
      <x:c r="C6" s="25" t="s">
        <x:v>409</x:v>
      </x:c>
    </x:row>
    <x:row r="7">
      <x:c r="A7" s="1143"/>
      <x:c r="B7" s="24" t="s">
        <x:v>410</x:v>
      </x:c>
      <x:c r="C7" s="25" t="s">
        <x:v>411</x:v>
      </x:c>
    </x:row>
    <x:row r="8">
      <x:c r="A8" s="1143"/>
      <x:c r="B8" s="24" t="s">
        <x:v>412</x:v>
      </x:c>
      <x:c r="C8" s="25" t="s">
        <x:v>413</x:v>
      </x:c>
    </x:row>
    <x:row r="9">
      <x:c r="A9" s="1143"/>
      <x:c r="B9" s="24" t="s">
        <x:v>414</x:v>
      </x:c>
      <x:c r="C9" s="25" t="s">
        <x:v>415</x:v>
      </x:c>
    </x:row>
    <x:row r="10">
      <x:c r="A10" s="1143"/>
      <x:c r="B10" s="24" t="s">
        <x:v>416</x:v>
      </x:c>
      <x:c r="C10" s="25" t="s">
        <x:v>305</x:v>
      </x:c>
    </x:row>
    <x:row r="11" ht="18.75" customHeight="1">
      <x:c r="A11" s="1143" t="s">
        <x:v>417</x:v>
      </x:c>
      <x:c r="B11" s="24" t="s">
        <x:v>405</x:v>
      </x:c>
      <x:c r="C11" s="25" t="s">
        <x:v>418</x:v>
      </x:c>
    </x:row>
    <x:row r="12">
      <x:c r="A12" s="1143"/>
      <x:c r="B12" s="24" t="s">
        <x:v>419</x:v>
      </x:c>
      <x:c r="C12" s="25" t="s">
        <x:v>420</x:v>
      </x:c>
    </x:row>
    <x:row r="13">
      <x:c r="A13" s="1143"/>
      <x:c r="B13" s="24" t="s">
        <x:v>421</x:v>
      </x:c>
      <x:c r="C13" s="25" t="s">
        <x:v>422</x:v>
      </x:c>
    </x:row>
    <x:row r="14">
      <x:c r="A14" s="1143"/>
      <x:c r="B14" s="24" t="s">
        <x:v>423</x:v>
      </x:c>
      <x:c r="C14" s="25" t="s">
        <x:v>424</x:v>
      </x:c>
    </x:row>
    <x:row r="15">
      <x:c r="A15" s="1143"/>
      <x:c r="B15" s="24" t="s">
        <x:v>425</x:v>
      </x:c>
      <x:c r="C15" s="25" t="s">
        <x:v>426</x:v>
      </x:c>
    </x:row>
    <x:row r="16">
      <x:c r="A16" s="1143"/>
      <x:c r="B16" s="24" t="s">
        <x:v>427</x:v>
      </x:c>
      <x:c r="C16" s="25" t="s">
        <x:v>428</x:v>
      </x:c>
    </x:row>
    <x:row r="17">
      <x:c r="A17" s="1143"/>
      <x:c r="B17" s="24" t="s">
        <x:v>429</x:v>
      </x:c>
      <x:c r="C17" s="25" t="s">
        <x:v>430</x:v>
      </x:c>
    </x:row>
    <x:row r="18">
      <x:c r="A18" s="1143"/>
      <x:c r="B18" s="24" t="s">
        <x:v>431</x:v>
      </x:c>
      <x:c r="C18" s="25" t="s">
        <x:v>432</x:v>
      </x:c>
    </x:row>
    <x:row r="19">
      <x:c r="A19" s="1143"/>
      <x:c r="B19" s="24" t="s">
        <x:v>433</x:v>
      </x:c>
      <x:c r="C19" s="25" t="s">
        <x:v>305</x:v>
      </x:c>
    </x:row>
    <x:row r="20">
      <x:c r="A20" s="1143" t="s">
        <x:v>434</x:v>
      </x:c>
      <x:c r="B20" s="24" t="s">
        <x:v>435</x:v>
      </x:c>
      <x:c r="C20" s="25" t="s">
        <x:v>436</x:v>
      </x:c>
    </x:row>
    <x:row r="21" ht="18.75" customHeight="1">
      <x:c r="A21" s="1143"/>
      <x:c r="B21" s="24" t="s">
        <x:v>437</x:v>
      </x:c>
      <x:c r="C21" s="25" t="s">
        <x:v>438</x:v>
      </x:c>
    </x:row>
    <x:row r="22">
      <x:c r="A22" s="1143"/>
      <x:c r="B22" s="24" t="s">
        <x:v>439</x:v>
      </x:c>
      <x:c r="C22" s="25" t="s">
        <x:v>440</x:v>
      </x:c>
    </x:row>
    <x:row r="23">
      <x:c r="A23" s="1143"/>
      <x:c r="B23" s="24" t="s">
        <x:v>441</x:v>
      </x:c>
      <x:c r="C23" s="25" t="s">
        <x:v>442</x:v>
      </x:c>
    </x:row>
    <x:row r="24">
      <x:c r="A24" s="1143"/>
      <x:c r="B24" s="24" t="s">
        <x:v>443</x:v>
      </x:c>
      <x:c r="C24" s="25" t="s">
        <x:v>444</x:v>
      </x:c>
    </x:row>
    <x:row r="25">
      <x:c r="A25" s="1143"/>
      <x:c r="B25" s="24" t="s">
        <x:v>445</x:v>
      </x:c>
      <x:c r="C25" s="25" t="s">
        <x:v>446</x:v>
      </x:c>
    </x:row>
    <x:row r="26">
      <x:c r="A26" s="1143"/>
      <x:c r="B26" s="24" t="s">
        <x:v>447</x:v>
      </x:c>
      <x:c r="C26" s="25" t="s">
        <x:v>448</x:v>
      </x:c>
    </x:row>
    <x:row r="27">
      <x:c r="A27" s="1143"/>
      <x:c r="B27" s="24" t="s">
        <x:v>449</x:v>
      </x:c>
      <x:c r="C27" s="25" t="s">
        <x:v>450</x:v>
      </x:c>
    </x:row>
    <x:row r="28">
      <x:c r="A28" s="1143"/>
      <x:c r="B28" s="24" t="s">
        <x:v>451</x:v>
      </x:c>
      <x:c r="C28" s="25" t="s">
        <x:v>452</x:v>
      </x:c>
    </x:row>
    <x:row r="29">
      <x:c r="A29" s="1143" t="s">
        <x:v>453</x:v>
      </x:c>
      <x:c r="B29" s="24" t="s">
        <x:v>454</x:v>
      </x:c>
      <x:c r="C29" s="25" t="s">
        <x:v>455</x:v>
      </x:c>
    </x:row>
    <x:row r="30">
      <x:c r="A30" s="1143"/>
      <x:c r="B30" s="24" t="s">
        <x:v>456</x:v>
      </x:c>
      <x:c r="C30" s="25" t="s">
        <x:v>457</x:v>
      </x:c>
    </x:row>
    <x:row r="31" ht="18.75" customHeight="1">
      <x:c r="A31" s="1143"/>
      <x:c r="B31" s="24" t="s">
        <x:v>458</x:v>
      </x:c>
      <x:c r="C31" s="25" t="s">
        <x:v>459</x:v>
      </x:c>
    </x:row>
    <x:row r="32">
      <x:c r="A32" s="1143"/>
      <x:c r="B32" s="24" t="s">
        <x:v>460</x:v>
      </x:c>
      <x:c r="C32" s="25" t="s">
        <x:v>461</x:v>
      </x:c>
    </x:row>
    <x:row r="33">
      <x:c r="A33" s="1143"/>
      <x:c r="B33" s="24" t="s">
        <x:v>462</x:v>
      </x:c>
      <x:c r="C33" s="25" t="s">
        <x:v>463</x:v>
      </x:c>
    </x:row>
    <x:row r="34">
      <x:c r="A34" s="1143"/>
      <x:c r="B34" s="24" t="s">
        <x:v>464</x:v>
      </x:c>
      <x:c r="C34" s="25" t="s">
        <x:v>465</x:v>
      </x:c>
    </x:row>
    <x:row r="35">
      <x:c r="A35" s="1143"/>
      <x:c r="B35" s="24" t="s">
        <x:v>466</x:v>
      </x:c>
      <x:c r="C35" s="25"/>
    </x:row>
    <x:row r="36">
      <x:c r="A36" s="1143"/>
      <x:c r="B36" s="24" t="s">
        <x:v>467</x:v>
      </x:c>
      <x:c r="C36" s="25"/>
    </x:row>
    <x:row r="37">
      <x:c r="A37" s="1143"/>
      <x:c r="B37" s="24" t="s">
        <x:v>468</x:v>
      </x:c>
      <x:c r="C37" s="25" t="s">
        <x:v>469</x:v>
      </x:c>
    </x:row>
    <x:row r="38" ht="18.75" customHeight="1">
      <x:c r="A38" s="1135" t="s">
        <x:v>470</x:v>
      </x:c>
      <x:c r="B38" s="24" t="s">
        <x:v>471</x:v>
      </x:c>
      <x:c r="C38" s="25" t="s">
        <x:v>472</x:v>
      </x:c>
    </x:row>
    <x:row r="39">
      <x:c r="A39" s="1136"/>
      <x:c r="B39" s="24" t="s">
        <x:v>473</x:v>
      </x:c>
      <x:c r="C39" s="25" t="s">
        <x:v>474</x:v>
      </x:c>
    </x:row>
    <x:row r="40">
      <x:c r="A40" s="1136"/>
      <x:c r="B40" s="24" t="s">
        <x:v>475</x:v>
      </x:c>
      <x:c r="C40" s="25" t="s">
        <x:v>476</x:v>
      </x:c>
    </x:row>
    <x:row r="41" ht="18.75" customHeight="1">
      <x:c r="A41" s="1136"/>
      <x:c r="B41" s="24" t="s">
        <x:v>477</x:v>
      </x:c>
      <x:c r="C41" s="25" t="s">
        <x:v>478</x:v>
      </x:c>
    </x:row>
    <x:row r="42">
      <x:c r="A42" s="1136"/>
      <x:c r="B42" s="24" t="s">
        <x:v>479</x:v>
      </x:c>
      <x:c r="C42" s="25" t="s">
        <x:v>480</x:v>
      </x:c>
    </x:row>
    <x:row r="43">
      <x:c r="A43" s="1137"/>
      <x:c r="B43" s="24" t="s">
        <x:v>481</x:v>
      </x:c>
      <x:c r="C43" s="25" t="s">
        <x:v>482</x:v>
      </x:c>
    </x:row>
    <x:row r="44">
      <x:c r="A44" s="1135" t="s">
        <x:v>483</x:v>
      </x:c>
      <x:c r="B44" s="24" t="s">
        <x:v>484</x:v>
      </x:c>
      <x:c r="C44" s="25" t="s">
        <x:v>418</x:v>
      </x:c>
    </x:row>
    <x:row r="45">
      <x:c r="A45" s="1136"/>
      <x:c r="B45" s="24" t="s">
        <x:v>485</x:v>
      </x:c>
      <x:c r="C45" s="25" t="s">
        <x:v>420</x:v>
      </x:c>
    </x:row>
    <x:row r="46">
      <x:c r="A46" s="1136"/>
      <x:c r="B46" s="24" t="s">
        <x:v>486</x:v>
      </x:c>
      <x:c r="C46" s="25" t="s">
        <x:v>422</x:v>
      </x:c>
    </x:row>
    <x:row r="47" ht="18.75" customHeight="1">
      <x:c r="A47" s="1136"/>
      <x:c r="B47" s="24" t="s">
        <x:v>487</x:v>
      </x:c>
      <x:c r="C47" s="25" t="s">
        <x:v>426</x:v>
      </x:c>
    </x:row>
    <x:row r="48">
      <x:c r="A48" s="1136"/>
      <x:c r="B48" s="24" t="s">
        <x:v>488</x:v>
      </x:c>
      <x:c r="C48" s="25" t="s">
        <x:v>489</x:v>
      </x:c>
    </x:row>
    <x:row r="49">
      <x:c r="A49" s="1136"/>
      <x:c r="B49" s="24" t="s">
        <x:v>490</x:v>
      </x:c>
      <x:c r="C49" s="25" t="s">
        <x:v>491</x:v>
      </x:c>
    </x:row>
    <x:row r="50">
      <x:c r="A50" s="1136"/>
      <x:c r="B50" s="24" t="s">
        <x:v>492</x:v>
      </x:c>
      <x:c r="C50" s="25" t="s">
        <x:v>493</x:v>
      </x:c>
    </x:row>
    <x:row r="51" ht="18.75" customHeight="1">
      <x:c r="A51" s="1136"/>
      <x:c r="B51" s="24" t="s">
        <x:v>494</x:v>
      </x:c>
      <x:c r="C51" s="25" t="s">
        <x:v>495</x:v>
      </x:c>
    </x:row>
    <x:row r="52">
      <x:c r="A52" s="1136"/>
      <x:c r="B52" s="24" t="s">
        <x:v>496</x:v>
      </x:c>
      <x:c r="C52" s="25" t="s">
        <x:v>497</x:v>
      </x:c>
    </x:row>
    <x:row r="53">
      <x:c r="A53" s="1136"/>
      <x:c r="B53" s="24" t="s">
        <x:v>498</x:v>
      </x:c>
      <x:c r="C53" s="25" t="s">
        <x:v>463</x:v>
      </x:c>
    </x:row>
    <x:row r="54">
      <x:c r="A54" s="1136"/>
      <x:c r="B54" s="24" t="s">
        <x:v>499</x:v>
      </x:c>
      <x:c r="C54" s="25"/>
    </x:row>
    <x:row r="55">
      <x:c r="A55" s="1137"/>
      <x:c r="B55" s="24" t="s">
        <x:v>500</x:v>
      </x:c>
      <x:c r="C55" s="25" t="s">
        <x:v>501</x:v>
      </x:c>
    </x:row>
    <x:row r="56" ht="18.75" customHeight="1">
      <x:c r="A56" s="1138" t="s">
        <x:v>502</x:v>
      </x:c>
      <x:c r="B56" s="24" t="s">
        <x:v>503</x:v>
      </x:c>
      <x:c r="C56" s="25" t="s">
        <x:v>504</x:v>
      </x:c>
    </x:row>
    <x:row r="57">
      <x:c r="A57" s="1139"/>
      <x:c r="B57" s="24" t="s">
        <x:v>505</x:v>
      </x:c>
      <x:c r="C57" s="25" t="s">
        <x:v>506</x:v>
      </x:c>
    </x:row>
    <x:row r="58">
      <x:c r="A58" s="1139"/>
      <x:c r="B58" s="24" t="s">
        <x:v>507</x:v>
      </x:c>
      <x:c r="C58" s="25" t="s">
        <x:v>508</x:v>
      </x:c>
    </x:row>
    <x:row r="59">
      <x:c r="A59" s="1139"/>
      <x:c r="B59" s="24" t="s">
        <x:v>509</x:v>
      </x:c>
      <x:c r="C59" s="25" t="s">
        <x:v>510</x:v>
      </x:c>
    </x:row>
    <x:row r="60">
      <x:c r="A60" s="1139"/>
      <x:c r="B60" s="24" t="s">
        <x:v>511</x:v>
      </x:c>
      <x:c r="C60" s="25" t="s">
        <x:v>512</x:v>
      </x:c>
    </x:row>
    <x:row r="61" ht="18.75" customHeight="1">
      <x:c r="A61" s="1139"/>
      <x:c r="B61" s="24" t="s">
        <x:v>513</x:v>
      </x:c>
      <x:c r="C61" s="25" t="s">
        <x:v>514</x:v>
      </x:c>
    </x:row>
    <x:row r="62">
      <x:c r="A62" s="1139"/>
      <x:c r="B62" s="24" t="s">
        <x:v>515</x:v>
      </x:c>
      <x:c r="C62" s="25" t="s">
        <x:v>516</x:v>
      </x:c>
    </x:row>
    <x:row r="63">
      <x:c r="A63" s="1139"/>
      <x:c r="B63" s="24" t="s">
        <x:v>517</x:v>
      </x:c>
      <x:c r="C63" s="25" t="s">
        <x:v>518</x:v>
      </x:c>
    </x:row>
    <x:row r="64">
      <x:c r="A64" s="1139"/>
      <x:c r="B64" s="24" t="s">
        <x:v>519</x:v>
      </x:c>
      <x:c r="C64" s="25" t="s">
        <x:v>520</x:v>
      </x:c>
    </x:row>
    <x:row r="65">
      <x:c r="A65" s="1139"/>
      <x:c r="B65" s="24" t="s">
        <x:v>521</x:v>
      </x:c>
      <x:c r="C65" s="25" t="s">
        <x:v>522</x:v>
      </x:c>
    </x:row>
    <x:row r="66">
      <x:c r="A66" s="1139"/>
      <x:c r="B66" s="24" t="s">
        <x:v>523</x:v>
      </x:c>
      <x:c r="C66" s="25" t="s">
        <x:v>524</x:v>
      </x:c>
    </x:row>
    <x:row r="67">
      <x:c r="A67" s="1139"/>
      <x:c r="B67" s="24" t="s">
        <x:v>525</x:v>
      </x:c>
      <x:c r="C67" s="25" t="s">
        <x:v>526</x:v>
      </x:c>
    </x:row>
    <x:row r="68">
      <x:c r="A68" s="1139"/>
      <x:c r="B68" s="24" t="s">
        <x:v>527</x:v>
      </x:c>
      <x:c r="C68" s="25"/>
    </x:row>
    <x:row r="69">
      <x:c r="A69" s="1139"/>
      <x:c r="B69" s="24" t="s">
        <x:v>528</x:v>
      </x:c>
      <x:c r="C69" s="25"/>
    </x:row>
    <x:row r="70" ht="18.75" customHeight="1">
      <x:c r="A70" s="1139"/>
      <x:c r="B70" s="24" t="s">
        <x:v>529</x:v>
      </x:c>
      <x:c r="C70" s="25" t="s">
        <x:v>530</x:v>
      </x:c>
    </x:row>
    <x:row r="71" ht="18.75" customHeight="1">
      <x:c r="A71" s="1140" t="s">
        <x:v>531</x:v>
      </x:c>
      <x:c r="B71" s="24" t="s">
        <x:v>532</x:v>
      </x:c>
      <x:c r="C71" s="25" t="s">
        <x:v>533</x:v>
      </x:c>
    </x:row>
    <x:row r="72">
      <x:c r="A72" s="1141"/>
      <x:c r="B72" s="24" t="s">
        <x:v>534</x:v>
      </x:c>
      <x:c r="C72" s="25" t="s">
        <x:v>535</x:v>
      </x:c>
    </x:row>
    <x:row r="73">
      <x:c r="A73" s="1141"/>
      <x:c r="B73" s="24" t="s">
        <x:v>536</x:v>
      </x:c>
      <x:c r="C73" s="25" t="s">
        <x:v>537</x:v>
      </x:c>
    </x:row>
    <x:row r="74" ht="18.75" customHeight="1">
      <x:c r="A74" s="1141"/>
      <x:c r="B74" s="24" t="s">
        <x:v>538</x:v>
      </x:c>
      <x:c r="C74" s="25"/>
    </x:row>
    <x:row r="75">
      <x:c r="A75" s="1141"/>
      <x:c r="B75" s="24" t="s">
        <x:v>539</x:v>
      </x:c>
      <x:c r="C75" s="25" t="s">
        <x:v>540</x:v>
      </x:c>
    </x:row>
    <x:row r="76">
      <x:c r="A76" s="36"/>
      <x:c r="B76" s="24" t="s">
        <x:v>541</x:v>
      </x:c>
      <x:c r="C76" s="25"/>
    </x:row>
    <x:row r="77" ht="18.75" customHeight="1">
      <x:c r="A77" s="37"/>
      <x:c r="B77" s="24" t="s">
        <x:v>542</x:v>
      </x:c>
      <x:c r="C77" s="25"/>
    </x:row>
    <x:row r="78">
      <x:c r="A78" s="37"/>
      <x:c r="B78" s="24" t="s">
        <x:v>543</x:v>
      </x:c>
      <x:c r="C78" s="25"/>
    </x:row>
    <x:row r="79" ht="18.75" customHeight="1">
      <x:c r="A79" s="37"/>
      <x:c r="B79" s="24" t="s">
        <x:v>544</x:v>
      </x:c>
      <x:c r="C79" s="25"/>
    </x:row>
    <x:row r="80">
      <x:c r="A80" s="37"/>
      <x:c r="B80" s="24" t="s">
        <x:v>545</x:v>
      </x:c>
      <x:c r="C80" s="25"/>
    </x:row>
    <x:row r="81" ht="18.75" customHeight="1">
      <x:c r="A81" s="37"/>
      <x:c r="B81" s="24" t="s">
        <x:v>546</x:v>
      </x:c>
      <x:c r="C81" s="25"/>
    </x:row>
    <x:row r="82">
      <x:c r="A82" s="38"/>
      <x:c r="B82" s="24" t="s">
        <x:v>547</x:v>
      </x:c>
      <x:c r="C82" s="25"/>
    </x:row>
    <x:row r="83">
      <x:c r="A83" s="1135" t="s">
        <x:v>548</x:v>
      </x:c>
      <x:c r="B83" s="24" t="s">
        <x:v>549</x:v>
      </x:c>
      <x:c r="C83" s="25" t="s">
        <x:v>550</x:v>
      </x:c>
    </x:row>
    <x:row r="84">
      <x:c r="A84" s="1136"/>
      <x:c r="B84" s="24" t="s">
        <x:v>551</x:v>
      </x:c>
      <x:c r="C84" s="25" t="s">
        <x:v>552</x:v>
      </x:c>
    </x:row>
    <x:row r="85">
      <x:c r="A85" s="1136"/>
      <x:c r="B85" s="24" t="s">
        <x:v>553</x:v>
      </x:c>
      <x:c r="C85" s="25" t="s">
        <x:v>554</x:v>
      </x:c>
    </x:row>
    <x:row r="86">
      <x:c r="A86" s="1136"/>
      <x:c r="B86" s="24" t="s">
        <x:v>555</x:v>
      </x:c>
      <x:c r="C86" s="67"/>
    </x:row>
    <x:row r="87">
      <x:c r="A87" s="1136"/>
      <x:c r="B87" s="24" t="s">
        <x:v>556</x:v>
      </x:c>
      <x:c r="C87" s="67"/>
    </x:row>
    <x:row r="88">
      <x:c r="A88" s="1136"/>
      <x:c r="B88" s="24" t="s">
        <x:v>557</x:v>
      </x:c>
      <x:c r="C88" s="67"/>
    </x:row>
    <x:row r="89">
      <x:c r="A89" s="1137"/>
      <x:c r="B89" s="24" t="s">
        <x:v>558</x:v>
      </x:c>
      <x:c r="C89" s="25"/>
    </x:row>
    <x:row r="90">
      <x:c r="A90" s="27"/>
    </x:row>
  </x:sheetData>
  <x:mergeCells>
    <x:mergeCell ref="A83:A89"/>
    <x:mergeCell ref="A44:A55"/>
    <x:mergeCell ref="A56:A70"/>
    <x:mergeCell ref="A71:A75"/>
    <x:mergeCell ref="A1:C1"/>
    <x:mergeCell ref="A2:A10"/>
    <x:mergeCell ref="A11:A19"/>
    <x:mergeCell ref="A20:A28"/>
    <x:mergeCell ref="A29:A37"/>
    <x:mergeCell ref="A38:A43"/>
  </x:mergeCells>
  <x:pageMargins left="0.7" right="0.7" top="0.75" bottom="0.75" header="0.3" footer="0.3"/>
</x:worksheet>
</file>

<file path=xl/worksheets/sheet7.xml><?xml version="1.0" encoding="utf-8"?>
<x:worksheet xmlns:x="http://schemas.openxmlformats.org/spreadsheetml/2006/main">
  <x:sheetFormatPr defaultRowHeight="18.75"/>
  <x:cols>
    <x:col min="1" max="1" width="38" customWidth="1"/>
  </x:cols>
  <x:sheetData>
    <x:row r="1">
      <x:c r="A1" t="s">
        <x:v>559</x:v>
      </x:c>
      <x:c r="B1" t="s">
        <x:v>560</x:v>
      </x:c>
    </x:row>
    <x:row r="2">
      <x:c r="A2" t="s">
        <x:v>561</x:v>
      </x:c>
      <x:c r="B2" s="34" t="n">
        <x:f>IF(AND(($H$19&gt;=DATEVALUE("2025/3/15")),($H$19&lt;=DATEVALUE("2025/4/6"))),0.1,0.2)</x:f>
        <x:v>0.2</x:v>
      </x:c>
    </x:row>
    <x:row r="3">
      <x:c r="A3" t="s">
        <x:v>562</x:v>
      </x:c>
      <x:c r="B3" t="e">
        <x:f>IF(AND(($H$18&gt;=DATEVALUE("2022/2/1")),($H$18&lt;=DATEVALUE("2022/4/30")),((COUNTIF(($AI$69),("*京王*"))))),キャンペーン特典!$A$4,キャンペーン特典!$A$2)</x:f>
      </x:c>
    </x:row>
    <x:row r="4" s="28" customFormat="1">
      <x:c r="A4" s="28" t="s">
        <x:v>563</x:v>
      </x:c>
      <x:c r="B4" s="28" t="e">
        <x:f>IF(AND(($F$15&gt;=DATEVALUE("2023/9/1")),($F$15&lt;=DATEVALUE("2023/10/31"))),キャンペーン特典!$A$3,キャンペーン特典!$A$2)</x:f>
      </x:c>
    </x:row>
    <x:row r="5">
      <x:c r="A5" s="28" t="s">
        <x:v>564</x:v>
      </x:c>
      <x:c r="B5" s="28" t="e">
        <x:f>IF(#REF!="モディア駒沢",(キャンペーン特典!$A$4),(キャンペーン特典!$A$2))</x:f>
      </x:c>
      <x:c r="C5" s="28"/>
      <x:c r="D5" s="28"/>
      <x:c r="E5" s="28"/>
      <x:c r="F5" s="28"/>
      <x:c r="G5" s="28"/>
      <x:c r="H5" s="28"/>
    </x:row>
    <x:row r="6">
      <x:c r="A6" t="s">
        <x:v>261</x:v>
      </x:c>
      <x:c r="B6" t="e">
        <x:f>IFERROR(VLOOKUP(AD69,種別!B2:C82,2,),"")</x:f>
      </x:c>
    </x:row>
    <x:row r="7" s="28" customFormat="1">
      <x:c r="A7" t="s">
        <x:v>565</x:v>
      </x:c>
      <x:c r="B7" t="e">
        <x:f>IF(#REF!="","",(EDATE(#REF!,1)))</x:f>
      </x:c>
      <x:c r="C7"/>
      <x:c r="D7"/>
      <x:c r="E7"/>
      <x:c r="F7"/>
      <x:c r="G7"/>
      <x:c r="H7"/>
    </x:row>
    <x:row r="8">
      <x:c r="A8" s="28" t="s">
        <x:v>566</x:v>
      </x:c>
      <x:c r="B8" s="28" t="str">
        <x:f>IF($F$13="","",(TEXT($F$13,"aaa")))</x:f>
      </x:c>
      <x:c r="C8" s="28"/>
      <x:c r="D8" s="28"/>
      <x:c r="E8" s="28"/>
      <x:c r="F8" s="28"/>
      <x:c r="G8" s="28"/>
      <x:c r="H8" s="28"/>
    </x:row>
    <x:row r="9">
      <x:c r="A9" t="s">
        <x:v>567</x:v>
      </x:c>
      <x:c r="B9" t="str">
        <x:f>IF($H$18="","",(TEXT($H$18,"aaa")))</x:f>
      </x:c>
    </x:row>
    <x:row r="10">
      <x:c r="A10" t="s">
        <x:v>568</x:v>
      </x:c>
      <x:c r="B10" t="str">
        <x:f>IF($H$20="","",(TEXT($H$20,"aaa")))</x:f>
      </x:c>
    </x:row>
    <x:row r="11">
      <x:c r="A11" t="s">
        <x:v>569</x:v>
      </x:c>
      <x:c r="B11" t="str">
        <x:f>IF($AH$16="","",(TEXT($AH$16,"aaa")))</x:f>
      </x:c>
    </x:row>
    <x:row r="12">
      <x:c r="A12" t="s">
        <x:v>570</x:v>
      </x:c>
      <x:c r="B12" t="str">
        <x:f>IF($AH$18="","",(TEXT($AH$18,"aaa")))</x:f>
      </x:c>
    </x:row>
    <x:row r="13">
      <x:c r="A13" t="s">
        <x:v>244</x:v>
      </x:c>
      <x:c r="B13" t="e">
        <x:f>IF(AH52&gt;=1,INDEX(長距離料金表!$C$3:$F$1902,MATCH(AH52,長距離料金表!$B$3:$B$1902,0),MATCH(U52,長距離料金表!$C$2:$F$2,0))*[4]料金表!AB52,IF(AO52&gt;=1,(AO52*AB52*5500),(AB52*34500)))</x:f>
      </x:c>
    </x:row>
  </x:sheetData>
  <x:pageMargins left="0.7" right="0.7" top="0.75" bottom="0.75" header="0.3" footer="0.3"/>
</x:worksheet>
</file>

<file path=xl/worksheets/sheet8.xml><?xml version="1.0" encoding="utf-8"?>
<x:worksheet xmlns:x="http://schemas.openxmlformats.org/spreadsheetml/2006/main">
  <x:sheetFormatPr defaultRowHeight="18.75"/>
  <x:cols>
    <x:col min="1" max="1" width="10.25" customWidth="1"/>
  </x:cols>
  <x:sheetData>
    <x:row r="1">
      <x:c r="A1" t="s">
        <x:v>571</x:v>
      </x:c>
    </x:row>
    <x:row r="2">
      <x:c r="A2" s="68" t="s">
        <x:v>572</x:v>
      </x:c>
    </x:row>
    <x:row r="3">
      <x:c r="A3" s="69" t="s">
        <x:v>573</x:v>
      </x:c>
    </x:row>
    <x:row r="4">
      <x:c r="A4" s="68" t="s">
        <x:v>574</x:v>
      </x:c>
    </x:row>
    <x:row r="5">
      <x:c r="A5" s="69" t="s">
        <x:v>575</x:v>
      </x:c>
    </x:row>
    <x:row r="6">
      <x:c r="A6" s="70" t="s">
        <x:v>576</x:v>
      </x:c>
    </x:row>
    <x:row r="7">
      <x:c r="A7" s="69" t="s">
        <x:v>577</x:v>
      </x:c>
    </x:row>
    <x:row r="8">
      <x:c r="A8" s="70" t="s">
        <x:v>578</x:v>
      </x:c>
    </x:row>
    <x:row r="9">
      <x:c r="A9" s="69" t="s">
        <x:v>579</x:v>
      </x:c>
    </x:row>
    <x:row r="10">
      <x:c r="A10" s="70" t="s">
        <x:v>580</x:v>
      </x:c>
    </x:row>
    <x:row r="11">
      <x:c r="A11" s="69" t="s">
        <x:v>581</x:v>
      </x:c>
    </x:row>
    <x:row r="12">
      <x:c r="A12" s="70" t="s">
        <x:v>582</x:v>
      </x:c>
    </x:row>
    <x:row r="13">
      <x:c r="A13" s="69" t="s">
        <x:v>583</x:v>
      </x:c>
    </x:row>
    <x:row r="14">
      <x:c r="A14" s="70" t="s">
        <x:v>584</x:v>
      </x:c>
    </x:row>
    <x:row r="15" s="28" customFormat="1">
      <x:c r="A15" s="70" t="s">
        <x:v>585</x:v>
      </x:c>
    </x:row>
    <x:row r="16">
      <x:c r="A16" s="69" t="s">
        <x:v>586</x:v>
      </x:c>
    </x:row>
    <x:row r="17">
      <x:c r="A17" s="70" t="s">
        <x:v>587</x:v>
      </x:c>
    </x:row>
  </x:sheetData>
  <x:pageMargins left="0.7" right="0.7" top="0.75" bottom="0.75" header="0.3" footer="0.3"/>
  <x:tableParts count="1">
    <x:tablePart xmlns:r="http://schemas.openxmlformats.org/officeDocument/2006/relationships" r:id="R18180c1cf3654ce8"/>
  </x:tableParts>
</x:worksheet>
</file>